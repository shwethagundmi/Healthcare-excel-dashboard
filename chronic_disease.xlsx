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pivotTables/pivotTable2.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8.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undm\Downloads\"/>
    </mc:Choice>
  </mc:AlternateContent>
  <xr:revisionPtr revIDLastSave="0" documentId="13_ncr:1_{A6C3F955-440C-4DAA-9B77-711FFBDE78D2}" xr6:coauthVersionLast="47" xr6:coauthVersionMax="47" xr10:uidLastSave="{00000000-0000-0000-0000-000000000000}"/>
  <bookViews>
    <workbookView xWindow="0" yWindow="0" windowWidth="19190" windowHeight="10080" tabRatio="874" firstSheet="1" activeTab="5" xr2:uid="{3B710D96-631C-4116-90B1-1BA2248D9452}"/>
  </bookViews>
  <sheets>
    <sheet name="Sheet2" sheetId="3" r:id="rId1"/>
    <sheet name="chronic_disease_prediction_data" sheetId="1" r:id="rId2"/>
    <sheet name="DB" sheetId="10" r:id="rId3"/>
    <sheet name="Sheet3" sheetId="4" r:id="rId4"/>
    <sheet name="Sheet4" sheetId="11" r:id="rId5"/>
    <sheet name="Sheet6" sheetId="7" r:id="rId6"/>
    <sheet name="Sheet8" sheetId="14" r:id="rId7"/>
    <sheet name="Sheet9" sheetId="15" r:id="rId8"/>
  </sheets>
  <definedNames>
    <definedName name="_xlnm._FilterDatabase" localSheetId="1" hidden="1">chronic_disease_prediction_data!$F$1:$F$2001</definedName>
    <definedName name="Slicer_Diet_Type">#N/A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S4" i="1" l="1"/>
  <c r="S6" i="1"/>
  <c r="S2" i="1"/>
</calcChain>
</file>

<file path=xl/sharedStrings.xml><?xml version="1.0" encoding="utf-8"?>
<sst xmlns="http://schemas.openxmlformats.org/spreadsheetml/2006/main" count="22070" uniqueCount="1300">
  <si>
    <t>Patient_ID</t>
  </si>
  <si>
    <t>Age</t>
  </si>
  <si>
    <t>Gender</t>
  </si>
  <si>
    <t>Height</t>
  </si>
  <si>
    <t>Weight</t>
  </si>
  <si>
    <t>BMI</t>
  </si>
  <si>
    <t>Blood_Pressure</t>
  </si>
  <si>
    <t>Cholesterol_Level</t>
  </si>
  <si>
    <t>Smoker</t>
  </si>
  <si>
    <t>Physical_Activity</t>
  </si>
  <si>
    <t>Medical_History</t>
  </si>
  <si>
    <t>Family_History</t>
  </si>
  <si>
    <t>Diet_Type</t>
  </si>
  <si>
    <t>Heart_Disease</t>
  </si>
  <si>
    <t>Diabetes</t>
  </si>
  <si>
    <t>Risk_Level</t>
  </si>
  <si>
    <t>Male</t>
  </si>
  <si>
    <t>125/102</t>
  </si>
  <si>
    <t>High</t>
  </si>
  <si>
    <t>Yes</t>
  </si>
  <si>
    <t>No</t>
  </si>
  <si>
    <t>Non-Vegetarian</t>
  </si>
  <si>
    <t>Low</t>
  </si>
  <si>
    <t>139/81</t>
  </si>
  <si>
    <t>Very High</t>
  </si>
  <si>
    <t>Vegetarian</t>
  </si>
  <si>
    <t>124/87</t>
  </si>
  <si>
    <t>Female</t>
  </si>
  <si>
    <t>137/92</t>
  </si>
  <si>
    <t>Heart Disease</t>
  </si>
  <si>
    <t>123/99</t>
  </si>
  <si>
    <t>Normal</t>
  </si>
  <si>
    <t>Hypertension</t>
  </si>
  <si>
    <t>142/84</t>
  </si>
  <si>
    <t>116/84</t>
  </si>
  <si>
    <t>151/107</t>
  </si>
  <si>
    <t>155/80</t>
  </si>
  <si>
    <t>138/100</t>
  </si>
  <si>
    <t>None</t>
  </si>
  <si>
    <t>134/93</t>
  </si>
  <si>
    <t>Medium</t>
  </si>
  <si>
    <t>128/71</t>
  </si>
  <si>
    <t>131/89</t>
  </si>
  <si>
    <t>142/77</t>
  </si>
  <si>
    <t>134/78</t>
  </si>
  <si>
    <t>143/92</t>
  </si>
  <si>
    <t>114/94</t>
  </si>
  <si>
    <t>117/85</t>
  </si>
  <si>
    <t>157/84</t>
  </si>
  <si>
    <t>110/91</t>
  </si>
  <si>
    <t>112/107</t>
  </si>
  <si>
    <t>123/105</t>
  </si>
  <si>
    <t>127/87</t>
  </si>
  <si>
    <t>112/79</t>
  </si>
  <si>
    <t>158/108</t>
  </si>
  <si>
    <t>156/70</t>
  </si>
  <si>
    <t>136/96</t>
  </si>
  <si>
    <t>120/74</t>
  </si>
  <si>
    <t>116/88</t>
  </si>
  <si>
    <t>138/84</t>
  </si>
  <si>
    <t>144/106</t>
  </si>
  <si>
    <t>121/99</t>
  </si>
  <si>
    <t>129/106</t>
  </si>
  <si>
    <t>112/78</t>
  </si>
  <si>
    <t>150/108</t>
  </si>
  <si>
    <t>135/71</t>
  </si>
  <si>
    <t>132/92</t>
  </si>
  <si>
    <t>130/85</t>
  </si>
  <si>
    <t>118/82</t>
  </si>
  <si>
    <t>137/96</t>
  </si>
  <si>
    <t>126/107</t>
  </si>
  <si>
    <t>145/70</t>
  </si>
  <si>
    <t>127/78</t>
  </si>
  <si>
    <t>122/109</t>
  </si>
  <si>
    <t>154/84</t>
  </si>
  <si>
    <t>152/73</t>
  </si>
  <si>
    <t>142/93</t>
  </si>
  <si>
    <t>145/79</t>
  </si>
  <si>
    <t>145/89</t>
  </si>
  <si>
    <t>150/80</t>
  </si>
  <si>
    <t>121/87</t>
  </si>
  <si>
    <t>139/106</t>
  </si>
  <si>
    <t>129/94</t>
  </si>
  <si>
    <t>121/90</t>
  </si>
  <si>
    <t>134/80</t>
  </si>
  <si>
    <t>118/94</t>
  </si>
  <si>
    <t>144/101</t>
  </si>
  <si>
    <t>158/83</t>
  </si>
  <si>
    <t>110/86</t>
  </si>
  <si>
    <t>134/77</t>
  </si>
  <si>
    <t>114/74</t>
  </si>
  <si>
    <t>150/104</t>
  </si>
  <si>
    <t>128/92</t>
  </si>
  <si>
    <t>118/99</t>
  </si>
  <si>
    <t>159/85</t>
  </si>
  <si>
    <t>142/71</t>
  </si>
  <si>
    <t>123/70</t>
  </si>
  <si>
    <t>135/94</t>
  </si>
  <si>
    <t>125/84</t>
  </si>
  <si>
    <t>135/85</t>
  </si>
  <si>
    <t>123/98</t>
  </si>
  <si>
    <t>133/84</t>
  </si>
  <si>
    <t>128/77</t>
  </si>
  <si>
    <t>143/71</t>
  </si>
  <si>
    <t>136/79</t>
  </si>
  <si>
    <t>144/92</t>
  </si>
  <si>
    <t>158/77</t>
  </si>
  <si>
    <t>113/83</t>
  </si>
  <si>
    <t>151/98</t>
  </si>
  <si>
    <t>110/73</t>
  </si>
  <si>
    <t>141/102</t>
  </si>
  <si>
    <t>158/95</t>
  </si>
  <si>
    <t>126/108</t>
  </si>
  <si>
    <t>132/101</t>
  </si>
  <si>
    <t>124/82</t>
  </si>
  <si>
    <t>111/88</t>
  </si>
  <si>
    <t>133/93</t>
  </si>
  <si>
    <t>120/91</t>
  </si>
  <si>
    <t>124/79</t>
  </si>
  <si>
    <t>150/96</t>
  </si>
  <si>
    <t>118/97</t>
  </si>
  <si>
    <t>140/79</t>
  </si>
  <si>
    <t>146/98</t>
  </si>
  <si>
    <t>127/107</t>
  </si>
  <si>
    <t>148/75</t>
  </si>
  <si>
    <t>149/81</t>
  </si>
  <si>
    <t>123/79</t>
  </si>
  <si>
    <t>129/84</t>
  </si>
  <si>
    <t>140/76</t>
  </si>
  <si>
    <t>150/79</t>
  </si>
  <si>
    <t>119/108</t>
  </si>
  <si>
    <t>137/99</t>
  </si>
  <si>
    <t>146/72</t>
  </si>
  <si>
    <t>159/84</t>
  </si>
  <si>
    <t>130/106</t>
  </si>
  <si>
    <t>121/73</t>
  </si>
  <si>
    <t>156/78</t>
  </si>
  <si>
    <t>148/97</t>
  </si>
  <si>
    <t>132/109</t>
  </si>
  <si>
    <t>153/91</t>
  </si>
  <si>
    <t>133/95</t>
  </si>
  <si>
    <t>139/102</t>
  </si>
  <si>
    <t>125/91</t>
  </si>
  <si>
    <t>158/87</t>
  </si>
  <si>
    <t>116/95</t>
  </si>
  <si>
    <t>117/75</t>
  </si>
  <si>
    <t>139/108</t>
  </si>
  <si>
    <t>131/78</t>
  </si>
  <si>
    <t>112/104</t>
  </si>
  <si>
    <t>142/90</t>
  </si>
  <si>
    <t>140/103</t>
  </si>
  <si>
    <t>141/104</t>
  </si>
  <si>
    <t>124/101</t>
  </si>
  <si>
    <t>115/90</t>
  </si>
  <si>
    <t>142/101</t>
  </si>
  <si>
    <t>128/102</t>
  </si>
  <si>
    <t>137/100</t>
  </si>
  <si>
    <t>130/103</t>
  </si>
  <si>
    <t>124/83</t>
  </si>
  <si>
    <t>128/84</t>
  </si>
  <si>
    <t>115/78</t>
  </si>
  <si>
    <t>146/89</t>
  </si>
  <si>
    <t>143/107</t>
  </si>
  <si>
    <t>135/87</t>
  </si>
  <si>
    <t>137/78</t>
  </si>
  <si>
    <t>141/75</t>
  </si>
  <si>
    <t>123/97</t>
  </si>
  <si>
    <t>133/82</t>
  </si>
  <si>
    <t>152/81</t>
  </si>
  <si>
    <t>128/90</t>
  </si>
  <si>
    <t>136/88</t>
  </si>
  <si>
    <t>154/97</t>
  </si>
  <si>
    <t>155/87</t>
  </si>
  <si>
    <t>153/105</t>
  </si>
  <si>
    <t>126/73</t>
  </si>
  <si>
    <t>153/98</t>
  </si>
  <si>
    <t>113/79</t>
  </si>
  <si>
    <t>134/100</t>
  </si>
  <si>
    <t>112/71</t>
  </si>
  <si>
    <t>134/75</t>
  </si>
  <si>
    <t>135/77</t>
  </si>
  <si>
    <t>144/96</t>
  </si>
  <si>
    <t>134/87</t>
  </si>
  <si>
    <t>110/108</t>
  </si>
  <si>
    <t>112/73</t>
  </si>
  <si>
    <t>150/106</t>
  </si>
  <si>
    <t>124/77</t>
  </si>
  <si>
    <t>147/88</t>
  </si>
  <si>
    <t>156/95</t>
  </si>
  <si>
    <t>148/79</t>
  </si>
  <si>
    <t>147/83</t>
  </si>
  <si>
    <t>158/88</t>
  </si>
  <si>
    <t>139/74</t>
  </si>
  <si>
    <t>128/100</t>
  </si>
  <si>
    <t>148/93</t>
  </si>
  <si>
    <t>157/109</t>
  </si>
  <si>
    <t>115/107</t>
  </si>
  <si>
    <t>150/105</t>
  </si>
  <si>
    <t>136/80</t>
  </si>
  <si>
    <t>114/86</t>
  </si>
  <si>
    <t>116/96</t>
  </si>
  <si>
    <t>156/84</t>
  </si>
  <si>
    <t>155/82</t>
  </si>
  <si>
    <t>120/95</t>
  </si>
  <si>
    <t>131/97</t>
  </si>
  <si>
    <t>133/98</t>
  </si>
  <si>
    <t>118/73</t>
  </si>
  <si>
    <t>152/85</t>
  </si>
  <si>
    <t>142/98</t>
  </si>
  <si>
    <t>118/100</t>
  </si>
  <si>
    <t>137/72</t>
  </si>
  <si>
    <t>123/94</t>
  </si>
  <si>
    <t>124/71</t>
  </si>
  <si>
    <t>133/83</t>
  </si>
  <si>
    <t>157/76</t>
  </si>
  <si>
    <t>145/93</t>
  </si>
  <si>
    <t>136/106</t>
  </si>
  <si>
    <t>147/99</t>
  </si>
  <si>
    <t>136/108</t>
  </si>
  <si>
    <t>124/95</t>
  </si>
  <si>
    <t>138/70</t>
  </si>
  <si>
    <t>152/91</t>
  </si>
  <si>
    <t>120/79</t>
  </si>
  <si>
    <t>126/105</t>
  </si>
  <si>
    <t>157/90</t>
  </si>
  <si>
    <t>122/78</t>
  </si>
  <si>
    <t>120/80</t>
  </si>
  <si>
    <t>115/70</t>
  </si>
  <si>
    <t>115/82</t>
  </si>
  <si>
    <t>131/100</t>
  </si>
  <si>
    <t>131/106</t>
  </si>
  <si>
    <t>156/96</t>
  </si>
  <si>
    <t>159/83</t>
  </si>
  <si>
    <t>156/74</t>
  </si>
  <si>
    <t>145/101</t>
  </si>
  <si>
    <t>143/76</t>
  </si>
  <si>
    <t>151/79</t>
  </si>
  <si>
    <t>159/86</t>
  </si>
  <si>
    <t>139/90</t>
  </si>
  <si>
    <t>122/70</t>
  </si>
  <si>
    <t>110/102</t>
  </si>
  <si>
    <t>147/94</t>
  </si>
  <si>
    <t>135/82</t>
  </si>
  <si>
    <t>137/102</t>
  </si>
  <si>
    <t>146/99</t>
  </si>
  <si>
    <t>158/70</t>
  </si>
  <si>
    <t>121/74</t>
  </si>
  <si>
    <t>133/75</t>
  </si>
  <si>
    <t>134/70</t>
  </si>
  <si>
    <t>141/72</t>
  </si>
  <si>
    <t>152/98</t>
  </si>
  <si>
    <t>159/71</t>
  </si>
  <si>
    <t>118/86</t>
  </si>
  <si>
    <t>155/105</t>
  </si>
  <si>
    <t>126/81</t>
  </si>
  <si>
    <t>129/72</t>
  </si>
  <si>
    <t>126/106</t>
  </si>
  <si>
    <t>155/84</t>
  </si>
  <si>
    <t>142/85</t>
  </si>
  <si>
    <t>120/89</t>
  </si>
  <si>
    <t>147/93</t>
  </si>
  <si>
    <t>125/99</t>
  </si>
  <si>
    <t>143/70</t>
  </si>
  <si>
    <t>118/91</t>
  </si>
  <si>
    <t>121/86</t>
  </si>
  <si>
    <t>134/97</t>
  </si>
  <si>
    <t>124/99</t>
  </si>
  <si>
    <t>136/91</t>
  </si>
  <si>
    <t>119/100</t>
  </si>
  <si>
    <t>136/81</t>
  </si>
  <si>
    <t>155/100</t>
  </si>
  <si>
    <t>141/101</t>
  </si>
  <si>
    <t>155/90</t>
  </si>
  <si>
    <t>119/85</t>
  </si>
  <si>
    <t>116/73</t>
  </si>
  <si>
    <t>136/94</t>
  </si>
  <si>
    <t>140/80</t>
  </si>
  <si>
    <t>157/89</t>
  </si>
  <si>
    <t>145/86</t>
  </si>
  <si>
    <t>154/80</t>
  </si>
  <si>
    <t>139/104</t>
  </si>
  <si>
    <t>150/107</t>
  </si>
  <si>
    <t>131/96</t>
  </si>
  <si>
    <t>146/104</t>
  </si>
  <si>
    <t>113/85</t>
  </si>
  <si>
    <t>125/90</t>
  </si>
  <si>
    <t>135/105</t>
  </si>
  <si>
    <t>128/86</t>
  </si>
  <si>
    <t>154/95</t>
  </si>
  <si>
    <t>110/105</t>
  </si>
  <si>
    <t>152/106</t>
  </si>
  <si>
    <t>111/86</t>
  </si>
  <si>
    <t>149/107</t>
  </si>
  <si>
    <t>130/78</t>
  </si>
  <si>
    <t>122/80</t>
  </si>
  <si>
    <t>125/85</t>
  </si>
  <si>
    <t>111/77</t>
  </si>
  <si>
    <t>152/82</t>
  </si>
  <si>
    <t>133/72</t>
  </si>
  <si>
    <t>139/82</t>
  </si>
  <si>
    <t>128/76</t>
  </si>
  <si>
    <t>118/88</t>
  </si>
  <si>
    <t>154/109</t>
  </si>
  <si>
    <t>131/87</t>
  </si>
  <si>
    <t>132/71</t>
  </si>
  <si>
    <t>159/80</t>
  </si>
  <si>
    <t>140/102</t>
  </si>
  <si>
    <t>123/85</t>
  </si>
  <si>
    <t>120/102</t>
  </si>
  <si>
    <t>116/100</t>
  </si>
  <si>
    <t>157/83</t>
  </si>
  <si>
    <t>137/85</t>
  </si>
  <si>
    <t>135/75</t>
  </si>
  <si>
    <t>152/78</t>
  </si>
  <si>
    <t>140/81</t>
  </si>
  <si>
    <t>132/74</t>
  </si>
  <si>
    <t>152/105</t>
  </si>
  <si>
    <t>145/72</t>
  </si>
  <si>
    <t>133/86</t>
  </si>
  <si>
    <t>148/95</t>
  </si>
  <si>
    <t>113/81</t>
  </si>
  <si>
    <t>110/90</t>
  </si>
  <si>
    <t>127/72</t>
  </si>
  <si>
    <t>158/101</t>
  </si>
  <si>
    <t>119/109</t>
  </si>
  <si>
    <t>124/74</t>
  </si>
  <si>
    <t>113/97</t>
  </si>
  <si>
    <t>113/84</t>
  </si>
  <si>
    <t>126/72</t>
  </si>
  <si>
    <t>119/92</t>
  </si>
  <si>
    <t>127/70</t>
  </si>
  <si>
    <t>144/100</t>
  </si>
  <si>
    <t>153/70</t>
  </si>
  <si>
    <t>112/72</t>
  </si>
  <si>
    <t>146/88</t>
  </si>
  <si>
    <t>138/94</t>
  </si>
  <si>
    <t>142/105</t>
  </si>
  <si>
    <t>138/95</t>
  </si>
  <si>
    <t>159/96</t>
  </si>
  <si>
    <t>142/91</t>
  </si>
  <si>
    <t>157/72</t>
  </si>
  <si>
    <t>132/90</t>
  </si>
  <si>
    <t>150/92</t>
  </si>
  <si>
    <t>113/90</t>
  </si>
  <si>
    <t>146/100</t>
  </si>
  <si>
    <t>130/95</t>
  </si>
  <si>
    <t>120/98</t>
  </si>
  <si>
    <t>156/72</t>
  </si>
  <si>
    <t>110/88</t>
  </si>
  <si>
    <t>155/91</t>
  </si>
  <si>
    <t>123/83</t>
  </si>
  <si>
    <t>153/85</t>
  </si>
  <si>
    <t>142/82</t>
  </si>
  <si>
    <t>147/81</t>
  </si>
  <si>
    <t>147/108</t>
  </si>
  <si>
    <t>142/102</t>
  </si>
  <si>
    <t>138/74</t>
  </si>
  <si>
    <t>115/100</t>
  </si>
  <si>
    <t>125/100</t>
  </si>
  <si>
    <t>134/102</t>
  </si>
  <si>
    <t>122/79</t>
  </si>
  <si>
    <t>133/79</t>
  </si>
  <si>
    <t>150/100</t>
  </si>
  <si>
    <t>122/72</t>
  </si>
  <si>
    <t>159/103</t>
  </si>
  <si>
    <t>158/97</t>
  </si>
  <si>
    <t>154/101</t>
  </si>
  <si>
    <t>122/102</t>
  </si>
  <si>
    <t>143/102</t>
  </si>
  <si>
    <t>114/72</t>
  </si>
  <si>
    <t>116/93</t>
  </si>
  <si>
    <t>131/92</t>
  </si>
  <si>
    <t>139/87</t>
  </si>
  <si>
    <t>141/76</t>
  </si>
  <si>
    <t>142/74</t>
  </si>
  <si>
    <t>117/84</t>
  </si>
  <si>
    <t>113/103</t>
  </si>
  <si>
    <t>114/102</t>
  </si>
  <si>
    <t>114/107</t>
  </si>
  <si>
    <t>143/95</t>
  </si>
  <si>
    <t>117/89</t>
  </si>
  <si>
    <t>132/87</t>
  </si>
  <si>
    <t>110/78</t>
  </si>
  <si>
    <t>112/95</t>
  </si>
  <si>
    <t>118/85</t>
  </si>
  <si>
    <t>112/103</t>
  </si>
  <si>
    <t>111/76</t>
  </si>
  <si>
    <t>128/94</t>
  </si>
  <si>
    <t>156/91</t>
  </si>
  <si>
    <t>141/90</t>
  </si>
  <si>
    <t>148/89</t>
  </si>
  <si>
    <t>117/106</t>
  </si>
  <si>
    <t>155/89</t>
  </si>
  <si>
    <t>115/86</t>
  </si>
  <si>
    <t>134/107</t>
  </si>
  <si>
    <t>113/99</t>
  </si>
  <si>
    <t>117/86</t>
  </si>
  <si>
    <t>140/106</t>
  </si>
  <si>
    <t>154/102</t>
  </si>
  <si>
    <t>136/73</t>
  </si>
  <si>
    <t>131/95</t>
  </si>
  <si>
    <t>141/93</t>
  </si>
  <si>
    <t>155/104</t>
  </si>
  <si>
    <t>146/101</t>
  </si>
  <si>
    <t>116/102</t>
  </si>
  <si>
    <t>120/93</t>
  </si>
  <si>
    <t>117/101</t>
  </si>
  <si>
    <t>147/91</t>
  </si>
  <si>
    <t>143/88</t>
  </si>
  <si>
    <t>129/83</t>
  </si>
  <si>
    <t>142/79</t>
  </si>
  <si>
    <t>125/73</t>
  </si>
  <si>
    <t>136/97</t>
  </si>
  <si>
    <t>142/88</t>
  </si>
  <si>
    <t>130/91</t>
  </si>
  <si>
    <t>118/78</t>
  </si>
  <si>
    <t>118/96</t>
  </si>
  <si>
    <t>126/77</t>
  </si>
  <si>
    <t>125/87</t>
  </si>
  <si>
    <t>142/70</t>
  </si>
  <si>
    <t>121/75</t>
  </si>
  <si>
    <t>150/74</t>
  </si>
  <si>
    <t>117/72</t>
  </si>
  <si>
    <t>134/74</t>
  </si>
  <si>
    <t>149/88</t>
  </si>
  <si>
    <t>127/100</t>
  </si>
  <si>
    <t>142/87</t>
  </si>
  <si>
    <t>148/85</t>
  </si>
  <si>
    <t>125/107</t>
  </si>
  <si>
    <t>150/76</t>
  </si>
  <si>
    <t>141/107</t>
  </si>
  <si>
    <t>131/85</t>
  </si>
  <si>
    <t>138/85</t>
  </si>
  <si>
    <t>146/96</t>
  </si>
  <si>
    <t>134/82</t>
  </si>
  <si>
    <t>117/74</t>
  </si>
  <si>
    <t>121/72</t>
  </si>
  <si>
    <t>144/102</t>
  </si>
  <si>
    <t>150/87</t>
  </si>
  <si>
    <t>159/98</t>
  </si>
  <si>
    <t>148/96</t>
  </si>
  <si>
    <t>143/72</t>
  </si>
  <si>
    <t>114/83</t>
  </si>
  <si>
    <t>112/92</t>
  </si>
  <si>
    <t>148/99</t>
  </si>
  <si>
    <t>159/92</t>
  </si>
  <si>
    <t>125/103</t>
  </si>
  <si>
    <t>146/91</t>
  </si>
  <si>
    <t>126/92</t>
  </si>
  <si>
    <t>145/78</t>
  </si>
  <si>
    <t>111/101</t>
  </si>
  <si>
    <t>159/91</t>
  </si>
  <si>
    <t>117/70</t>
  </si>
  <si>
    <t>113/82</t>
  </si>
  <si>
    <t>132/93</t>
  </si>
  <si>
    <t>126/99</t>
  </si>
  <si>
    <t>118/75</t>
  </si>
  <si>
    <t>134/88</t>
  </si>
  <si>
    <t>111/79</t>
  </si>
  <si>
    <t>125/106</t>
  </si>
  <si>
    <t>122/101</t>
  </si>
  <si>
    <t>154/77</t>
  </si>
  <si>
    <t>152/87</t>
  </si>
  <si>
    <t>145/95</t>
  </si>
  <si>
    <t>114/82</t>
  </si>
  <si>
    <t>110/92</t>
  </si>
  <si>
    <t>149/72</t>
  </si>
  <si>
    <t>112/76</t>
  </si>
  <si>
    <t>145/104</t>
  </si>
  <si>
    <t>124/109</t>
  </si>
  <si>
    <t>112/98</t>
  </si>
  <si>
    <t>127/80</t>
  </si>
  <si>
    <t>152/107</t>
  </si>
  <si>
    <t>149/70</t>
  </si>
  <si>
    <t>138/79</t>
  </si>
  <si>
    <t>128/72</t>
  </si>
  <si>
    <t>145/84</t>
  </si>
  <si>
    <t>142/95</t>
  </si>
  <si>
    <t>125/105</t>
  </si>
  <si>
    <t>142/89</t>
  </si>
  <si>
    <t>114/106</t>
  </si>
  <si>
    <t>123/96</t>
  </si>
  <si>
    <t>132/83</t>
  </si>
  <si>
    <t>149/73</t>
  </si>
  <si>
    <t>148/88</t>
  </si>
  <si>
    <t>156/73</t>
  </si>
  <si>
    <t>139/88</t>
  </si>
  <si>
    <t>140/100</t>
  </si>
  <si>
    <t>157/100</t>
  </si>
  <si>
    <t>146/92</t>
  </si>
  <si>
    <t>136/75</t>
  </si>
  <si>
    <t>154/82</t>
  </si>
  <si>
    <t>159/88</t>
  </si>
  <si>
    <t>110/109</t>
  </si>
  <si>
    <t>141/91</t>
  </si>
  <si>
    <t>157/98</t>
  </si>
  <si>
    <t>111/109</t>
  </si>
  <si>
    <t>147/80</t>
  </si>
  <si>
    <t>131/73</t>
  </si>
  <si>
    <t>120/77</t>
  </si>
  <si>
    <t>118/95</t>
  </si>
  <si>
    <t>111/85</t>
  </si>
  <si>
    <t>140/75</t>
  </si>
  <si>
    <t>128/97</t>
  </si>
  <si>
    <t>117/83</t>
  </si>
  <si>
    <t>133/106</t>
  </si>
  <si>
    <t>135/100</t>
  </si>
  <si>
    <t>141/71</t>
  </si>
  <si>
    <t>134/71</t>
  </si>
  <si>
    <t>151/70</t>
  </si>
  <si>
    <t>145/81</t>
  </si>
  <si>
    <t>118/105</t>
  </si>
  <si>
    <t>150/97</t>
  </si>
  <si>
    <t>147/102</t>
  </si>
  <si>
    <t>151/91</t>
  </si>
  <si>
    <t>115/87</t>
  </si>
  <si>
    <t>157/77</t>
  </si>
  <si>
    <t>122/76</t>
  </si>
  <si>
    <t>126/101</t>
  </si>
  <si>
    <t>131/82</t>
  </si>
  <si>
    <t>156/92</t>
  </si>
  <si>
    <t>138/91</t>
  </si>
  <si>
    <t>110/98</t>
  </si>
  <si>
    <t>157/74</t>
  </si>
  <si>
    <t>144/79</t>
  </si>
  <si>
    <t>128/106</t>
  </si>
  <si>
    <t>116/104</t>
  </si>
  <si>
    <t>119/71</t>
  </si>
  <si>
    <t>115/77</t>
  </si>
  <si>
    <t>145/94</t>
  </si>
  <si>
    <t>153/109</t>
  </si>
  <si>
    <t>116/92</t>
  </si>
  <si>
    <t>128/91</t>
  </si>
  <si>
    <t>122/90</t>
  </si>
  <si>
    <t>142/73</t>
  </si>
  <si>
    <t>151/72</t>
  </si>
  <si>
    <t>136/104</t>
  </si>
  <si>
    <t>137/75</t>
  </si>
  <si>
    <t>115/92</t>
  </si>
  <si>
    <t>133/74</t>
  </si>
  <si>
    <t>150/82</t>
  </si>
  <si>
    <t>156/81</t>
  </si>
  <si>
    <t>140/97</t>
  </si>
  <si>
    <t>127/96</t>
  </si>
  <si>
    <t>144/95</t>
  </si>
  <si>
    <t>148/87</t>
  </si>
  <si>
    <t>142/94</t>
  </si>
  <si>
    <t>111/102</t>
  </si>
  <si>
    <t>148/101</t>
  </si>
  <si>
    <t>127/86</t>
  </si>
  <si>
    <t>143/108</t>
  </si>
  <si>
    <t>144/80</t>
  </si>
  <si>
    <t>153/73</t>
  </si>
  <si>
    <t>134/101</t>
  </si>
  <si>
    <t>129/100</t>
  </si>
  <si>
    <t>113/107</t>
  </si>
  <si>
    <t>112/106</t>
  </si>
  <si>
    <t>131/86</t>
  </si>
  <si>
    <t>123/104</t>
  </si>
  <si>
    <t>122/104</t>
  </si>
  <si>
    <t>152/71</t>
  </si>
  <si>
    <t>156/82</t>
  </si>
  <si>
    <t>116/105</t>
  </si>
  <si>
    <t>150/99</t>
  </si>
  <si>
    <t>151/76</t>
  </si>
  <si>
    <t>111/82</t>
  </si>
  <si>
    <t>149/100</t>
  </si>
  <si>
    <t>125/75</t>
  </si>
  <si>
    <t>137/101</t>
  </si>
  <si>
    <t>153/79</t>
  </si>
  <si>
    <t>159/87</t>
  </si>
  <si>
    <t>113/78</t>
  </si>
  <si>
    <t>116/77</t>
  </si>
  <si>
    <t>152/76</t>
  </si>
  <si>
    <t>150/109</t>
  </si>
  <si>
    <t>112/86</t>
  </si>
  <si>
    <t>111/84</t>
  </si>
  <si>
    <t>155/98</t>
  </si>
  <si>
    <t>113/75</t>
  </si>
  <si>
    <t>147/95</t>
  </si>
  <si>
    <t>126/93</t>
  </si>
  <si>
    <t>137/104</t>
  </si>
  <si>
    <t>140/82</t>
  </si>
  <si>
    <t>144/85</t>
  </si>
  <si>
    <t>156/106</t>
  </si>
  <si>
    <t>157/96</t>
  </si>
  <si>
    <t>144/104</t>
  </si>
  <si>
    <t>137/108</t>
  </si>
  <si>
    <t>147/78</t>
  </si>
  <si>
    <t>121/84</t>
  </si>
  <si>
    <t>130/104</t>
  </si>
  <si>
    <t>151/102</t>
  </si>
  <si>
    <t>138/93</t>
  </si>
  <si>
    <t>125/94</t>
  </si>
  <si>
    <t>132/97</t>
  </si>
  <si>
    <t>156/85</t>
  </si>
  <si>
    <t>120/72</t>
  </si>
  <si>
    <t>124/70</t>
  </si>
  <si>
    <t>116/70</t>
  </si>
  <si>
    <t>118/98</t>
  </si>
  <si>
    <t>135/92</t>
  </si>
  <si>
    <t>154/98</t>
  </si>
  <si>
    <t>116/81</t>
  </si>
  <si>
    <t>140/101</t>
  </si>
  <si>
    <t>129/86</t>
  </si>
  <si>
    <t>110/96</t>
  </si>
  <si>
    <t>156/109</t>
  </si>
  <si>
    <t>114/92</t>
  </si>
  <si>
    <t>115/102</t>
  </si>
  <si>
    <t>128/82</t>
  </si>
  <si>
    <t>138/75</t>
  </si>
  <si>
    <t>124/85</t>
  </si>
  <si>
    <t>133/92</t>
  </si>
  <si>
    <t>157/79</t>
  </si>
  <si>
    <t>150/86</t>
  </si>
  <si>
    <t>158/99</t>
  </si>
  <si>
    <t>128/98</t>
  </si>
  <si>
    <t>111/105</t>
  </si>
  <si>
    <t>135/84</t>
  </si>
  <si>
    <t>156/107</t>
  </si>
  <si>
    <t>125/71</t>
  </si>
  <si>
    <t>116/99</t>
  </si>
  <si>
    <t>145/98</t>
  </si>
  <si>
    <t>133/108</t>
  </si>
  <si>
    <t>113/98</t>
  </si>
  <si>
    <t>153/74</t>
  </si>
  <si>
    <t>138/99</t>
  </si>
  <si>
    <t>128/95</t>
  </si>
  <si>
    <t>139/99</t>
  </si>
  <si>
    <t>158/78</t>
  </si>
  <si>
    <t>138/104</t>
  </si>
  <si>
    <t>129/79</t>
  </si>
  <si>
    <t>122/98</t>
  </si>
  <si>
    <t>144/77</t>
  </si>
  <si>
    <t>131/90</t>
  </si>
  <si>
    <t>121/80</t>
  </si>
  <si>
    <t>111/71</t>
  </si>
  <si>
    <t>132/89</t>
  </si>
  <si>
    <t>134/99</t>
  </si>
  <si>
    <t>138/86</t>
  </si>
  <si>
    <t>154/71</t>
  </si>
  <si>
    <t>133/100</t>
  </si>
  <si>
    <t>136/71</t>
  </si>
  <si>
    <t>123/73</t>
  </si>
  <si>
    <t>158/82</t>
  </si>
  <si>
    <t>153/77</t>
  </si>
  <si>
    <t>111/75</t>
  </si>
  <si>
    <t>153/90</t>
  </si>
  <si>
    <t>132/72</t>
  </si>
  <si>
    <t>141/89</t>
  </si>
  <si>
    <t>119/98</t>
  </si>
  <si>
    <t>150/103</t>
  </si>
  <si>
    <t>117/76</t>
  </si>
  <si>
    <t>115/80</t>
  </si>
  <si>
    <t>153/87</t>
  </si>
  <si>
    <t>134/90</t>
  </si>
  <si>
    <t>155/72</t>
  </si>
  <si>
    <t>127/93</t>
  </si>
  <si>
    <t>119/96</t>
  </si>
  <si>
    <t>121/76</t>
  </si>
  <si>
    <t>126/70</t>
  </si>
  <si>
    <t>159/95</t>
  </si>
  <si>
    <t>124/102</t>
  </si>
  <si>
    <t>144/70</t>
  </si>
  <si>
    <t>117/81</t>
  </si>
  <si>
    <t>141/81</t>
  </si>
  <si>
    <t>122/97</t>
  </si>
  <si>
    <t>110/75</t>
  </si>
  <si>
    <t>117/73</t>
  </si>
  <si>
    <t>148/92</t>
  </si>
  <si>
    <t>113/73</t>
  </si>
  <si>
    <t>156/90</t>
  </si>
  <si>
    <t>146/71</t>
  </si>
  <si>
    <t>116/85</t>
  </si>
  <si>
    <t>126/89</t>
  </si>
  <si>
    <t>132/103</t>
  </si>
  <si>
    <t>120/103</t>
  </si>
  <si>
    <t>111/92</t>
  </si>
  <si>
    <t>150/91</t>
  </si>
  <si>
    <t>143/84</t>
  </si>
  <si>
    <t>119/84</t>
  </si>
  <si>
    <t>132/86</t>
  </si>
  <si>
    <t>145/102</t>
  </si>
  <si>
    <t>113/91</t>
  </si>
  <si>
    <t>122/85</t>
  </si>
  <si>
    <t>135/80</t>
  </si>
  <si>
    <t>110/95</t>
  </si>
  <si>
    <t>121/83</t>
  </si>
  <si>
    <t>137/76</t>
  </si>
  <si>
    <t>119/105</t>
  </si>
  <si>
    <t>111/95</t>
  </si>
  <si>
    <t>125/86</t>
  </si>
  <si>
    <t>113/88</t>
  </si>
  <si>
    <t>111/108</t>
  </si>
  <si>
    <t>157/87</t>
  </si>
  <si>
    <t>120/108</t>
  </si>
  <si>
    <t>150/73</t>
  </si>
  <si>
    <t>139/95</t>
  </si>
  <si>
    <t>145/103</t>
  </si>
  <si>
    <t>118/81</t>
  </si>
  <si>
    <t>111/107</t>
  </si>
  <si>
    <t>131/74</t>
  </si>
  <si>
    <t>125/79</t>
  </si>
  <si>
    <t>115/74</t>
  </si>
  <si>
    <t>115/94</t>
  </si>
  <si>
    <t>159/73</t>
  </si>
  <si>
    <t>149/101</t>
  </si>
  <si>
    <t>143/105</t>
  </si>
  <si>
    <t>115/85</t>
  </si>
  <si>
    <t>128/103</t>
  </si>
  <si>
    <t>158/86</t>
  </si>
  <si>
    <t>156/99</t>
  </si>
  <si>
    <t>148/100</t>
  </si>
  <si>
    <t>128/104</t>
  </si>
  <si>
    <t>127/95</t>
  </si>
  <si>
    <t>117/102</t>
  </si>
  <si>
    <t>152/90</t>
  </si>
  <si>
    <t>133/94</t>
  </si>
  <si>
    <t>156/88</t>
  </si>
  <si>
    <t>121/102</t>
  </si>
  <si>
    <t>116/86</t>
  </si>
  <si>
    <t>159/106</t>
  </si>
  <si>
    <t>158/85</t>
  </si>
  <si>
    <t>117/93</t>
  </si>
  <si>
    <t>125/80</t>
  </si>
  <si>
    <t>127/106</t>
  </si>
  <si>
    <t>146/95</t>
  </si>
  <si>
    <t>155/86</t>
  </si>
  <si>
    <t>110/94</t>
  </si>
  <si>
    <t>119/89</t>
  </si>
  <si>
    <t>135/88</t>
  </si>
  <si>
    <t>135/104</t>
  </si>
  <si>
    <t>134/84</t>
  </si>
  <si>
    <t>131/75</t>
  </si>
  <si>
    <t>124/93</t>
  </si>
  <si>
    <t>130/76</t>
  </si>
  <si>
    <t>138/101</t>
  </si>
  <si>
    <t>141/74</t>
  </si>
  <si>
    <t>127/104</t>
  </si>
  <si>
    <t>146/106</t>
  </si>
  <si>
    <t>135/109</t>
  </si>
  <si>
    <t>126/109</t>
  </si>
  <si>
    <t>153/88</t>
  </si>
  <si>
    <t>121/89</t>
  </si>
  <si>
    <t>146/76</t>
  </si>
  <si>
    <t>123/80</t>
  </si>
  <si>
    <t>116/98</t>
  </si>
  <si>
    <t>126/78</t>
  </si>
  <si>
    <t>143/93</t>
  </si>
  <si>
    <t>118/76</t>
  </si>
  <si>
    <t>125/88</t>
  </si>
  <si>
    <t>121/82</t>
  </si>
  <si>
    <t>159/105</t>
  </si>
  <si>
    <t>137/93</t>
  </si>
  <si>
    <t>121/104</t>
  </si>
  <si>
    <t>149/71</t>
  </si>
  <si>
    <t>159/108</t>
  </si>
  <si>
    <t>151/78</t>
  </si>
  <si>
    <t>121/70</t>
  </si>
  <si>
    <t>151/87</t>
  </si>
  <si>
    <t>134/96</t>
  </si>
  <si>
    <t>153/96</t>
  </si>
  <si>
    <t>148/94</t>
  </si>
  <si>
    <t>133/77</t>
  </si>
  <si>
    <t>118/106</t>
  </si>
  <si>
    <t>125/93</t>
  </si>
  <si>
    <t>145/109</t>
  </si>
  <si>
    <t>154/73</t>
  </si>
  <si>
    <t>120/86</t>
  </si>
  <si>
    <t>159/90</t>
  </si>
  <si>
    <t>135/96</t>
  </si>
  <si>
    <t>125/95</t>
  </si>
  <si>
    <t>142/100</t>
  </si>
  <si>
    <t>157/75</t>
  </si>
  <si>
    <t>116/103</t>
  </si>
  <si>
    <t>153/83</t>
  </si>
  <si>
    <t>125/78</t>
  </si>
  <si>
    <t>119/86</t>
  </si>
  <si>
    <t>115/106</t>
  </si>
  <si>
    <t>130/73</t>
  </si>
  <si>
    <t>143/97</t>
  </si>
  <si>
    <t>147/97</t>
  </si>
  <si>
    <t>126/83</t>
  </si>
  <si>
    <t>116/91</t>
  </si>
  <si>
    <t>140/99</t>
  </si>
  <si>
    <t>144/99</t>
  </si>
  <si>
    <t>143/80</t>
  </si>
  <si>
    <t>136/93</t>
  </si>
  <si>
    <t>144/108</t>
  </si>
  <si>
    <t>117/87</t>
  </si>
  <si>
    <t>122/93</t>
  </si>
  <si>
    <t>132/81</t>
  </si>
  <si>
    <t>122/94</t>
  </si>
  <si>
    <t>153/76</t>
  </si>
  <si>
    <t>154/75</t>
  </si>
  <si>
    <t>133/88</t>
  </si>
  <si>
    <t>128/105</t>
  </si>
  <si>
    <t>147/109</t>
  </si>
  <si>
    <t>151/95</t>
  </si>
  <si>
    <t>123/108</t>
  </si>
  <si>
    <t>116/106</t>
  </si>
  <si>
    <t>127/92</t>
  </si>
  <si>
    <t>153/107</t>
  </si>
  <si>
    <t>153/104</t>
  </si>
  <si>
    <t>132/96</t>
  </si>
  <si>
    <t>150/72</t>
  </si>
  <si>
    <t>141/95</t>
  </si>
  <si>
    <t>156/75</t>
  </si>
  <si>
    <t>141/85</t>
  </si>
  <si>
    <t>110/82</t>
  </si>
  <si>
    <t>134/109</t>
  </si>
  <si>
    <t>137/83</t>
  </si>
  <si>
    <t>154/72</t>
  </si>
  <si>
    <t>145/96</t>
  </si>
  <si>
    <t>155/83</t>
  </si>
  <si>
    <t>110/85</t>
  </si>
  <si>
    <t>127/76</t>
  </si>
  <si>
    <t>118/84</t>
  </si>
  <si>
    <t>144/93</t>
  </si>
  <si>
    <t>117/98</t>
  </si>
  <si>
    <t>132/100</t>
  </si>
  <si>
    <t>149/83</t>
  </si>
  <si>
    <t>136/85</t>
  </si>
  <si>
    <t>125/81</t>
  </si>
  <si>
    <t>129/109</t>
  </si>
  <si>
    <t>135/91</t>
  </si>
  <si>
    <t>142/108</t>
  </si>
  <si>
    <t>156/98</t>
  </si>
  <si>
    <t>118/93</t>
  </si>
  <si>
    <t>124/105</t>
  </si>
  <si>
    <t>122/96</t>
  </si>
  <si>
    <t>153/106</t>
  </si>
  <si>
    <t>146/83</t>
  </si>
  <si>
    <t>121/105</t>
  </si>
  <si>
    <t>149/86</t>
  </si>
  <si>
    <t>149/98</t>
  </si>
  <si>
    <t>136/70</t>
  </si>
  <si>
    <t>143/73</t>
  </si>
  <si>
    <t>133/90</t>
  </si>
  <si>
    <t>142/76</t>
  </si>
  <si>
    <t>110/72</t>
  </si>
  <si>
    <t>153/84</t>
  </si>
  <si>
    <t>140/85</t>
  </si>
  <si>
    <t>115/98</t>
  </si>
  <si>
    <t>126/91</t>
  </si>
  <si>
    <t>130/80</t>
  </si>
  <si>
    <t>116/108</t>
  </si>
  <si>
    <t>114/90</t>
  </si>
  <si>
    <t>146/75</t>
  </si>
  <si>
    <t>151/77</t>
  </si>
  <si>
    <t>140/90</t>
  </si>
  <si>
    <t>149/94</t>
  </si>
  <si>
    <t>148/84</t>
  </si>
  <si>
    <t>151/97</t>
  </si>
  <si>
    <t>129/103</t>
  </si>
  <si>
    <t>133/89</t>
  </si>
  <si>
    <t>139/93</t>
  </si>
  <si>
    <t>152/109</t>
  </si>
  <si>
    <t>147/85</t>
  </si>
  <si>
    <t>124/92</t>
  </si>
  <si>
    <t>121/98</t>
  </si>
  <si>
    <t>138/90</t>
  </si>
  <si>
    <t>151/85</t>
  </si>
  <si>
    <t>124/73</t>
  </si>
  <si>
    <t>136/92</t>
  </si>
  <si>
    <t>138/78</t>
  </si>
  <si>
    <t>151/73</t>
  </si>
  <si>
    <t>120/97</t>
  </si>
  <si>
    <t>113/71</t>
  </si>
  <si>
    <t>118/89</t>
  </si>
  <si>
    <t>137/95</t>
  </si>
  <si>
    <t>127/88</t>
  </si>
  <si>
    <t>145/100</t>
  </si>
  <si>
    <t>124/72</t>
  </si>
  <si>
    <t>113/93</t>
  </si>
  <si>
    <t>146/70</t>
  </si>
  <si>
    <t>140/95</t>
  </si>
  <si>
    <t>132/99</t>
  </si>
  <si>
    <t>119/77</t>
  </si>
  <si>
    <t>153/94</t>
  </si>
  <si>
    <t>131/84</t>
  </si>
  <si>
    <t>129/92</t>
  </si>
  <si>
    <t>110/71</t>
  </si>
  <si>
    <t>128/83</t>
  </si>
  <si>
    <t>117/107</t>
  </si>
  <si>
    <t>121/95</t>
  </si>
  <si>
    <t>136/98</t>
  </si>
  <si>
    <t>152/97</t>
  </si>
  <si>
    <t>112/87</t>
  </si>
  <si>
    <t>143/101</t>
  </si>
  <si>
    <t>135/108</t>
  </si>
  <si>
    <t>117/88</t>
  </si>
  <si>
    <t>138/102</t>
  </si>
  <si>
    <t>147/104</t>
  </si>
  <si>
    <t>152/72</t>
  </si>
  <si>
    <t>128/79</t>
  </si>
  <si>
    <t>136/84</t>
  </si>
  <si>
    <t>141/106</t>
  </si>
  <si>
    <t>118/103</t>
  </si>
  <si>
    <t>110/81</t>
  </si>
  <si>
    <t>143/103</t>
  </si>
  <si>
    <t>134/73</t>
  </si>
  <si>
    <t>144/88</t>
  </si>
  <si>
    <t>115/88</t>
  </si>
  <si>
    <t>119/72</t>
  </si>
  <si>
    <t>147/98</t>
  </si>
  <si>
    <t>155/88</t>
  </si>
  <si>
    <t>119/73</t>
  </si>
  <si>
    <t>111/72</t>
  </si>
  <si>
    <t>126/97</t>
  </si>
  <si>
    <t>122/82</t>
  </si>
  <si>
    <t>152/80</t>
  </si>
  <si>
    <t>128/73</t>
  </si>
  <si>
    <t>131/91</t>
  </si>
  <si>
    <t>146/108</t>
  </si>
  <si>
    <t>142/81</t>
  </si>
  <si>
    <t>111/97</t>
  </si>
  <si>
    <t>119/91</t>
  </si>
  <si>
    <t>126/95</t>
  </si>
  <si>
    <t>129/81</t>
  </si>
  <si>
    <t>144/86</t>
  </si>
  <si>
    <t>137/79</t>
  </si>
  <si>
    <t>131/107</t>
  </si>
  <si>
    <t>124/91</t>
  </si>
  <si>
    <t>139/109</t>
  </si>
  <si>
    <t>146/103</t>
  </si>
  <si>
    <t>153/103</t>
  </si>
  <si>
    <t>157/104</t>
  </si>
  <si>
    <t>151/88</t>
  </si>
  <si>
    <t>117/108</t>
  </si>
  <si>
    <t>142/97</t>
  </si>
  <si>
    <t>146/94</t>
  </si>
  <si>
    <t>111/100</t>
  </si>
  <si>
    <t>153/102</t>
  </si>
  <si>
    <t>153/81</t>
  </si>
  <si>
    <t>158/93</t>
  </si>
  <si>
    <t>133/80</t>
  </si>
  <si>
    <t>117/79</t>
  </si>
  <si>
    <t>117/78</t>
  </si>
  <si>
    <t>116/83</t>
  </si>
  <si>
    <t>137/71</t>
  </si>
  <si>
    <t>152/77</t>
  </si>
  <si>
    <t>156/97</t>
  </si>
  <si>
    <t>111/81</t>
  </si>
  <si>
    <t>111/106</t>
  </si>
  <si>
    <t>145/107</t>
  </si>
  <si>
    <t>134/91</t>
  </si>
  <si>
    <t>157/108</t>
  </si>
  <si>
    <t>130/99</t>
  </si>
  <si>
    <t>130/70</t>
  </si>
  <si>
    <t>146/82</t>
  </si>
  <si>
    <t>126/90</t>
  </si>
  <si>
    <t>140/108</t>
  </si>
  <si>
    <t>131/81</t>
  </si>
  <si>
    <t>135/74</t>
  </si>
  <si>
    <t>118/109</t>
  </si>
  <si>
    <t>135/98</t>
  </si>
  <si>
    <t>132/104</t>
  </si>
  <si>
    <t>140/104</t>
  </si>
  <si>
    <t>157/71</t>
  </si>
  <si>
    <t>129/87</t>
  </si>
  <si>
    <t>138/88</t>
  </si>
  <si>
    <t>115/108</t>
  </si>
  <si>
    <t>159/77</t>
  </si>
  <si>
    <t>123/74</t>
  </si>
  <si>
    <t>143/85</t>
  </si>
  <si>
    <t>154/76</t>
  </si>
  <si>
    <t>125/76</t>
  </si>
  <si>
    <t>136/83</t>
  </si>
  <si>
    <t>123/102</t>
  </si>
  <si>
    <t>156/105</t>
  </si>
  <si>
    <t>116/101</t>
  </si>
  <si>
    <t>148/98</t>
  </si>
  <si>
    <t>133/91</t>
  </si>
  <si>
    <t>115/93</t>
  </si>
  <si>
    <t>149/92</t>
  </si>
  <si>
    <t>147/79</t>
  </si>
  <si>
    <t>133/102</t>
  </si>
  <si>
    <t>121/96</t>
  </si>
  <si>
    <t>147/87</t>
  </si>
  <si>
    <t>154/108</t>
  </si>
  <si>
    <t>139/94</t>
  </si>
  <si>
    <t>127/74</t>
  </si>
  <si>
    <t>128/87</t>
  </si>
  <si>
    <t>119/106</t>
  </si>
  <si>
    <t>158/91</t>
  </si>
  <si>
    <t>122/86</t>
  </si>
  <si>
    <t>155/77</t>
  </si>
  <si>
    <t>149/80</t>
  </si>
  <si>
    <t>123/90</t>
  </si>
  <si>
    <t>137/98</t>
  </si>
  <si>
    <t>144/82</t>
  </si>
  <si>
    <t>148/80</t>
  </si>
  <si>
    <t>120/100</t>
  </si>
  <si>
    <t>143/96</t>
  </si>
  <si>
    <t>153/108</t>
  </si>
  <si>
    <t>118/77</t>
  </si>
  <si>
    <t>121/71</t>
  </si>
  <si>
    <t>122/73</t>
  </si>
  <si>
    <t>139/98</t>
  </si>
  <si>
    <t>115/109</t>
  </si>
  <si>
    <t>140/86</t>
  </si>
  <si>
    <t>134/85</t>
  </si>
  <si>
    <t>147/92</t>
  </si>
  <si>
    <t>123/75</t>
  </si>
  <si>
    <t>134/92</t>
  </si>
  <si>
    <t>122/105</t>
  </si>
  <si>
    <t>148/103</t>
  </si>
  <si>
    <t>159/109</t>
  </si>
  <si>
    <t>117/77</t>
  </si>
  <si>
    <t>149/102</t>
  </si>
  <si>
    <t>154/91</t>
  </si>
  <si>
    <t>114/100</t>
  </si>
  <si>
    <t>129/102</t>
  </si>
  <si>
    <t>125/98</t>
  </si>
  <si>
    <t>147/106</t>
  </si>
  <si>
    <t>124/100</t>
  </si>
  <si>
    <t>118/107</t>
  </si>
  <si>
    <t>158/73</t>
  </si>
  <si>
    <t>110/99</t>
  </si>
  <si>
    <t>138/89</t>
  </si>
  <si>
    <t>119/80</t>
  </si>
  <si>
    <t>140/83</t>
  </si>
  <si>
    <t>153/101</t>
  </si>
  <si>
    <t>138/73</t>
  </si>
  <si>
    <t>130/86</t>
  </si>
  <si>
    <t>149/82</t>
  </si>
  <si>
    <t>143/75</t>
  </si>
  <si>
    <t>118/74</t>
  </si>
  <si>
    <t>132/102</t>
  </si>
  <si>
    <t>126/88</t>
  </si>
  <si>
    <t>115/75</t>
  </si>
  <si>
    <t>142/99</t>
  </si>
  <si>
    <t>132/79</t>
  </si>
  <si>
    <t>132/73</t>
  </si>
  <si>
    <t>129/88</t>
  </si>
  <si>
    <t>151/96</t>
  </si>
  <si>
    <t>147/76</t>
  </si>
  <si>
    <t>122/81</t>
  </si>
  <si>
    <t>119/70</t>
  </si>
  <si>
    <t>141/99</t>
  </si>
  <si>
    <t>117/90</t>
  </si>
  <si>
    <t>111/78</t>
  </si>
  <si>
    <t>137/105</t>
  </si>
  <si>
    <t>135/103</t>
  </si>
  <si>
    <t>149/84</t>
  </si>
  <si>
    <t>126/87</t>
  </si>
  <si>
    <t>125/109</t>
  </si>
  <si>
    <t>153/78</t>
  </si>
  <si>
    <t>143/86</t>
  </si>
  <si>
    <t>133/76</t>
  </si>
  <si>
    <t>143/81</t>
  </si>
  <si>
    <t>132/84</t>
  </si>
  <si>
    <t>132/107</t>
  </si>
  <si>
    <t>110/74</t>
  </si>
  <si>
    <t>122/74</t>
  </si>
  <si>
    <t>133/87</t>
  </si>
  <si>
    <t>130/79</t>
  </si>
  <si>
    <t>133/109</t>
  </si>
  <si>
    <t>151/92</t>
  </si>
  <si>
    <t>111/93</t>
  </si>
  <si>
    <t>121/108</t>
  </si>
  <si>
    <t>157/70</t>
  </si>
  <si>
    <t>117/71</t>
  </si>
  <si>
    <t>110/107</t>
  </si>
  <si>
    <t>119/95</t>
  </si>
  <si>
    <t>155/79</t>
  </si>
  <si>
    <t>155/97</t>
  </si>
  <si>
    <t>136/87</t>
  </si>
  <si>
    <t>149/79</t>
  </si>
  <si>
    <t>151/74</t>
  </si>
  <si>
    <t>119/90</t>
  </si>
  <si>
    <t>133/107</t>
  </si>
  <si>
    <t>112/109</t>
  </si>
  <si>
    <t>151/89</t>
  </si>
  <si>
    <t>134/106</t>
  </si>
  <si>
    <t>143/78</t>
  </si>
  <si>
    <t>123/88</t>
  </si>
  <si>
    <t>123/109</t>
  </si>
  <si>
    <t>126/104</t>
  </si>
  <si>
    <t>116/74</t>
  </si>
  <si>
    <t>133/97</t>
  </si>
  <si>
    <t>152/86</t>
  </si>
  <si>
    <t>126/103</t>
  </si>
  <si>
    <t>155/102</t>
  </si>
  <si>
    <t>124/76</t>
  </si>
  <si>
    <t>145/83</t>
  </si>
  <si>
    <t>131/88</t>
  </si>
  <si>
    <t>144/81</t>
  </si>
  <si>
    <t>114/79</t>
  </si>
  <si>
    <t>150/102</t>
  </si>
  <si>
    <t>141/80</t>
  </si>
  <si>
    <t>157/107</t>
  </si>
  <si>
    <t>133/104</t>
  </si>
  <si>
    <t>128/75</t>
  </si>
  <si>
    <t>149/104</t>
  </si>
  <si>
    <t>113/102</t>
  </si>
  <si>
    <t>152/88</t>
  </si>
  <si>
    <t>120/75</t>
  </si>
  <si>
    <t>150/94</t>
  </si>
  <si>
    <t>112/89</t>
  </si>
  <si>
    <t>151/93</t>
  </si>
  <si>
    <t>115/89</t>
  </si>
  <si>
    <t>120/101</t>
  </si>
  <si>
    <t>136/90</t>
  </si>
  <si>
    <t>153/82</t>
  </si>
  <si>
    <t>131/104</t>
  </si>
  <si>
    <t>137/90</t>
  </si>
  <si>
    <t>130/83</t>
  </si>
  <si>
    <t>140/98</t>
  </si>
  <si>
    <t>135/89</t>
  </si>
  <si>
    <t>132/98</t>
  </si>
  <si>
    <t>128/80</t>
  </si>
  <si>
    <t>123/106</t>
  </si>
  <si>
    <t>138/105</t>
  </si>
  <si>
    <t>138/83</t>
  </si>
  <si>
    <t>113/105</t>
  </si>
  <si>
    <t>159/82</t>
  </si>
  <si>
    <t>114/75</t>
  </si>
  <si>
    <t>147/72</t>
  </si>
  <si>
    <t>157/81</t>
  </si>
  <si>
    <t>146/107</t>
  </si>
  <si>
    <t>117/96</t>
  </si>
  <si>
    <t>111/74</t>
  </si>
  <si>
    <t>136/86</t>
  </si>
  <si>
    <t>152/96</t>
  </si>
  <si>
    <t>138/106</t>
  </si>
  <si>
    <t>114/98</t>
  </si>
  <si>
    <t>155/73</t>
  </si>
  <si>
    <t>118/72</t>
  </si>
  <si>
    <t>157/80</t>
  </si>
  <si>
    <t>130/93</t>
  </si>
  <si>
    <t>123/101</t>
  </si>
  <si>
    <t>151/101</t>
  </si>
  <si>
    <t>149/109</t>
  </si>
  <si>
    <t>135/81</t>
  </si>
  <si>
    <t>127/105</t>
  </si>
  <si>
    <t>158/96</t>
  </si>
  <si>
    <t>118/108</t>
  </si>
  <si>
    <t>110/76</t>
  </si>
  <si>
    <t>135/76</t>
  </si>
  <si>
    <t>125/72</t>
  </si>
  <si>
    <t>154/79</t>
  </si>
  <si>
    <t>159/76</t>
  </si>
  <si>
    <t>140/92</t>
  </si>
  <si>
    <t>157/88</t>
  </si>
  <si>
    <t>136/72</t>
  </si>
  <si>
    <t>137/86</t>
  </si>
  <si>
    <t>145/92</t>
  </si>
  <si>
    <t>134/89</t>
  </si>
  <si>
    <t>158/76</t>
  </si>
  <si>
    <t>138/98</t>
  </si>
  <si>
    <t>139/107</t>
  </si>
  <si>
    <t>115/76</t>
  </si>
  <si>
    <t>114/76</t>
  </si>
  <si>
    <t>130/90</t>
  </si>
  <si>
    <t>137/89</t>
  </si>
  <si>
    <t>143/74</t>
  </si>
  <si>
    <t>127/108</t>
  </si>
  <si>
    <t>143/83</t>
  </si>
  <si>
    <t>157/92</t>
  </si>
  <si>
    <t>129/82</t>
  </si>
  <si>
    <t>156/101</t>
  </si>
  <si>
    <t>135/83</t>
  </si>
  <si>
    <t>145/77</t>
  </si>
  <si>
    <t>149/91</t>
  </si>
  <si>
    <t>130/96</t>
  </si>
  <si>
    <t>126/102</t>
  </si>
  <si>
    <t>130/105</t>
  </si>
  <si>
    <t>113/95</t>
  </si>
  <si>
    <t>139/73</t>
  </si>
  <si>
    <t>146/77</t>
  </si>
  <si>
    <t>157/102</t>
  </si>
  <si>
    <t>114/85</t>
  </si>
  <si>
    <t>118/87</t>
  </si>
  <si>
    <t>119/78</t>
  </si>
  <si>
    <t>155/76</t>
  </si>
  <si>
    <t>137/74</t>
  </si>
  <si>
    <t>147/71</t>
  </si>
  <si>
    <t>152/108</t>
  </si>
  <si>
    <t>130/109</t>
  </si>
  <si>
    <t>146/87</t>
  </si>
  <si>
    <t>155/107</t>
  </si>
  <si>
    <t>126/86</t>
  </si>
  <si>
    <t>157/103</t>
  </si>
  <si>
    <t>126/82</t>
  </si>
  <si>
    <t>136/95</t>
  </si>
  <si>
    <t>137/82</t>
  </si>
  <si>
    <t>121/97</t>
  </si>
  <si>
    <t>120/78</t>
  </si>
  <si>
    <t>123/78</t>
  </si>
  <si>
    <t>148/72</t>
  </si>
  <si>
    <t>116/97</t>
  </si>
  <si>
    <t>151/81</t>
  </si>
  <si>
    <t>112/96</t>
  </si>
  <si>
    <t>127/99</t>
  </si>
  <si>
    <t>124/89</t>
  </si>
  <si>
    <t>117/100</t>
  </si>
  <si>
    <t>139/96</t>
  </si>
  <si>
    <t>153/95</t>
  </si>
  <si>
    <t>120/71</t>
  </si>
  <si>
    <t>110/100</t>
  </si>
  <si>
    <t>156/86</t>
  </si>
  <si>
    <t>139/79</t>
  </si>
  <si>
    <t>144/90</t>
  </si>
  <si>
    <t>112/90</t>
  </si>
  <si>
    <t>122/87</t>
  </si>
  <si>
    <t>133/96</t>
  </si>
  <si>
    <t>154/92</t>
  </si>
  <si>
    <t>155/99</t>
  </si>
  <si>
    <t>121/78</t>
  </si>
  <si>
    <t>113/108</t>
  </si>
  <si>
    <t>133/103</t>
  </si>
  <si>
    <t>148/74</t>
  </si>
  <si>
    <t>148/77</t>
  </si>
  <si>
    <t>110/103</t>
  </si>
  <si>
    <t>157/91</t>
  </si>
  <si>
    <t>111/80</t>
  </si>
  <si>
    <t>147/82</t>
  </si>
  <si>
    <t>153/92</t>
  </si>
  <si>
    <t>115/71</t>
  </si>
  <si>
    <t>158/98</t>
  </si>
  <si>
    <t>121/79</t>
  </si>
  <si>
    <t>118/79</t>
  </si>
  <si>
    <t>150/93</t>
  </si>
  <si>
    <t>131/83</t>
  </si>
  <si>
    <t>154/88</t>
  </si>
  <si>
    <t>122/95</t>
  </si>
  <si>
    <t>145/71</t>
  </si>
  <si>
    <t>136/76</t>
  </si>
  <si>
    <t>132/82</t>
  </si>
  <si>
    <t>123/89</t>
  </si>
  <si>
    <t>135/95</t>
  </si>
  <si>
    <t>127/101</t>
  </si>
  <si>
    <t>123/72</t>
  </si>
  <si>
    <t>122/83</t>
  </si>
  <si>
    <t>152/70</t>
  </si>
  <si>
    <t>116/80</t>
  </si>
  <si>
    <t>155/81</t>
  </si>
  <si>
    <t>158/79</t>
  </si>
  <si>
    <t>145/76</t>
  </si>
  <si>
    <t>120/83</t>
  </si>
  <si>
    <t>119/74</t>
  </si>
  <si>
    <t>127/85</t>
  </si>
  <si>
    <t>132/106</t>
  </si>
  <si>
    <t>153/100</t>
  </si>
  <si>
    <t>151/83</t>
  </si>
  <si>
    <t>121/106</t>
  </si>
  <si>
    <t>111/104</t>
  </si>
  <si>
    <t>153/72</t>
  </si>
  <si>
    <t>121/88</t>
  </si>
  <si>
    <t>126/85</t>
  </si>
  <si>
    <t>150/84</t>
  </si>
  <si>
    <t>129/108</t>
  </si>
  <si>
    <t>140/87</t>
  </si>
  <si>
    <t>148/105</t>
  </si>
  <si>
    <t>129/97</t>
  </si>
  <si>
    <t>159/89</t>
  </si>
  <si>
    <t>136/77</t>
  </si>
  <si>
    <t>141/70</t>
  </si>
  <si>
    <t>129/101</t>
  </si>
  <si>
    <t>154/78</t>
  </si>
  <si>
    <t>139/89</t>
  </si>
  <si>
    <t>147/70</t>
  </si>
  <si>
    <t>114/104</t>
  </si>
  <si>
    <t>134/79</t>
  </si>
  <si>
    <t>144/76</t>
  </si>
  <si>
    <t>151/82</t>
  </si>
  <si>
    <t>123/87</t>
  </si>
  <si>
    <t>132/76</t>
  </si>
  <si>
    <t>121/94</t>
  </si>
  <si>
    <t>138/87</t>
  </si>
  <si>
    <t>124/108</t>
  </si>
  <si>
    <t>137/70</t>
  </si>
  <si>
    <t>114/91</t>
  </si>
  <si>
    <t>145/82</t>
  </si>
  <si>
    <t>124/81</t>
  </si>
  <si>
    <t>116/78</t>
  </si>
  <si>
    <t>Column Labels</t>
  </si>
  <si>
    <t>Grand Total</t>
  </si>
  <si>
    <t>Row Labels</t>
  </si>
  <si>
    <t>Average of Weight</t>
  </si>
  <si>
    <t>Count of Patient_ID</t>
  </si>
  <si>
    <t>Frequency</t>
  </si>
  <si>
    <t>Physical Activity</t>
  </si>
  <si>
    <t>bin</t>
  </si>
  <si>
    <t>Medical History</t>
  </si>
  <si>
    <t>Family History</t>
  </si>
  <si>
    <t>total no. of patients</t>
  </si>
  <si>
    <t>Heart disease patients</t>
  </si>
  <si>
    <t>Diabetic patients</t>
  </si>
  <si>
    <t>BMI category</t>
  </si>
  <si>
    <t>18.5-21.5</t>
  </si>
  <si>
    <t>21.5-24.5</t>
  </si>
  <si>
    <t>24.5-27.5</t>
  </si>
  <si>
    <t>27.5-30.5</t>
  </si>
  <si>
    <t>30.5-33.5</t>
  </si>
  <si>
    <t>33.5-36.5</t>
  </si>
  <si>
    <t>`</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</si>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</sst>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8"/>
      <color theme="4" tint="0.59999389629810485"/>
      <name val="Calibri"/>
      <family val="2"/>
      <scheme val="minor"/>
    </font>
    <font>
      <b/>
      <sz val="18"/>
      <color theme="1"/>
      <name val="Segoe UI Black"/>
      <family val="2"/>
    </font>
    <font>
      <sz val="16"/>
      <color theme="1"/>
      <name val="Calibri"/>
      <family val="2"/>
      <scheme val="minor"/>
    </font>
    <font>
      <sz val="18"/>
      <color theme="1"/>
      <name val="Calibri"/>
      <family val="2"/>
      <scheme val="minor"/>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left"/>
    </xf>
    <xf numFmtId="0" fontId="0" fillId="0" borderId="10" xfId="0" applyBorder="1"/>
    <xf numFmtId="0" fontId="18" fillId="0" borderId="11" xfId="0" applyFont="1" applyBorder="1" applyAlignment="1">
      <alignment horizontal="center"/>
    </xf>
    <xf numFmtId="0" fontId="0" fillId="33" borderId="0" xfId="0" applyFill="1"/>
    <xf numFmtId="0" fontId="22" fillId="33" borderId="0" xfId="0" applyFont="1" applyFill="1"/>
    <xf numFmtId="0" fontId="0" fillId="0" borderId="0" xfId="0" applyAlignment="1">
      <alignment horizontal="center"/>
    </xf>
    <xf numFmtId="0" fontId="21" fillId="0" borderId="0" xfId="0" applyFont="1" applyAlignment="1">
      <alignment horizontal="center"/>
    </xf>
    <xf numFmtId="164" fontId="23" fillId="0" borderId="0" xfId="0" applyNumberFormat="1" applyFont="1" applyAlignment="1">
      <alignment horizontal="center"/>
    </xf>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center"/>
    </dxf>
    <dxf>
      <font>
        <sz val="20"/>
      </font>
    </dxf>
    <dxf>
      <font>
        <sz val="16"/>
      </font>
    </dxf>
    <dxf>
      <alignment horizontal="center"/>
    </dxf>
    <dxf>
      <font>
        <sz val="16"/>
      </font>
    </dxf>
    <dxf>
      <alignment horizontal="center"/>
    </dxf>
    <dxf>
      <numFmt numFmtId="164" formatCode="0.0"/>
    </dxf>
    <dxf>
      <numFmt numFmtId="164" formatCode="0.0"/>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Avg.</a:t>
            </a:r>
            <a:r>
              <a:rPr lang="en-US" sz="1100" baseline="0">
                <a:solidFill>
                  <a:schemeClr val="tx1"/>
                </a:solidFill>
              </a:rPr>
              <a:t> weight vary by physical activity</a:t>
            </a:r>
            <a:r>
              <a:rPr lang="en-US" sz="1100">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Medium</c:v>
                </c:pt>
                <c:pt idx="1">
                  <c:v>High</c:v>
                </c:pt>
                <c:pt idx="2">
                  <c:v>Low</c:v>
                </c:pt>
              </c:strCache>
            </c:strRef>
          </c:cat>
          <c:val>
            <c:numRef>
              <c:f>Sheet2!$B$5:$B$8</c:f>
              <c:numCache>
                <c:formatCode>0.0</c:formatCode>
                <c:ptCount val="3"/>
                <c:pt idx="0">
                  <c:v>77.642857142857139</c:v>
                </c:pt>
                <c:pt idx="1">
                  <c:v>74.271428571428572</c:v>
                </c:pt>
                <c:pt idx="2">
                  <c:v>74.724719101123597</c:v>
                </c:pt>
              </c:numCache>
            </c:numRef>
          </c:val>
          <c:extLst>
            <c:ext xmlns:c16="http://schemas.microsoft.com/office/drawing/2014/chart" uri="{C3380CC4-5D6E-409C-BE32-E72D297353CC}">
              <c16:uniqueId val="{00000000-C820-499D-B4F5-2CD49C832703}"/>
            </c:ext>
          </c:extLst>
        </c:ser>
        <c:ser>
          <c:idx val="1"/>
          <c:order val="1"/>
          <c:tx>
            <c:strRef>
              <c:f>Sheet2!$C$3:$C$4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Medium</c:v>
                </c:pt>
                <c:pt idx="1">
                  <c:v>High</c:v>
                </c:pt>
                <c:pt idx="2">
                  <c:v>Low</c:v>
                </c:pt>
              </c:strCache>
            </c:strRef>
          </c:cat>
          <c:val>
            <c:numRef>
              <c:f>Sheet2!$C$5:$C$8</c:f>
              <c:numCache>
                <c:formatCode>0.0</c:formatCode>
                <c:ptCount val="3"/>
                <c:pt idx="0">
                  <c:v>72.903225806451616</c:v>
                </c:pt>
                <c:pt idx="1">
                  <c:v>74.748201438848923</c:v>
                </c:pt>
                <c:pt idx="2">
                  <c:v>73.31360946745562</c:v>
                </c:pt>
              </c:numCache>
            </c:numRef>
          </c:val>
          <c:extLst>
            <c:ext xmlns:c16="http://schemas.microsoft.com/office/drawing/2014/chart" uri="{C3380CC4-5D6E-409C-BE32-E72D297353CC}">
              <c16:uniqueId val="{00000003-BA3E-4E4F-9F20-C5000F1C155A}"/>
            </c:ext>
          </c:extLst>
        </c:ser>
        <c:ser>
          <c:idx val="2"/>
          <c:order val="2"/>
          <c:tx>
            <c:strRef>
              <c:f>Sheet2!$D$3:$D$4</c:f>
              <c:strCache>
                <c:ptCount val="1"/>
                <c:pt idx="0">
                  <c:v>Very High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Medium</c:v>
                </c:pt>
                <c:pt idx="1">
                  <c:v>High</c:v>
                </c:pt>
                <c:pt idx="2">
                  <c:v>Low</c:v>
                </c:pt>
              </c:strCache>
            </c:strRef>
          </c:cat>
          <c:val>
            <c:numRef>
              <c:f>Sheet2!$D$5:$D$8</c:f>
              <c:numCache>
                <c:formatCode>0.0</c:formatCode>
                <c:ptCount val="3"/>
                <c:pt idx="0">
                  <c:v>81.125</c:v>
                </c:pt>
                <c:pt idx="1">
                  <c:v>73.529411764705884</c:v>
                </c:pt>
                <c:pt idx="2">
                  <c:v>74.213414634146346</c:v>
                </c:pt>
              </c:numCache>
            </c:numRef>
          </c:val>
          <c:extLst>
            <c:ext xmlns:c16="http://schemas.microsoft.com/office/drawing/2014/chart" uri="{C3380CC4-5D6E-409C-BE32-E72D297353CC}">
              <c16:uniqueId val="{00000004-BA3E-4E4F-9F20-C5000F1C155A}"/>
            </c:ext>
          </c:extLst>
        </c:ser>
        <c:dLbls>
          <c:dLblPos val="outEnd"/>
          <c:showLegendKey val="0"/>
          <c:showVal val="1"/>
          <c:showCatName val="0"/>
          <c:showSerName val="0"/>
          <c:showPercent val="0"/>
          <c:showBubbleSize val="0"/>
        </c:dLbls>
        <c:gapWidth val="219"/>
        <c:overlap val="-27"/>
        <c:axId val="895746783"/>
        <c:axId val="895759263"/>
      </c:barChart>
      <c:catAx>
        <c:axId val="89574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59263"/>
        <c:crosses val="autoZero"/>
        <c:auto val="1"/>
        <c:lblAlgn val="ctr"/>
        <c:lblOffset val="100"/>
        <c:noMultiLvlLbl val="0"/>
      </c:catAx>
      <c:valAx>
        <c:axId val="8957592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4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Avg.</a:t>
            </a:r>
            <a:r>
              <a:rPr lang="en-US" sz="1200" b="1" baseline="0">
                <a:solidFill>
                  <a:schemeClr val="tx1"/>
                </a:solidFill>
              </a:rPr>
              <a:t> weight vary by Physical activity </a:t>
            </a:r>
            <a:endParaRPr lang="en-US" sz="1200" b="1">
              <a:solidFill>
                <a:schemeClr val="tx1"/>
              </a:solidFill>
            </a:endParaRPr>
          </a:p>
        </c:rich>
      </c:tx>
      <c:layout>
        <c:manualLayout>
          <c:xMode val="edge"/>
          <c:yMode val="edge"/>
          <c:x val="0.24538115427879206"/>
          <c:y val="2.8410526630939195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83009433861473"/>
          <c:y val="0.19385776297193624"/>
          <c:w val="0.7665992158035877"/>
          <c:h val="0.61604784978800731"/>
        </c:manualLayout>
      </c:layout>
      <c:barChart>
        <c:barDir val="col"/>
        <c:grouping val="clustered"/>
        <c:varyColors val="0"/>
        <c:ser>
          <c:idx val="0"/>
          <c:order val="0"/>
          <c:tx>
            <c:strRef>
              <c:f>Sheet2!$B$3:$B$4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Medium</c:v>
                </c:pt>
                <c:pt idx="1">
                  <c:v>High</c:v>
                </c:pt>
                <c:pt idx="2">
                  <c:v>Low</c:v>
                </c:pt>
              </c:strCache>
            </c:strRef>
          </c:cat>
          <c:val>
            <c:numRef>
              <c:f>Sheet2!$B$5:$B$8</c:f>
              <c:numCache>
                <c:formatCode>0.0</c:formatCode>
                <c:ptCount val="3"/>
                <c:pt idx="0">
                  <c:v>77.642857142857139</c:v>
                </c:pt>
                <c:pt idx="1">
                  <c:v>74.271428571428572</c:v>
                </c:pt>
                <c:pt idx="2">
                  <c:v>74.724719101123597</c:v>
                </c:pt>
              </c:numCache>
            </c:numRef>
          </c:val>
          <c:extLst>
            <c:ext xmlns:c16="http://schemas.microsoft.com/office/drawing/2014/chart" uri="{C3380CC4-5D6E-409C-BE32-E72D297353CC}">
              <c16:uniqueId val="{00000000-C2A8-4AEB-86B7-33FD8D2F6132}"/>
            </c:ext>
          </c:extLst>
        </c:ser>
        <c:ser>
          <c:idx val="1"/>
          <c:order val="1"/>
          <c:tx>
            <c:strRef>
              <c:f>Sheet2!$C$3:$C$4</c:f>
              <c:strCache>
                <c:ptCount val="1"/>
                <c:pt idx="0">
                  <c:v>Normal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Medium</c:v>
                </c:pt>
                <c:pt idx="1">
                  <c:v>High</c:v>
                </c:pt>
                <c:pt idx="2">
                  <c:v>Low</c:v>
                </c:pt>
              </c:strCache>
            </c:strRef>
          </c:cat>
          <c:val>
            <c:numRef>
              <c:f>Sheet2!$C$5:$C$8</c:f>
              <c:numCache>
                <c:formatCode>0.0</c:formatCode>
                <c:ptCount val="3"/>
                <c:pt idx="0">
                  <c:v>72.903225806451616</c:v>
                </c:pt>
                <c:pt idx="1">
                  <c:v>74.748201438848923</c:v>
                </c:pt>
                <c:pt idx="2">
                  <c:v>73.31360946745562</c:v>
                </c:pt>
              </c:numCache>
            </c:numRef>
          </c:val>
          <c:extLst>
            <c:ext xmlns:c16="http://schemas.microsoft.com/office/drawing/2014/chart" uri="{C3380CC4-5D6E-409C-BE32-E72D297353CC}">
              <c16:uniqueId val="{00000005-C2A8-4AEB-86B7-33FD8D2F6132}"/>
            </c:ext>
          </c:extLst>
        </c:ser>
        <c:ser>
          <c:idx val="2"/>
          <c:order val="2"/>
          <c:tx>
            <c:strRef>
              <c:f>Sheet2!$D$3:$D$4</c:f>
              <c:strCache>
                <c:ptCount val="1"/>
                <c:pt idx="0">
                  <c:v>Very High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Medium</c:v>
                </c:pt>
                <c:pt idx="1">
                  <c:v>High</c:v>
                </c:pt>
                <c:pt idx="2">
                  <c:v>Low</c:v>
                </c:pt>
              </c:strCache>
            </c:strRef>
          </c:cat>
          <c:val>
            <c:numRef>
              <c:f>Sheet2!$D$5:$D$8</c:f>
              <c:numCache>
                <c:formatCode>0.0</c:formatCode>
                <c:ptCount val="3"/>
                <c:pt idx="0">
                  <c:v>81.125</c:v>
                </c:pt>
                <c:pt idx="1">
                  <c:v>73.529411764705884</c:v>
                </c:pt>
                <c:pt idx="2">
                  <c:v>74.213414634146346</c:v>
                </c:pt>
              </c:numCache>
            </c:numRef>
          </c:val>
          <c:extLst>
            <c:ext xmlns:c16="http://schemas.microsoft.com/office/drawing/2014/chart" uri="{C3380CC4-5D6E-409C-BE32-E72D297353CC}">
              <c16:uniqueId val="{00000006-C2A8-4AEB-86B7-33FD8D2F6132}"/>
            </c:ext>
          </c:extLst>
        </c:ser>
        <c:dLbls>
          <c:dLblPos val="outEnd"/>
          <c:showLegendKey val="0"/>
          <c:showVal val="1"/>
          <c:showCatName val="0"/>
          <c:showSerName val="0"/>
          <c:showPercent val="0"/>
          <c:showBubbleSize val="0"/>
        </c:dLbls>
        <c:gapWidth val="219"/>
        <c:overlap val="-27"/>
        <c:axId val="895746783"/>
        <c:axId val="895759263"/>
      </c:barChart>
      <c:catAx>
        <c:axId val="89574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Physical</a:t>
                </a:r>
                <a:r>
                  <a:rPr lang="en-US" baseline="0"/>
                  <a:t> Activity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59263"/>
        <c:crosses val="autoZero"/>
        <c:auto val="1"/>
        <c:lblAlgn val="ctr"/>
        <c:lblOffset val="100"/>
        <c:noMultiLvlLbl val="0"/>
      </c:catAx>
      <c:valAx>
        <c:axId val="895759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4678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3681933508311446"/>
          <c:y val="0.27482290949372778"/>
          <c:w val="0.14265769903762029"/>
          <c:h val="0.38498368312325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[chronic_disease.xlsx]Sheet3!PivotTable2</c:name>
    <c:fmtId val="19"/>
  </c:pivotSource>
  <c:chart>
    <c:title>
      <c:tx>
        <c:rich>
          <a:bodyPr rot="0" spcFirstLastPara="1" vertOverflow="ellipsis" vert="horz" wrap="square" anchor="ctr" anchorCtr="1"/>
          <a:lstStyle/>
          <a:p>
            <a:pPr>
              <a:defRPr sz="1080" b="1" i="0" u="none" strike="noStrike" kern="1200" spc="0" baseline="0">
                <a:solidFill>
                  <a:schemeClr val="tx1">
                    <a:lumMod val="95000"/>
                    <a:lumOff val="5000"/>
                  </a:schemeClr>
                </a:solidFill>
                <a:latin typeface="+mn-lt"/>
                <a:ea typeface="+mn-ea"/>
                <a:cs typeface="+mn-cs"/>
              </a:defRPr>
            </a:pPr>
            <a:r>
              <a:rPr lang="en-US" sz="1200"/>
              <a:t>Patient</a:t>
            </a:r>
            <a:r>
              <a:rPr lang="en-US" sz="1200" baseline="0"/>
              <a:t> Risk Level Brekdown by Smoking Habit</a:t>
            </a:r>
            <a:endParaRPr lang="en-US" sz="1200"/>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08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9670632750242"/>
          <c:y val="0.14225602481507993"/>
          <c:w val="0.77508146427038471"/>
          <c:h val="0.63238964447625867"/>
        </c:manualLayout>
      </c:layout>
      <c:barChart>
        <c:barDir val="bar"/>
        <c:grouping val="stacked"/>
        <c:varyColors val="0"/>
        <c:ser>
          <c:idx val="0"/>
          <c:order val="0"/>
          <c:tx>
            <c:strRef>
              <c:f>Sheet3!$B$3:$B$4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2"/>
                <c:pt idx="0">
                  <c:v>No</c:v>
                </c:pt>
                <c:pt idx="1">
                  <c:v>Yes</c:v>
                </c:pt>
              </c:strCache>
            </c:strRef>
          </c:cat>
          <c:val>
            <c:numRef>
              <c:f>Sheet3!$B$5:$B$6</c:f>
              <c:numCache>
                <c:formatCode>General</c:formatCode>
                <c:ptCount val="2"/>
                <c:pt idx="0">
                  <c:v>176</c:v>
                </c:pt>
                <c:pt idx="1">
                  <c:v>166</c:v>
                </c:pt>
              </c:numCache>
            </c:numRef>
          </c:val>
          <c:extLst>
            <c:ext xmlns:c16="http://schemas.microsoft.com/office/drawing/2014/chart" uri="{C3380CC4-5D6E-409C-BE32-E72D297353CC}">
              <c16:uniqueId val="{00000000-8063-4A22-9414-09E11A780D54}"/>
            </c:ext>
          </c:extLst>
        </c:ser>
        <c:ser>
          <c:idx val="1"/>
          <c:order val="1"/>
          <c:tx>
            <c:strRef>
              <c:f>Sheet3!$C$3:$C$4</c:f>
              <c:strCache>
                <c:ptCount val="1"/>
                <c:pt idx="0">
                  <c:v>Low</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2"/>
                <c:pt idx="0">
                  <c:v>No</c:v>
                </c:pt>
                <c:pt idx="1">
                  <c:v>Yes</c:v>
                </c:pt>
              </c:strCache>
            </c:strRef>
          </c:cat>
          <c:val>
            <c:numRef>
              <c:f>Sheet3!$C$5:$C$6</c:f>
              <c:numCache>
                <c:formatCode>General</c:formatCode>
                <c:ptCount val="2"/>
                <c:pt idx="0">
                  <c:v>182</c:v>
                </c:pt>
                <c:pt idx="1">
                  <c:v>169</c:v>
                </c:pt>
              </c:numCache>
            </c:numRef>
          </c:val>
          <c:extLst>
            <c:ext xmlns:c16="http://schemas.microsoft.com/office/drawing/2014/chart" uri="{C3380CC4-5D6E-409C-BE32-E72D297353CC}">
              <c16:uniqueId val="{00000004-8063-4A22-9414-09E11A780D54}"/>
            </c:ext>
          </c:extLst>
        </c:ser>
        <c:ser>
          <c:idx val="2"/>
          <c:order val="2"/>
          <c:tx>
            <c:strRef>
              <c:f>Sheet3!$D$3:$D$4</c:f>
              <c:strCache>
                <c:ptCount val="1"/>
                <c:pt idx="0">
                  <c:v>Medium</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2"/>
                <c:pt idx="0">
                  <c:v>No</c:v>
                </c:pt>
                <c:pt idx="1">
                  <c:v>Yes</c:v>
                </c:pt>
              </c:strCache>
            </c:strRef>
          </c:cat>
          <c:val>
            <c:numRef>
              <c:f>Sheet3!$D$5:$D$6</c:f>
              <c:numCache>
                <c:formatCode>General</c:formatCode>
                <c:ptCount val="2"/>
                <c:pt idx="0">
                  <c:v>157</c:v>
                </c:pt>
                <c:pt idx="1">
                  <c:v>176</c:v>
                </c:pt>
              </c:numCache>
            </c:numRef>
          </c:val>
          <c:extLst>
            <c:ext xmlns:c16="http://schemas.microsoft.com/office/drawing/2014/chart" uri="{C3380CC4-5D6E-409C-BE32-E72D297353CC}">
              <c16:uniqueId val="{00000005-8063-4A22-9414-09E11A780D54}"/>
            </c:ext>
          </c:extLst>
        </c:ser>
        <c:dLbls>
          <c:dLblPos val="ctr"/>
          <c:showLegendKey val="0"/>
          <c:showVal val="1"/>
          <c:showCatName val="0"/>
          <c:showSerName val="0"/>
          <c:showPercent val="0"/>
          <c:showBubbleSize val="0"/>
        </c:dLbls>
        <c:gapWidth val="150"/>
        <c:overlap val="100"/>
        <c:axId val="1178894911"/>
        <c:axId val="1178871391"/>
      </c:barChart>
      <c:catAx>
        <c:axId val="11788949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r>
                  <a:rPr lang="en-US" b="0"/>
                  <a:t>Smoke</a:t>
                </a:r>
                <a:r>
                  <a:rPr lang="en-US"/>
                  <a:t>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78871391"/>
        <c:crosses val="autoZero"/>
        <c:auto val="1"/>
        <c:lblAlgn val="ctr"/>
        <c:lblOffset val="100"/>
        <c:noMultiLvlLbl val="0"/>
      </c:catAx>
      <c:valAx>
        <c:axId val="11788713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r>
                  <a:rPr lang="en-US" b="0"/>
                  <a:t>No.</a:t>
                </a:r>
                <a:r>
                  <a:rPr lang="en-US" b="0" baseline="0"/>
                  <a:t> of Patients</a:t>
                </a:r>
                <a:endParaRPr lang="en-US" b="0"/>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7889491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81527710478497872"/>
          <c:y val="0.33333273681698877"/>
          <c:w val="0.13041641429436704"/>
          <c:h val="0.315343593414459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900" b="1">
          <a:solidFill>
            <a:schemeClr val="tx1">
              <a:lumMod val="95000"/>
              <a:lumOff val="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[chronic_disease.xlsx]Sheet4!PivotTable1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lumMod val="50000"/>
            </a:schemeClr>
          </a:solidFill>
          <a:ln>
            <a:noFill/>
          </a:ln>
          <a:effectLst/>
        </c:spPr>
      </c:pivotFmt>
      <c:pivotFmt>
        <c:idx val="10"/>
        <c:spPr>
          <a:solidFill>
            <a:schemeClr val="bg2">
              <a:lumMod val="75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59266372191282E-2"/>
          <c:y val="0.20917322834645666"/>
          <c:w val="0.39669322338644675"/>
          <c:h val="0.62975049212598422"/>
        </c:manualLayout>
      </c:layout>
      <c:pieChart>
        <c:varyColors val="1"/>
        <c:ser>
          <c:idx val="0"/>
          <c:order val="0"/>
          <c:tx>
            <c:strRef>
              <c:f>Sheet4!$B$3:$B$4</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1-7FC0-4ED2-8CB1-A40D265C355A}"/>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7FC0-4ED2-8CB1-A40D265C355A}"/>
              </c:ext>
            </c:extLst>
          </c:dPt>
          <c:dPt>
            <c:idx val="2"/>
            <c:bubble3D val="0"/>
            <c:spPr>
              <a:solidFill>
                <a:schemeClr val="bg2">
                  <a:lumMod val="75000"/>
                </a:schemeClr>
              </a:solidFill>
              <a:ln>
                <a:noFill/>
              </a:ln>
              <a:effectLst/>
            </c:spPr>
            <c:extLst>
              <c:ext xmlns:c16="http://schemas.microsoft.com/office/drawing/2014/chart" uri="{C3380CC4-5D6E-409C-BE32-E72D297353CC}">
                <c16:uniqueId val="{00000005-7FC0-4ED2-8CB1-A40D265C355A}"/>
              </c:ext>
            </c:extLst>
          </c:dPt>
          <c:dPt>
            <c:idx val="3"/>
            <c:bubble3D val="0"/>
            <c:spPr>
              <a:solidFill>
                <a:schemeClr val="accent2">
                  <a:lumMod val="40000"/>
                  <a:lumOff val="60000"/>
                </a:schemeClr>
              </a:solidFill>
              <a:ln>
                <a:noFill/>
              </a:ln>
              <a:effectLst/>
            </c:spPr>
            <c:extLst>
              <c:ext xmlns:c16="http://schemas.microsoft.com/office/drawing/2014/chart" uri="{C3380CC4-5D6E-409C-BE32-E72D297353CC}">
                <c16:uniqueId val="{00000007-7FC0-4ED2-8CB1-A40D265C35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Sheet4!$A$5:$A$9</c:f>
              <c:strCache>
                <c:ptCount val="4"/>
                <c:pt idx="0">
                  <c:v>Diabetes</c:v>
                </c:pt>
                <c:pt idx="1">
                  <c:v>Heart Disease</c:v>
                </c:pt>
                <c:pt idx="2">
                  <c:v>Hypertension</c:v>
                </c:pt>
                <c:pt idx="3">
                  <c:v>None</c:v>
                </c:pt>
              </c:strCache>
            </c:strRef>
          </c:cat>
          <c:val>
            <c:numRef>
              <c:f>Sheet4!$B$5:$B$9</c:f>
              <c:numCache>
                <c:formatCode>General</c:formatCode>
                <c:ptCount val="4"/>
                <c:pt idx="0">
                  <c:v>135</c:v>
                </c:pt>
                <c:pt idx="1">
                  <c:v>124</c:v>
                </c:pt>
                <c:pt idx="2">
                  <c:v>150</c:v>
                </c:pt>
                <c:pt idx="3">
                  <c:v>118</c:v>
                </c:pt>
              </c:numCache>
            </c:numRef>
          </c:val>
          <c:extLst>
            <c:ext xmlns:c16="http://schemas.microsoft.com/office/drawing/2014/chart" uri="{C3380CC4-5D6E-409C-BE32-E72D297353CC}">
              <c16:uniqueId val="{00000008-7FC0-4ED2-8CB1-A40D265C355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0772058823529416"/>
          <c:y val="0.29030327939776757"/>
          <c:w val="0.2702205882352941"/>
          <c:h val="0.48368131868131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[chronic_disease.xlsx]Sheet6!PivotTable6</c:name>
    <c:fmtId val="4"/>
  </c:pivotSource>
  <c:chart>
    <c:title>
      <c:tx>
        <c:rich>
          <a:bodyPr rot="0" vert="horz"/>
          <a:lstStyle/>
          <a:p>
            <a:pPr>
              <a:defRPr/>
            </a:pPr>
            <a:r>
              <a:rPr lang="en-US" sz="1200"/>
              <a:t>BMI Vs Patient count</a:t>
            </a:r>
          </a:p>
        </c:rich>
      </c:tx>
      <c:layout>
        <c:manualLayout>
          <c:xMode val="edge"/>
          <c:yMode val="edge"/>
          <c:x val="0.33526968799065032"/>
          <c:y val="2.4096385542168676E-2"/>
        </c:manualLayout>
      </c:layout>
      <c:overlay val="0"/>
      <c:spPr>
        <a:solidFill>
          <a:schemeClr val="accent1">
            <a:lumMod val="20000"/>
            <a:lumOff val="80000"/>
          </a:schemeClr>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42111482313001E-2"/>
          <c:y val="0.16921686746987954"/>
          <c:w val="0.89214424595288477"/>
          <c:h val="0.55242624039464949"/>
        </c:manualLayout>
      </c:layout>
      <c:barChart>
        <c:barDir val="col"/>
        <c:grouping val="clustered"/>
        <c:varyColors val="0"/>
        <c:ser>
          <c:idx val="1"/>
          <c:order val="0"/>
          <c:tx>
            <c:strRef>
              <c:f>Sheet6!$B$1</c:f>
              <c:strCache>
                <c:ptCount val="1"/>
                <c:pt idx="0">
                  <c:v>Total</c:v>
                </c:pt>
              </c:strCache>
            </c:strRef>
          </c:tx>
          <c:spPr>
            <a:solidFill>
              <a:srgbClr val="0070C0"/>
            </a:solidFill>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Sheet6!$A$2:$A$8</c:f>
              <c:strCache>
                <c:ptCount val="6"/>
                <c:pt idx="0">
                  <c:v>18.5-21.5</c:v>
                </c:pt>
                <c:pt idx="1">
                  <c:v>21.5-24.5</c:v>
                </c:pt>
                <c:pt idx="2">
                  <c:v>24.5-27.5</c:v>
                </c:pt>
                <c:pt idx="3">
                  <c:v>27.5-30.5</c:v>
                </c:pt>
                <c:pt idx="4">
                  <c:v>30.5-33.5</c:v>
                </c:pt>
                <c:pt idx="5">
                  <c:v>33.5-36.5</c:v>
                </c:pt>
              </c:strCache>
            </c:strRef>
          </c:cat>
          <c:val>
            <c:numRef>
              <c:f>Sheet6!$B$2:$B$8</c:f>
              <c:numCache>
                <c:formatCode>General</c:formatCode>
                <c:ptCount val="6"/>
                <c:pt idx="0">
                  <c:v>203</c:v>
                </c:pt>
                <c:pt idx="1">
                  <c:v>193</c:v>
                </c:pt>
                <c:pt idx="2">
                  <c:v>189</c:v>
                </c:pt>
                <c:pt idx="3">
                  <c:v>172</c:v>
                </c:pt>
                <c:pt idx="4">
                  <c:v>169</c:v>
                </c:pt>
                <c:pt idx="5">
                  <c:v>100</c:v>
                </c:pt>
              </c:numCache>
            </c:numRef>
          </c:val>
          <c:extLst>
            <c:ext xmlns:c16="http://schemas.microsoft.com/office/drawing/2014/chart" uri="{C3380CC4-5D6E-409C-BE32-E72D297353CC}">
              <c16:uniqueId val="{00000004-5EE5-415A-9C79-17F395D589E5}"/>
            </c:ext>
          </c:extLst>
        </c:ser>
        <c:dLbls>
          <c:dLblPos val="outEnd"/>
          <c:showLegendKey val="0"/>
          <c:showVal val="1"/>
          <c:showCatName val="0"/>
          <c:showSerName val="0"/>
          <c:showPercent val="0"/>
          <c:showBubbleSize val="0"/>
        </c:dLbls>
        <c:gapWidth val="51"/>
        <c:overlap val="-27"/>
        <c:axId val="120320815"/>
        <c:axId val="120309775"/>
      </c:barChart>
      <c:catAx>
        <c:axId val="1203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20309775"/>
        <c:crosses val="autoZero"/>
        <c:auto val="1"/>
        <c:lblAlgn val="ctr"/>
        <c:lblOffset val="100"/>
        <c:noMultiLvlLbl val="0"/>
      </c:catAx>
      <c:valAx>
        <c:axId val="12030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20320815"/>
        <c:crosses val="autoZero"/>
        <c:crossBetween val="between"/>
      </c:valAx>
    </c:plotArea>
    <c:plotVisOnly val="1"/>
    <c:dispBlanksAs val="gap"/>
    <c:showDLblsOverMax val="0"/>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[chronic_disease.xlsx]Sheet3!PivotTable2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2"/>
                <c:pt idx="0">
                  <c:v>No</c:v>
                </c:pt>
                <c:pt idx="1">
                  <c:v>Yes</c:v>
                </c:pt>
              </c:strCache>
            </c:strRef>
          </c:cat>
          <c:val>
            <c:numRef>
              <c:f>Sheet3!$B$5:$B$6</c:f>
              <c:numCache>
                <c:formatCode>General</c:formatCode>
                <c:ptCount val="2"/>
                <c:pt idx="0">
                  <c:v>176</c:v>
                </c:pt>
                <c:pt idx="1">
                  <c:v>166</c:v>
                </c:pt>
              </c:numCache>
            </c:numRef>
          </c:val>
          <c:extLst>
            <c:ext xmlns:c16="http://schemas.microsoft.com/office/drawing/2014/chart" uri="{C3380CC4-5D6E-409C-BE32-E72D297353CC}">
              <c16:uniqueId val="{00000000-FE07-45A8-9E52-4A10DD8CFC02}"/>
            </c:ext>
          </c:extLst>
        </c:ser>
        <c:ser>
          <c:idx val="1"/>
          <c:order val="1"/>
          <c:tx>
            <c:strRef>
              <c:f>Sheet3!$C$3:$C$4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2"/>
                <c:pt idx="0">
                  <c:v>No</c:v>
                </c:pt>
                <c:pt idx="1">
                  <c:v>Yes</c:v>
                </c:pt>
              </c:strCache>
            </c:strRef>
          </c:cat>
          <c:val>
            <c:numRef>
              <c:f>Sheet3!$C$5:$C$6</c:f>
              <c:numCache>
                <c:formatCode>General</c:formatCode>
                <c:ptCount val="2"/>
                <c:pt idx="0">
                  <c:v>182</c:v>
                </c:pt>
                <c:pt idx="1">
                  <c:v>169</c:v>
                </c:pt>
              </c:numCache>
            </c:numRef>
          </c:val>
          <c:extLst>
            <c:ext xmlns:c16="http://schemas.microsoft.com/office/drawing/2014/chart" uri="{C3380CC4-5D6E-409C-BE32-E72D297353CC}">
              <c16:uniqueId val="{00000002-4614-4D24-A360-DB956F7479E0}"/>
            </c:ext>
          </c:extLst>
        </c:ser>
        <c:ser>
          <c:idx val="2"/>
          <c:order val="2"/>
          <c:tx>
            <c:strRef>
              <c:f>Sheet3!$D$3:$D$4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2"/>
                <c:pt idx="0">
                  <c:v>No</c:v>
                </c:pt>
                <c:pt idx="1">
                  <c:v>Yes</c:v>
                </c:pt>
              </c:strCache>
            </c:strRef>
          </c:cat>
          <c:val>
            <c:numRef>
              <c:f>Sheet3!$D$5:$D$6</c:f>
              <c:numCache>
                <c:formatCode>General</c:formatCode>
                <c:ptCount val="2"/>
                <c:pt idx="0">
                  <c:v>157</c:v>
                </c:pt>
                <c:pt idx="1">
                  <c:v>176</c:v>
                </c:pt>
              </c:numCache>
            </c:numRef>
          </c:val>
          <c:extLst>
            <c:ext xmlns:c16="http://schemas.microsoft.com/office/drawing/2014/chart" uri="{C3380CC4-5D6E-409C-BE32-E72D297353CC}">
              <c16:uniqueId val="{00000003-4614-4D24-A360-DB956F7479E0}"/>
            </c:ext>
          </c:extLst>
        </c:ser>
        <c:dLbls>
          <c:dLblPos val="ctr"/>
          <c:showLegendKey val="0"/>
          <c:showVal val="1"/>
          <c:showCatName val="0"/>
          <c:showSerName val="0"/>
          <c:showPercent val="0"/>
          <c:showBubbleSize val="0"/>
        </c:dLbls>
        <c:gapWidth val="150"/>
        <c:overlap val="100"/>
        <c:axId val="1178894911"/>
        <c:axId val="1178871391"/>
      </c:barChart>
      <c:catAx>
        <c:axId val="11788949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r>
                  <a:rPr lang="en-US" b="0"/>
                  <a:t>Smoke</a:t>
                </a:r>
                <a:r>
                  <a:rPr lang="en-US"/>
                  <a:t>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78871391"/>
        <c:crosses val="autoZero"/>
        <c:auto val="1"/>
        <c:lblAlgn val="ctr"/>
        <c:lblOffset val="100"/>
        <c:noMultiLvlLbl val="0"/>
      </c:catAx>
      <c:valAx>
        <c:axId val="1178871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r>
                  <a:rPr lang="en-US" b="0"/>
                  <a:t>No.</a:t>
                </a:r>
                <a:r>
                  <a:rPr lang="en-US" b="0" baseline="0"/>
                  <a:t> of Patients</a:t>
                </a:r>
                <a:endParaRPr lang="en-US" b="0"/>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7889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No</a:t>
            </a:r>
          </a:p>
        </c:rich>
      </c:tx>
      <c:layout>
        <c:manualLayout>
          <c:xMode val="edge"/>
          <c:yMode val="edge"/>
          <c:x val="0.21952688172043014"/>
          <c:y val="1.3071895424836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5.4324273981881298E-2"/>
          <c:y val="0.14892542843909218"/>
          <c:w val="0.47199695199390401"/>
          <c:h val="0.71725027018681486"/>
        </c:manualLayout>
      </c:layout>
      <c:pieChart>
        <c:varyColors val="1"/>
        <c:ser>
          <c:idx val="0"/>
          <c:order val="0"/>
          <c:tx>
            <c:strRef>
              <c:f>Sheet4!$B$3:$B$4</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1-00AC-4856-AB97-EBB29DD414C8}"/>
              </c:ext>
            </c:extLst>
          </c:dPt>
          <c:dPt>
            <c:idx val="1"/>
            <c:bubble3D val="0"/>
            <c:spPr>
              <a:solidFill>
                <a:schemeClr val="accent2"/>
              </a:solidFill>
              <a:ln>
                <a:noFill/>
              </a:ln>
              <a:effectLst/>
            </c:spPr>
            <c:extLst>
              <c:ext xmlns:c16="http://schemas.microsoft.com/office/drawing/2014/chart" uri="{C3380CC4-5D6E-409C-BE32-E72D297353CC}">
                <c16:uniqueId val="{00000003-00AC-4856-AB97-EBB29DD414C8}"/>
              </c:ext>
            </c:extLst>
          </c:dPt>
          <c:dPt>
            <c:idx val="2"/>
            <c:bubble3D val="0"/>
            <c:spPr>
              <a:solidFill>
                <a:schemeClr val="accent3"/>
              </a:solidFill>
              <a:ln>
                <a:noFill/>
              </a:ln>
              <a:effectLst/>
            </c:spPr>
            <c:extLst>
              <c:ext xmlns:c16="http://schemas.microsoft.com/office/drawing/2014/chart" uri="{C3380CC4-5D6E-409C-BE32-E72D297353CC}">
                <c16:uniqueId val="{00000005-00AC-4856-AB97-EBB29DD414C8}"/>
              </c:ext>
            </c:extLst>
          </c:dPt>
          <c:dPt>
            <c:idx val="3"/>
            <c:bubble3D val="0"/>
            <c:spPr>
              <a:solidFill>
                <a:schemeClr val="accent4"/>
              </a:solidFill>
              <a:ln>
                <a:noFill/>
              </a:ln>
              <a:effectLst/>
            </c:spPr>
            <c:extLst>
              <c:ext xmlns:c16="http://schemas.microsoft.com/office/drawing/2014/chart" uri="{C3380CC4-5D6E-409C-BE32-E72D297353CC}">
                <c16:uniqueId val="{00000007-00AC-4856-AB97-EBB29DD414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Sheet4!$A$5:$A$9</c:f>
              <c:strCache>
                <c:ptCount val="4"/>
                <c:pt idx="0">
                  <c:v>Diabetes</c:v>
                </c:pt>
                <c:pt idx="1">
                  <c:v>Heart Disease</c:v>
                </c:pt>
                <c:pt idx="2">
                  <c:v>Hypertension</c:v>
                </c:pt>
                <c:pt idx="3">
                  <c:v>None</c:v>
                </c:pt>
              </c:strCache>
            </c:strRef>
          </c:cat>
          <c:val>
            <c:numRef>
              <c:f>Sheet4!$B$5:$B$9</c:f>
              <c:numCache>
                <c:formatCode>General</c:formatCode>
                <c:ptCount val="4"/>
                <c:pt idx="0">
                  <c:v>135</c:v>
                </c:pt>
                <c:pt idx="1">
                  <c:v>124</c:v>
                </c:pt>
                <c:pt idx="2">
                  <c:v>150</c:v>
                </c:pt>
                <c:pt idx="3">
                  <c:v>118</c:v>
                </c:pt>
              </c:numCache>
            </c:numRef>
          </c:val>
          <c:extLst>
            <c:ext xmlns:c16="http://schemas.microsoft.com/office/drawing/2014/chart" uri="{C3380CC4-5D6E-409C-BE32-E72D297353CC}">
              <c16:uniqueId val="{00000000-2E10-42F0-958A-71E1B743CB5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[chronic_disease.xlsx]Sheet6!PivotTable6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Sheet6!$A$2:$A$8</c:f>
              <c:strCache>
                <c:ptCount val="6"/>
                <c:pt idx="0">
                  <c:v>18.5-21.5</c:v>
                </c:pt>
                <c:pt idx="1">
                  <c:v>21.5-24.5</c:v>
                </c:pt>
                <c:pt idx="2">
                  <c:v>24.5-27.5</c:v>
                </c:pt>
                <c:pt idx="3">
                  <c:v>27.5-30.5</c:v>
                </c:pt>
                <c:pt idx="4">
                  <c:v>30.5-33.5</c:v>
                </c:pt>
                <c:pt idx="5">
                  <c:v>33.5-36.5</c:v>
                </c:pt>
              </c:strCache>
            </c:strRef>
          </c:cat>
          <c:val>
            <c:numRef>
              <c:f>Sheet6!$B$2:$B$8</c:f>
              <c:numCache>
                <c:formatCode>General</c:formatCode>
                <c:ptCount val="6"/>
                <c:pt idx="0">
                  <c:v>203</c:v>
                </c:pt>
                <c:pt idx="1">
                  <c:v>193</c:v>
                </c:pt>
                <c:pt idx="2">
                  <c:v>189</c:v>
                </c:pt>
                <c:pt idx="3">
                  <c:v>172</c:v>
                </c:pt>
                <c:pt idx="4">
                  <c:v>169</c:v>
                </c:pt>
                <c:pt idx="5">
                  <c:v>100</c:v>
                </c:pt>
              </c:numCache>
            </c:numRef>
          </c:val>
          <c:extLst>
            <c:ext xmlns:c16="http://schemas.microsoft.com/office/drawing/2014/chart" uri="{C3380CC4-5D6E-409C-BE32-E72D297353CC}">
              <c16:uniqueId val="{00000000-2F55-4853-92B3-0237C3CE7192}"/>
            </c:ext>
          </c:extLst>
        </c:ser>
        <c:dLbls>
          <c:showLegendKey val="0"/>
          <c:showVal val="1"/>
          <c:showCatName val="0"/>
          <c:showSerName val="0"/>
          <c:showPercent val="0"/>
          <c:showBubbleSize val="0"/>
        </c:dLbls>
        <c:gapWidth val="108"/>
        <c:axId val="120320815"/>
        <c:axId val="120309775"/>
      </c:barChart>
      <c:catAx>
        <c:axId val="1203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09775"/>
        <c:crosses val="autoZero"/>
        <c:auto val="1"/>
        <c:lblAlgn val="ctr"/>
        <c:lblOffset val="100"/>
        <c:noMultiLvlLbl val="0"/>
      </c:catAx>
      <c:valAx>
        <c:axId val="12030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95250</xdr:colOff>
      <xdr:row>2</xdr:row>
      <xdr:rowOff>101600</xdr:rowOff>
    </xdr:from>
    <xdr:to>
      <xdr:col>12</xdr:col>
      <xdr:colOff>330200</xdr:colOff>
      <xdr:row>17</xdr:row>
      <xdr:rowOff>82550</xdr:rowOff>
    </xdr:to>
    <xdr:graphicFrame macro="">
      <xdr:nvGraphicFramePr>
        <xdr:cNvPr id="2" name="Chart 1">
          <a:extLst>
            <a:ext uri="{FF2B5EF4-FFF2-40B4-BE49-F238E27FC236}">
              <a16:creationId xmlns:a16="http://schemas.microsoft.com/office/drawing/2014/main" id="{02CC26A2-22EE-111E-383B-BAA5AFA11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xdr:colOff>
      <xdr:row>3</xdr:row>
      <xdr:rowOff>82550</xdr:rowOff>
    </xdr:from>
    <xdr:to>
      <xdr:col>10</xdr:col>
      <xdr:colOff>444500</xdr:colOff>
      <xdr:row>14</xdr:row>
      <xdr:rowOff>38100</xdr:rowOff>
    </xdr:to>
    <xdr:graphicFrame macro="">
      <xdr:nvGraphicFramePr>
        <xdr:cNvPr id="2" name="Chart 1">
          <a:extLst>
            <a:ext uri="{FF2B5EF4-FFF2-40B4-BE49-F238E27FC236}">
              <a16:creationId xmlns:a16="http://schemas.microsoft.com/office/drawing/2014/main" id="{D523D5BE-3473-4DF2-9741-011098CBE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107950</xdr:colOff>
      <xdr:row>3</xdr:row>
      <xdr:rowOff>101600</xdr:rowOff>
    </xdr:from>
    <xdr:to>
      <xdr:col>19</xdr:col>
      <xdr:colOff>50800</xdr:colOff>
      <xdr:row>13</xdr:row>
      <xdr:rowOff>146050</xdr:rowOff>
    </xdr:to>
    <xdr:graphicFrame macro="">
      <xdr:nvGraphicFramePr>
        <xdr:cNvPr id="3" name="Chart 2">
          <a:extLst>
            <a:ext uri="{FF2B5EF4-FFF2-40B4-BE49-F238E27FC236}">
              <a16:creationId xmlns:a16="http://schemas.microsoft.com/office/drawing/2014/main" id="{45583FCA-AAB6-4561-9A85-400C847A3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279400</xdr:colOff>
      <xdr:row>14</xdr:row>
      <xdr:rowOff>146050</xdr:rowOff>
    </xdr:from>
    <xdr:to>
      <xdr:col>19</xdr:col>
      <xdr:colOff>76200</xdr:colOff>
      <xdr:row>27</xdr:row>
      <xdr:rowOff>63500</xdr:rowOff>
    </xdr:to>
    <xdr:graphicFrame macro="">
      <xdr:nvGraphicFramePr>
        <xdr:cNvPr id="8" name="Chart 7">
          <a:extLst>
            <a:ext uri="{FF2B5EF4-FFF2-40B4-BE49-F238E27FC236}">
              <a16:creationId xmlns:a16="http://schemas.microsoft.com/office/drawing/2014/main" id="{D6BE015D-5C15-4745-82BE-0D5034AF0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88900</xdr:colOff>
      <xdr:row>14</xdr:row>
      <xdr:rowOff>146050</xdr:rowOff>
    </xdr:from>
    <xdr:to>
      <xdr:col>13</xdr:col>
      <xdr:colOff>57150</xdr:colOff>
      <xdr:row>27</xdr:row>
      <xdr:rowOff>88900</xdr:rowOff>
    </xdr:to>
    <xdr:graphicFrame macro="">
      <xdr:nvGraphicFramePr>
        <xdr:cNvPr id="9" name="Chart 8">
          <a:extLst>
            <a:ext uri="{FF2B5EF4-FFF2-40B4-BE49-F238E27FC236}">
              <a16:creationId xmlns:a16="http://schemas.microsoft.com/office/drawing/2014/main" id="{C29EAA91-81BF-4834-82AD-71AB9CD23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82550</xdr:colOff>
      <xdr:row>15</xdr:row>
      <xdr:rowOff>25399</xdr:rowOff>
    </xdr:from>
    <xdr:to>
      <xdr:col>5</xdr:col>
      <xdr:colOff>539750</xdr:colOff>
      <xdr:row>20</xdr:row>
      <xdr:rowOff>114300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B01DB6EC-9BAF-2B0F-8147-C9E9C8F19EA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11350" y="2806699"/>
              <a:ext cx="1676400" cy="1009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69850</xdr:colOff>
      <xdr:row>21</xdr:row>
      <xdr:rowOff>82550</xdr:rowOff>
    </xdr:from>
    <xdr:to>
      <xdr:col>5</xdr:col>
      <xdr:colOff>546100</xdr:colOff>
      <xdr:row>27</xdr:row>
      <xdr:rowOff>88901</xdr:rowOff>
    </xdr:to>
    <mc:AlternateContent xmlns:mc="http://schemas.openxmlformats.org/markup-compatibility/2006" xmlns:a14="http://schemas.microsoft.com/office/drawing/2010/main">
      <mc:Choice Requires="a14">
        <xdr:graphicFrame macro="">
          <xdr:nvGraphicFramePr>
            <xdr:cNvPr id="11" name="Diet_Type">
              <a:extLst>
                <a:ext uri="{FF2B5EF4-FFF2-40B4-BE49-F238E27FC236}">
                  <a16:creationId xmlns:a16="http://schemas.microsoft.com/office/drawing/2014/main" id="{C0107677-87CE-AA1A-07E0-EE9E7FB3FDC6}"/>
                </a:ext>
              </a:extLst>
            </xdr:cNvPr>
            <xdr:cNvGraphicFramePr/>
          </xdr:nvGraphicFramePr>
          <xdr:xfrm>
            <a:off x="0" y="0"/>
            <a:ext cx="0" cy="0"/>
          </xdr:xfrm>
          <a:graphic>
            <a:graphicData uri="http://schemas.microsoft.com/office/drawing/2010/slicer">
              <sle:slicer xmlns:sle="http://schemas.microsoft.com/office/drawing/2010/slicer" name="Diet_Type"/>
            </a:graphicData>
          </a:graphic>
        </xdr:graphicFrame>
      </mc:Choice>
      <mc:Fallback xmlns="">
        <xdr:sp macro="" textlink="">
          <xdr:nvSpPr>
            <xdr:cNvPr id="0" name=""/>
            <xdr:cNvSpPr>
              <a:spLocks noTextEdit="1"/>
            </xdr:cNvSpPr>
          </xdr:nvSpPr>
          <xdr:spPr>
            <a:xfrm>
              <a:off x="1898650" y="3968750"/>
              <a:ext cx="1695450" cy="1111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374650</xdr:colOff>
      <xdr:row>3</xdr:row>
      <xdr:rowOff>69850</xdr:rowOff>
    </xdr:from>
    <xdr:to>
      <xdr:col>2</xdr:col>
      <xdr:colOff>501650</xdr:colOff>
      <xdr:row>9</xdr:row>
      <xdr:rowOff>12700</xdr:rowOff>
    </xdr:to>
    <xdr:sp macro="" textlink="">
      <xdr:nvSpPr>
        <xdr:cNvPr id="12" name="Rectangle 11">
          <a:extLst>
            <a:ext uri="{FF2B5EF4-FFF2-40B4-BE49-F238E27FC236}">
              <a16:creationId xmlns:a16="http://schemas.microsoft.com/office/drawing/2014/main" id="{C45EB118-3472-49E0-6990-8301ED320207}"/>
            </a:ext>
          </a:extLst>
        </xdr:cNvPr>
        <xdr:cNvSpPr/>
      </xdr:nvSpPr>
      <xdr:spPr>
        <a:xfrm>
          <a:off x="374650" y="641350"/>
          <a:ext cx="1346200" cy="10477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a:t>Total</a:t>
          </a:r>
          <a:r>
            <a:rPr lang="en-US" sz="1600" baseline="0"/>
            <a:t> number of Patients</a:t>
          </a:r>
          <a:endParaRPr lang="en-US" sz="1100" b="0" i="0" u="none" strike="noStrike" baseline="0">
            <a:solidFill>
              <a:schemeClr val="dk1"/>
            </a:solidFill>
            <a:effectLst/>
            <a:latin typeface="+mn-lt"/>
            <a:ea typeface="+mn-ea"/>
            <a:cs typeface="+mn-cs"/>
          </a:endParaRPr>
        </a:p>
        <a:p>
          <a:pPr algn="ctr"/>
          <a:endParaRPr lang="en-US" sz="1100" b="0" i="0" u="none" strike="noStrike" baseline="0">
            <a:solidFill>
              <a:schemeClr val="dk1"/>
            </a:solidFill>
            <a:effectLst/>
            <a:latin typeface="+mn-lt"/>
            <a:ea typeface="+mn-ea"/>
            <a:cs typeface="+mn-cs"/>
          </a:endParaRPr>
        </a:p>
        <a:p>
          <a:pPr algn="ctr"/>
          <a:r>
            <a:rPr lang="en-US" sz="1600">
              <a:effectLst/>
            </a:rPr>
            <a:t> </a:t>
          </a:r>
          <a:r>
            <a:rPr lang="en-US" sz="1600" baseline="0"/>
            <a:t> </a:t>
          </a:r>
          <a:endParaRPr lang="en-US" sz="1600">
            <a:effectLst/>
          </a:endParaRPr>
        </a:p>
      </xdr:txBody>
    </xdr:sp>
    <xdr:clientData/>
  </xdr:twoCellAnchor>
  <xdr:twoCellAnchor>
    <xdr:from>
      <xdr:col>0</xdr:col>
      <xdr:colOff>355600</xdr:colOff>
      <xdr:row>9</xdr:row>
      <xdr:rowOff>146050</xdr:rowOff>
    </xdr:from>
    <xdr:to>
      <xdr:col>2</xdr:col>
      <xdr:colOff>508000</xdr:colOff>
      <xdr:row>15</xdr:row>
      <xdr:rowOff>139700</xdr:rowOff>
    </xdr:to>
    <xdr:sp macro="" textlink="">
      <xdr:nvSpPr>
        <xdr:cNvPr id="13" name="Rectangle 12">
          <a:extLst>
            <a:ext uri="{FF2B5EF4-FFF2-40B4-BE49-F238E27FC236}">
              <a16:creationId xmlns:a16="http://schemas.microsoft.com/office/drawing/2014/main" id="{D60111EA-FBF2-4816-988D-0194A8146067}"/>
            </a:ext>
          </a:extLst>
        </xdr:cNvPr>
        <xdr:cNvSpPr/>
      </xdr:nvSpPr>
      <xdr:spPr>
        <a:xfrm>
          <a:off x="355600" y="1822450"/>
          <a:ext cx="1371600" cy="10985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a:t>Number</a:t>
          </a:r>
          <a:r>
            <a:rPr lang="en-US" sz="1200" baseline="0"/>
            <a:t> of Patients with Heart disease</a:t>
          </a:r>
          <a:endParaRPr lang="en-US" sz="1200"/>
        </a:p>
      </xdr:txBody>
    </xdr:sp>
    <xdr:clientData/>
  </xdr:twoCellAnchor>
  <xdr:twoCellAnchor>
    <xdr:from>
      <xdr:col>0</xdr:col>
      <xdr:colOff>349250</xdr:colOff>
      <xdr:row>16</xdr:row>
      <xdr:rowOff>107950</xdr:rowOff>
    </xdr:from>
    <xdr:to>
      <xdr:col>2</xdr:col>
      <xdr:colOff>501650</xdr:colOff>
      <xdr:row>22</xdr:row>
      <xdr:rowOff>69850</xdr:rowOff>
    </xdr:to>
    <xdr:sp macro="" textlink="">
      <xdr:nvSpPr>
        <xdr:cNvPr id="18" name="Rectangle 17">
          <a:extLst>
            <a:ext uri="{FF2B5EF4-FFF2-40B4-BE49-F238E27FC236}">
              <a16:creationId xmlns:a16="http://schemas.microsoft.com/office/drawing/2014/main" id="{DF37C997-B1C0-4F4F-BC0E-CFC8D29DB9F8}"/>
            </a:ext>
          </a:extLst>
        </xdr:cNvPr>
        <xdr:cNvSpPr/>
      </xdr:nvSpPr>
      <xdr:spPr>
        <a:xfrm>
          <a:off x="349250" y="3073400"/>
          <a:ext cx="1371600" cy="10668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a:t>Number</a:t>
          </a:r>
          <a:r>
            <a:rPr lang="en-US" sz="1200" baseline="0"/>
            <a:t> of Patients with Diabetes</a:t>
          </a:r>
          <a:endParaRPr lang="en-US" sz="1200"/>
        </a:p>
      </xdr:txBody>
    </xdr:sp>
    <xdr:clientData/>
  </xdr:twoCellAnchor>
  <xdr:twoCellAnchor>
    <xdr:from>
      <xdr:col>1</xdr:col>
      <xdr:colOff>66675</xdr:colOff>
      <xdr:row>20</xdr:row>
      <xdr:rowOff>31750</xdr:rowOff>
    </xdr:from>
    <xdr:to>
      <xdr:col>2</xdr:col>
      <xdr:colOff>209550</xdr:colOff>
      <xdr:row>22</xdr:row>
      <xdr:rowOff>2886</xdr:rowOff>
    </xdr:to>
    <xdr:sp macro="" textlink="Sheet8!B7">
      <xdr:nvSpPr>
        <xdr:cNvPr id="27" name="TextBox 26">
          <a:extLst>
            <a:ext uri="{FF2B5EF4-FFF2-40B4-BE49-F238E27FC236}">
              <a16:creationId xmlns:a16="http://schemas.microsoft.com/office/drawing/2014/main" id="{95F72380-1CF0-CEB2-6CC5-D2F5E77C1F2F}"/>
            </a:ext>
          </a:extLst>
        </xdr:cNvPr>
        <xdr:cNvSpPr txBox="1"/>
      </xdr:nvSpPr>
      <xdr:spPr>
        <a:xfrm>
          <a:off x="676275" y="3733800"/>
          <a:ext cx="752475" cy="339436"/>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4EFB19-B9C1-4035-B6F6-2935E45BA59F}" type="TxLink">
            <a:rPr lang="en-US" sz="2000" b="0" i="0" u="none" strike="noStrike">
              <a:solidFill>
                <a:srgbClr val="000000"/>
              </a:solidFill>
              <a:latin typeface="Calibri"/>
              <a:ea typeface="Calibri"/>
              <a:cs typeface="Calibri"/>
            </a:rPr>
            <a:pPr/>
            <a:t>541</a:t>
          </a:fld>
          <a:endParaRPr lang="en-US" sz="1400"/>
        </a:p>
      </xdr:txBody>
    </xdr:sp>
    <xdr:clientData/>
  </xdr:twoCellAnchor>
  <xdr:twoCellAnchor>
    <xdr:from>
      <xdr:col>1</xdr:col>
      <xdr:colOff>60325</xdr:colOff>
      <xdr:row>13</xdr:row>
      <xdr:rowOff>88900</xdr:rowOff>
    </xdr:from>
    <xdr:to>
      <xdr:col>2</xdr:col>
      <xdr:colOff>196850</xdr:colOff>
      <xdr:row>15</xdr:row>
      <xdr:rowOff>52006</xdr:rowOff>
    </xdr:to>
    <xdr:sp macro="" textlink="Sheet8!B4">
      <xdr:nvSpPr>
        <xdr:cNvPr id="28" name="TextBox 27">
          <a:extLst>
            <a:ext uri="{FF2B5EF4-FFF2-40B4-BE49-F238E27FC236}">
              <a16:creationId xmlns:a16="http://schemas.microsoft.com/office/drawing/2014/main" id="{8DB2C4B8-8995-991B-7599-42D460744DC6}"/>
            </a:ext>
          </a:extLst>
        </xdr:cNvPr>
        <xdr:cNvSpPr txBox="1"/>
      </xdr:nvSpPr>
      <xdr:spPr>
        <a:xfrm>
          <a:off x="669925" y="2501900"/>
          <a:ext cx="746125" cy="331406"/>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EB5793-3DB3-4DFB-A1FD-6D955903FFC3}" type="TxLink">
            <a:rPr lang="en-US" sz="2000" b="0" i="0" u="none" strike="noStrike">
              <a:solidFill>
                <a:srgbClr val="000000"/>
              </a:solidFill>
              <a:latin typeface="Calibri"/>
              <a:ea typeface="Calibri"/>
              <a:cs typeface="Calibri"/>
            </a:rPr>
            <a:pPr/>
            <a:t>525</a:t>
          </a:fld>
          <a:endParaRPr lang="en-US" sz="1400"/>
        </a:p>
      </xdr:txBody>
    </xdr:sp>
    <xdr:clientData/>
  </xdr:twoCellAnchor>
  <xdr:twoCellAnchor>
    <xdr:from>
      <xdr:col>1</xdr:col>
      <xdr:colOff>0</xdr:colOff>
      <xdr:row>6</xdr:row>
      <xdr:rowOff>95250</xdr:rowOff>
    </xdr:from>
    <xdr:to>
      <xdr:col>2</xdr:col>
      <xdr:colOff>266700</xdr:colOff>
      <xdr:row>8</xdr:row>
      <xdr:rowOff>114300</xdr:rowOff>
    </xdr:to>
    <xdr:sp macro="" textlink="Sheet9!A4">
      <xdr:nvSpPr>
        <xdr:cNvPr id="29" name="TextBox 28">
          <a:extLst>
            <a:ext uri="{FF2B5EF4-FFF2-40B4-BE49-F238E27FC236}">
              <a16:creationId xmlns:a16="http://schemas.microsoft.com/office/drawing/2014/main" id="{661B7350-169F-44A7-B5D5-D711E4D57BE0}"/>
            </a:ext>
          </a:extLst>
        </xdr:cNvPr>
        <xdr:cNvSpPr txBox="1"/>
      </xdr:nvSpPr>
      <xdr:spPr>
        <a:xfrm>
          <a:off x="609600" y="1219200"/>
          <a:ext cx="876300" cy="38735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00788C-2697-4ADF-B312-C9256F5DE400}" type="TxLink">
            <a:rPr lang="en-US" sz="2400" b="0" i="0" u="none" strike="noStrike">
              <a:solidFill>
                <a:srgbClr val="000000"/>
              </a:solidFill>
              <a:latin typeface="Calibri"/>
              <a:ea typeface="Calibri"/>
              <a:cs typeface="Calibri"/>
            </a:rPr>
            <a:pPr/>
            <a:t>1026</a:t>
          </a:fld>
          <a:endParaRPr lang="en-US" sz="6000"/>
        </a:p>
      </xdr:txBody>
    </xdr:sp>
    <xdr:clientData/>
  </xdr:twoCellAnchor>
  <xdr:oneCellAnchor>
    <xdr:from>
      <xdr:col>13</xdr:col>
      <xdr:colOff>488950</xdr:colOff>
      <xdr:row>15</xdr:row>
      <xdr:rowOff>31750</xdr:rowOff>
    </xdr:from>
    <xdr:ext cx="3136900" cy="266700"/>
    <xdr:sp macro="" textlink="">
      <xdr:nvSpPr>
        <xdr:cNvPr id="4" name="TextBox 3">
          <a:extLst>
            <a:ext uri="{FF2B5EF4-FFF2-40B4-BE49-F238E27FC236}">
              <a16:creationId xmlns:a16="http://schemas.microsoft.com/office/drawing/2014/main" id="{B71F155C-7306-D658-0A10-14A740000865}"/>
            </a:ext>
          </a:extLst>
        </xdr:cNvPr>
        <xdr:cNvSpPr txBox="1"/>
      </xdr:nvSpPr>
      <xdr:spPr>
        <a:xfrm>
          <a:off x="8413750" y="2813050"/>
          <a:ext cx="3136900" cy="26670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rPr>
            <a:t>Family</a:t>
          </a:r>
          <a:r>
            <a:rPr lang="en-US" sz="1200" b="1" baseline="0">
              <a:solidFill>
                <a:schemeClr val="tx1"/>
              </a:solidFill>
            </a:rPr>
            <a:t> History and Medical History of Patients</a:t>
          </a:r>
          <a:endParaRPr lang="en-US" sz="1200" b="1">
            <a:solidFill>
              <a:schemeClr val="tx1"/>
            </a:solidFill>
          </a:endParaRPr>
        </a:p>
      </xdr:txBody>
    </xdr:sp>
    <xdr:clientData/>
  </xdr:oneCellAnchor>
  <xdr:oneCellAnchor>
    <xdr:from>
      <xdr:col>0</xdr:col>
      <xdr:colOff>355600</xdr:colOff>
      <xdr:row>0</xdr:row>
      <xdr:rowOff>165100</xdr:rowOff>
    </xdr:from>
    <xdr:ext cx="11283950" cy="374650"/>
    <xdr:sp macro="" textlink="">
      <xdr:nvSpPr>
        <xdr:cNvPr id="5" name="TextBox 4">
          <a:extLst>
            <a:ext uri="{FF2B5EF4-FFF2-40B4-BE49-F238E27FC236}">
              <a16:creationId xmlns:a16="http://schemas.microsoft.com/office/drawing/2014/main" id="{B2CDA655-6289-A3A5-27FE-2ED223CE98C5}"/>
            </a:ext>
          </a:extLst>
        </xdr:cNvPr>
        <xdr:cNvSpPr txBox="1"/>
      </xdr:nvSpPr>
      <xdr:spPr>
        <a:xfrm>
          <a:off x="355600" y="165100"/>
          <a:ext cx="11283950" cy="374650"/>
        </a:xfrm>
        <a:prstGeom prst="rect">
          <a:avLst/>
        </a:prstGeom>
        <a:solidFill>
          <a:schemeClr val="accent1">
            <a:lumMod val="20000"/>
            <a:lumOff val="80000"/>
          </a:schemeClr>
        </a:solidFill>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000" b="1">
              <a:latin typeface="Sitka Text Semibold" pitchFamily="2" charset="0"/>
              <a:cs typeface="Cascadia Code SemiBold" panose="020B0609020000020004" pitchFamily="49" charset="0"/>
            </a:rPr>
            <a:t>CHRONIC  DISEASE  RISK</a:t>
          </a:r>
          <a:r>
            <a:rPr lang="en-US" sz="2000" b="1" baseline="0">
              <a:latin typeface="Sitka Text Semibold" pitchFamily="2" charset="0"/>
              <a:cs typeface="Cascadia Code SemiBold" panose="020B0609020000020004" pitchFamily="49" charset="0"/>
            </a:rPr>
            <a:t>  ASSESSMENT</a:t>
          </a:r>
          <a:r>
            <a:rPr lang="en-US" sz="2000" b="1">
              <a:latin typeface="Sitka Text Semibold" pitchFamily="2" charset="0"/>
              <a:cs typeface="Cascadia Code SemiBold" panose="020B0609020000020004" pitchFamily="49" charset="0"/>
            </a:rPr>
            <a:t>  DASHBOARD</a:t>
          </a:r>
        </a:p>
      </xdr:txBody>
    </xdr:sp>
    <xdr:clientData/>
  </xdr:oneCellAnchor>
  <xdr:twoCellAnchor>
    <xdr:from>
      <xdr:col>0</xdr:col>
      <xdr:colOff>355600</xdr:colOff>
      <xdr:row>23</xdr:row>
      <xdr:rowOff>25400</xdr:rowOff>
    </xdr:from>
    <xdr:to>
      <xdr:col>2</xdr:col>
      <xdr:colOff>508000</xdr:colOff>
      <xdr:row>27</xdr:row>
      <xdr:rowOff>63500</xdr:rowOff>
    </xdr:to>
    <xdr:sp macro="" textlink="">
      <xdr:nvSpPr>
        <xdr:cNvPr id="6" name="Rectangle 5">
          <a:extLst>
            <a:ext uri="{FF2B5EF4-FFF2-40B4-BE49-F238E27FC236}">
              <a16:creationId xmlns:a16="http://schemas.microsoft.com/office/drawing/2014/main" id="{3E2D781E-02BC-411B-9C3D-01D9BEB03E60}"/>
            </a:ext>
          </a:extLst>
        </xdr:cNvPr>
        <xdr:cNvSpPr/>
      </xdr:nvSpPr>
      <xdr:spPr>
        <a:xfrm>
          <a:off x="355600" y="4279900"/>
          <a:ext cx="1371600" cy="774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a:t>Avg.</a:t>
          </a:r>
          <a:r>
            <a:rPr lang="en-US" sz="1600" baseline="0"/>
            <a:t> BMI</a:t>
          </a:r>
          <a:endParaRPr lang="en-US" sz="1600"/>
        </a:p>
      </xdr:txBody>
    </xdr:sp>
    <xdr:clientData/>
  </xdr:twoCellAnchor>
  <xdr:twoCellAnchor>
    <xdr:from>
      <xdr:col>1</xdr:col>
      <xdr:colOff>28575</xdr:colOff>
      <xdr:row>24</xdr:row>
      <xdr:rowOff>177800</xdr:rowOff>
    </xdr:from>
    <xdr:to>
      <xdr:col>2</xdr:col>
      <xdr:colOff>171450</xdr:colOff>
      <xdr:row>26</xdr:row>
      <xdr:rowOff>165100</xdr:rowOff>
    </xdr:to>
    <xdr:sp macro="" textlink="Sheet9!C8">
      <xdr:nvSpPr>
        <xdr:cNvPr id="7" name="TextBox 6">
          <a:extLst>
            <a:ext uri="{FF2B5EF4-FFF2-40B4-BE49-F238E27FC236}">
              <a16:creationId xmlns:a16="http://schemas.microsoft.com/office/drawing/2014/main" id="{C89D4A58-12CF-44B2-93CE-E4AA4A917F32}"/>
            </a:ext>
          </a:extLst>
        </xdr:cNvPr>
        <xdr:cNvSpPr txBox="1"/>
      </xdr:nvSpPr>
      <xdr:spPr>
        <a:xfrm>
          <a:off x="638175" y="4616450"/>
          <a:ext cx="752475" cy="35560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C6D7C9-8EB0-4C4A-BAA3-5BFD508D2B2A}" type="TxLink">
            <a:rPr lang="en-US" sz="2000" b="0" i="0" u="none" strike="noStrike">
              <a:solidFill>
                <a:srgbClr val="000000"/>
              </a:solidFill>
              <a:latin typeface="Calibri"/>
              <a:ea typeface="Calibri"/>
              <a:cs typeface="Calibri"/>
            </a:rPr>
            <a:pPr/>
            <a:t>26.5</a:t>
          </a:fld>
          <a:endParaRPr lang="en-US" sz="14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0.78889</cdr:x>
      <cdr:y>0.14068</cdr:y>
    </cdr:from>
    <cdr:to>
      <cdr:x>0.97639</cdr:x>
      <cdr:y>0.26236</cdr:y>
    </cdr:to>
    <cdr:sp macro="" textlink="">
      <cdr:nvSpPr>
        <cdr:cNvPr id="2" name="TextBox 1">
          <a:extLst xmlns:a="http://schemas.openxmlformats.org/drawingml/2006/main">
            <a:ext uri="{FF2B5EF4-FFF2-40B4-BE49-F238E27FC236}">
              <a16:creationId xmlns:a16="http://schemas.microsoft.com/office/drawing/2014/main" id="{008F9C74-F338-EAE0-4E9F-35CE8B311395}"/>
            </a:ext>
          </a:extLst>
        </cdr:cNvPr>
        <cdr:cNvSpPr txBox="1"/>
      </cdr:nvSpPr>
      <cdr:spPr>
        <a:xfrm xmlns:a="http://schemas.openxmlformats.org/drawingml/2006/main">
          <a:off x="3606800" y="234950"/>
          <a:ext cx="857250" cy="2032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050" kern="1200"/>
            <a:t>Cholestrol level </a:t>
          </a:r>
        </a:p>
      </cdr:txBody>
    </cdr:sp>
  </cdr:relSizeAnchor>
</c:userShapes>
</file>

<file path=xl/drawings/drawing4.xml><?xml version="1.0" encoding="utf-8"?>
<c:userShapes xmlns:c="http://schemas.openxmlformats.org/drawingml/2006/chart">
  <cdr:relSizeAnchor xmlns:cdr="http://schemas.openxmlformats.org/drawingml/2006/chartDrawing">
    <cdr:from>
      <cdr:x>0.8022</cdr:x>
      <cdr:y>0.25</cdr:y>
    </cdr:from>
    <cdr:to>
      <cdr:x>1</cdr:x>
      <cdr:y>0.79545</cdr:y>
    </cdr:to>
    <cdr:sp macro="" textlink="">
      <cdr:nvSpPr>
        <cdr:cNvPr id="2" name="TextBox 1">
          <a:extLst xmlns:a="http://schemas.openxmlformats.org/drawingml/2006/main">
            <a:ext uri="{FF2B5EF4-FFF2-40B4-BE49-F238E27FC236}">
              <a16:creationId xmlns:a16="http://schemas.microsoft.com/office/drawing/2014/main" id="{70E3EAFB-1288-C520-87DD-BB28CB652194}"/>
            </a:ext>
          </a:extLst>
        </cdr:cNvPr>
        <cdr:cNvSpPr txBox="1"/>
      </cdr:nvSpPr>
      <cdr:spPr>
        <a:xfrm xmlns:a="http://schemas.openxmlformats.org/drawingml/2006/main">
          <a:off x="3816350" y="4191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0.8022</cdr:x>
      <cdr:y>0.18939</cdr:y>
    </cdr:from>
    <cdr:to>
      <cdr:x>1</cdr:x>
      <cdr:y>0.3266</cdr:y>
    </cdr:to>
    <cdr:sp macro="" textlink="">
      <cdr:nvSpPr>
        <cdr:cNvPr id="3" name="TextBox 2">
          <a:extLst xmlns:a="http://schemas.openxmlformats.org/drawingml/2006/main">
            <a:ext uri="{FF2B5EF4-FFF2-40B4-BE49-F238E27FC236}">
              <a16:creationId xmlns:a16="http://schemas.microsoft.com/office/drawing/2014/main" id="{746C0869-6156-536E-BA53-27405AF919B1}"/>
            </a:ext>
          </a:extLst>
        </cdr:cNvPr>
        <cdr:cNvSpPr txBox="1"/>
      </cdr:nvSpPr>
      <cdr:spPr>
        <a:xfrm xmlns:a="http://schemas.openxmlformats.org/drawingml/2006/main">
          <a:off x="3866323" y="357180"/>
          <a:ext cx="953327" cy="25877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Risk</a:t>
          </a:r>
          <a:r>
            <a:rPr lang="en-US" sz="1100" kern="1200" baseline="0"/>
            <a:t> level </a:t>
          </a:r>
        </a:p>
        <a:p xmlns:a="http://schemas.openxmlformats.org/drawingml/2006/main">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269875</xdr:colOff>
      <xdr:row>2</xdr:row>
      <xdr:rowOff>57150</xdr:rowOff>
    </xdr:from>
    <xdr:to>
      <xdr:col>11</xdr:col>
      <xdr:colOff>469900</xdr:colOff>
      <xdr:row>17</xdr:row>
      <xdr:rowOff>38100</xdr:rowOff>
    </xdr:to>
    <xdr:graphicFrame macro="">
      <xdr:nvGraphicFramePr>
        <xdr:cNvPr id="3" name="Chart 2">
          <a:extLst>
            <a:ext uri="{FF2B5EF4-FFF2-40B4-BE49-F238E27FC236}">
              <a16:creationId xmlns:a16="http://schemas.microsoft.com/office/drawing/2014/main" id="{BCDDF373-E386-11AE-E2DE-A4853B9F0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266700</xdr:colOff>
      <xdr:row>2</xdr:row>
      <xdr:rowOff>25400</xdr:rowOff>
    </xdr:from>
    <xdr:to>
      <xdr:col>8</xdr:col>
      <xdr:colOff>31750</xdr:colOff>
      <xdr:row>13</xdr:row>
      <xdr:rowOff>19050</xdr:rowOff>
    </xdr:to>
    <xdr:graphicFrame macro="">
      <xdr:nvGraphicFramePr>
        <xdr:cNvPr id="2" name="Chart 1">
          <a:extLst>
            <a:ext uri="{FF2B5EF4-FFF2-40B4-BE49-F238E27FC236}">
              <a16:creationId xmlns:a16="http://schemas.microsoft.com/office/drawing/2014/main" id="{7920786A-6445-C296-0A83-B7FCC6451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311150</xdr:colOff>
      <xdr:row>10</xdr:row>
      <xdr:rowOff>31750</xdr:rowOff>
    </xdr:from>
    <xdr:to>
      <xdr:col>6</xdr:col>
      <xdr:colOff>412750</xdr:colOff>
      <xdr:row>25</xdr:row>
      <xdr:rowOff>6350</xdr:rowOff>
    </xdr:to>
    <xdr:graphicFrame macro="">
      <xdr:nvGraphicFramePr>
        <xdr:cNvPr id="5" name="Chart 4">
          <a:extLst>
            <a:ext uri="{FF2B5EF4-FFF2-40B4-BE49-F238E27FC236}">
              <a16:creationId xmlns:a16="http://schemas.microsoft.com/office/drawing/2014/main" id="{13AFFCC9-75BF-44AE-F783-48C95F5AF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69850</xdr:colOff>
      <xdr:row>3</xdr:row>
      <xdr:rowOff>127000</xdr:rowOff>
    </xdr:from>
    <xdr:ext cx="584200" cy="264560"/>
    <xdr:sp macro="" textlink="">
      <xdr:nvSpPr>
        <xdr:cNvPr id="2" name="TextBox 1">
          <a:extLst>
            <a:ext uri="{FF2B5EF4-FFF2-40B4-BE49-F238E27FC236}">
              <a16:creationId xmlns:a16="http://schemas.microsoft.com/office/drawing/2014/main" id="{7A8E01AB-0D59-D4FF-13A9-8572801BC34C}"/>
            </a:ext>
          </a:extLst>
        </xdr:cNvPr>
        <xdr:cNvSpPr txBox="1"/>
      </xdr:nvSpPr>
      <xdr:spPr>
        <a:xfrm>
          <a:off x="2165350" y="679450"/>
          <a:ext cx="584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tx1"/>
              </a:solidFill>
              <a:effectLst/>
              <a:latin typeface="+mn-lt"/>
              <a:ea typeface="+mn-ea"/>
              <a:cs typeface="+mn-cs"/>
            </a:rPr>
            <a:t>1033</a:t>
          </a:r>
          <a:r>
            <a:rPr lang="en-US">
              <a:effectLst/>
            </a:rPr>
            <a:t> </a:t>
          </a: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stava G" refreshedDate="46094.673762500002" createdVersion="8" refreshedVersion="8" minRefreshableVersion="3" recordCount="2000" xr:uid="{61B885BA-2B47-4E92-8EB3-15066F279445}">
  <cacheSource type="worksheet">
    <worksheetSource ref="A1:Q2001" sheet="chronic_disease_prediction_data"/>
  </cacheSource>
  <cacheFields count="17">
    <cacheField name="Patient_ID" numFmtId="0">
      <sharedItems containsSemiMixedTypes="0" containsString="0" containsNumber="1" containsInteger="1" minValue="1" maxValue="2000"/>
    </cacheField>
    <cacheField name="Age" numFmtId="0">
      <sharedItems containsSemiMixedTypes="0" containsString="0" containsNumber="1" containsInteger="1" minValue="18" maxValue="79"/>
    </cacheField>
    <cacheField name="Gender" numFmtId="0">
      <sharedItems count="2">
        <s v="Male"/>
        <s v="Female"/>
      </sharedItems>
    </cacheField>
    <cacheField name="Height" numFmtId="0">
      <sharedItems containsSemiMixedTypes="0" containsString="0" containsNumber="1" containsInteger="1" minValue="150" maxValue="189"/>
    </cacheField>
    <cacheField name="Weight" numFmtId="0">
      <sharedItems containsSemiMixedTypes="0" containsString="0" containsNumber="1" containsInteger="1" minValue="50" maxValue="99"/>
    </cacheField>
    <cacheField name="BMI" numFmtId="164">
      <sharedItems containsSemiMixedTypes="0" containsString="0" containsNumber="1" minValue="18.515566351915901" maxValue="34.9911012374846" count="2000">
        <n v="24.390210086232901"/>
        <n v="28.973278328216399"/>
        <n v="32.600031987835898"/>
        <n v="21.575926780090501"/>
        <n v="28.440741312544802"/>
        <n v="23.066443177196501"/>
        <n v="30.864595704641701"/>
        <n v="23.151652867354599"/>
        <n v="27.503983485414899"/>
        <n v="23.316534362713799"/>
        <n v="31.127718942168801"/>
        <n v="19.552610178184299"/>
        <n v="26.462920388415"/>
        <n v="34.459974641109902"/>
        <n v="30.299562826978601"/>
        <n v="34.2927247369066"/>
        <n v="19.406944062857001"/>
        <n v="33.3162610670528"/>
        <n v="25.193146780879399"/>
        <n v="27.163314114048799"/>
        <n v="20.3563016536894"/>
        <n v="30.1701020464435"/>
        <n v="25.870986733593501"/>
        <n v="29.567622919809999"/>
        <n v="22.383823821322899"/>
        <n v="29.667530719895701"/>
        <n v="21.8986705919698"/>
        <n v="26.329803783270201"/>
        <n v="22.498835969756499"/>
        <n v="32.3451450301935"/>
        <n v="21.026884251385201"/>
        <n v="24.383222199418601"/>
        <n v="30.5656347242316"/>
        <n v="28.510817332504999"/>
        <n v="21.251991030530601"/>
        <n v="29.270014042324199"/>
        <n v="31.2008192771419"/>
        <n v="21.6339232704068"/>
        <n v="24.137078359394899"/>
        <n v="33.307055752306098"/>
        <n v="29.356173534875701"/>
        <n v="20.469786687080202"/>
        <n v="24.539466384817501"/>
        <n v="23.909406825116001"/>
        <n v="26.311688379687801"/>
        <n v="24.110072369988199"/>
        <n v="32.8492197994008"/>
        <n v="34.594271066798299"/>
        <n v="31.317174213942401"/>
        <n v="21.499991271816"/>
        <n v="24.6210662577707"/>
        <n v="27.1805512186504"/>
        <n v="32.386763124455697"/>
        <n v="25.600717784141299"/>
        <n v="34.710962579920498"/>
        <n v="21.230746281950299"/>
        <n v="19.427529440087898"/>
        <n v="27.3332381730173"/>
        <n v="26.016851902836699"/>
        <n v="21.988615756982"/>
        <n v="30.191628505169099"/>
        <n v="21.742034954777399"/>
        <n v="21.9938067238649"/>
        <n v="22.5967434139089"/>
        <n v="19.851984244129401"/>
        <n v="19.184705870913401"/>
        <n v="34.226481887503198"/>
        <n v="30.367545809501198"/>
        <n v="26.0836434035932"/>
        <n v="25.6951629236186"/>
        <n v="31.5434745243051"/>
        <n v="23.789365169272202"/>
        <n v="30.480400049483499"/>
        <n v="28.409622750287699"/>
        <n v="21.243212950770001"/>
        <n v="27.585897577403301"/>
        <n v="31.9597987803309"/>
        <n v="29.504302883068199"/>
        <n v="27.2857699800843"/>
        <n v="28.6837047474299"/>
        <n v="34.502011266457401"/>
        <n v="19.735781393032699"/>
        <n v="20.2516458335332"/>
        <n v="31.076498962183901"/>
        <n v="28.2633299867246"/>
        <n v="21.668385590749601"/>
        <n v="34.373965232532299"/>
        <n v="29.500313256226399"/>
        <n v="28.7857628383384"/>
        <n v="25.837760818162501"/>
        <n v="26.5814668218059"/>
        <n v="27.222833965823"/>
        <n v="20.3804371374674"/>
        <n v="24.018301697448699"/>
        <n v="32.821993266268898"/>
        <n v="30.631270548676302"/>
        <n v="27.068659428598"/>
        <n v="34.335804404122399"/>
        <n v="22.405887851588201"/>
        <n v="21.7596724436948"/>
        <n v="32.798828861825797"/>
        <n v="26.286391424314601"/>
        <n v="31.7853775564462"/>
        <n v="21.3184261540524"/>
        <n v="26.101750827246502"/>
        <n v="27.892298499508801"/>
        <n v="19.570838112383701"/>
        <n v="23.432281476622499"/>
        <n v="21.565319752528598"/>
        <n v="30.799062695835399"/>
        <n v="25.6486403830989"/>
        <n v="19.901943783176101"/>
        <n v="25.722327611403401"/>
        <n v="23.910085901301201"/>
        <n v="21.858325419133699"/>
        <n v="30.662684830284501"/>
        <n v="26.333688599720201"/>
        <n v="33.688842104192098"/>
        <n v="34.0087521526141"/>
        <n v="30.209577167824602"/>
        <n v="18.698049949999199"/>
        <n v="27.621445449352699"/>
        <n v="29.672550347462298"/>
        <n v="26.502796794146601"/>
        <n v="34.432562217784501"/>
        <n v="34.128023444104798"/>
        <n v="19.909149997684899"/>
        <n v="28.6340730312636"/>
        <n v="34.778396597858801"/>
        <n v="34.767913782311098"/>
        <n v="26.477718404262198"/>
        <n v="25.580966617312299"/>
        <n v="32.318296573709702"/>
        <n v="30.9563869064533"/>
        <n v="21.716811479727401"/>
        <n v="28.0962158245209"/>
        <n v="19.101607338622699"/>
        <n v="19.3702752106765"/>
        <n v="32.263707785439202"/>
        <n v="33.505820456604397"/>
        <n v="19.244997512802801"/>
        <n v="22.882195372071401"/>
        <n v="32.549571497168003"/>
        <n v="25.725348137857999"/>
        <n v="19.158721787301801"/>
        <n v="22.064518766485602"/>
        <n v="25.909795483225398"/>
        <n v="27.9199663869103"/>
        <n v="23.985040420876999"/>
        <n v="20.2592897124538"/>
        <n v="20.141662036403901"/>
        <n v="27.4892179070556"/>
        <n v="34.443525912844997"/>
        <n v="23.618882181787601"/>
        <n v="34.506228535000602"/>
        <n v="26.155759387766199"/>
        <n v="22.7907926641651"/>
        <n v="22.848599411696799"/>
        <n v="28.907711932848201"/>
        <n v="33.756589553622497"/>
        <n v="19.304644260416801"/>
        <n v="28.570989628999499"/>
        <n v="26.760222283509801"/>
        <n v="27.515716724500098"/>
        <n v="28.947448135780199"/>
        <n v="18.964004853585699"/>
        <n v="22.948895144658501"/>
        <n v="22.620778957284301"/>
        <n v="27.7270991741795"/>
        <n v="26.993246196986799"/>
        <n v="28.7787417290257"/>
        <n v="24.720271760232801"/>
        <n v="29.771385714430199"/>
        <n v="21.733673047579"/>
        <n v="28.2926908610605"/>
        <n v="33.887350693648301"/>
        <n v="27.9984766744574"/>
        <n v="28.0984052033123"/>
        <n v="23.239751965471601"/>
        <n v="20.323962244091501"/>
        <n v="31.144729016226702"/>
        <n v="27.837161984179001"/>
        <n v="29.203268730396498"/>
        <n v="24.0493360054605"/>
        <n v="33.106441498674798"/>
        <n v="31.666967581117099"/>
        <n v="24.8891818299684"/>
        <n v="28.787837635580999"/>
        <n v="21.829616646165501"/>
        <n v="30.4958056957332"/>
        <n v="23.642273124801701"/>
        <n v="33.495637212328198"/>
        <n v="30.6676187835475"/>
        <n v="31.046601110243401"/>
        <n v="29.542926813888698"/>
        <n v="23.4659442739217"/>
        <n v="26.3236061070048"/>
        <n v="34.179607189588197"/>
        <n v="19.165508560284401"/>
        <n v="20.941312512805101"/>
        <n v="34.746798880248797"/>
        <n v="25.5208433779854"/>
        <n v="31.974811512826701"/>
        <n v="22.718492684974901"/>
        <n v="19.4609242085345"/>
        <n v="19.930658365328"/>
        <n v="21.610247571126699"/>
        <n v="27.3829911846668"/>
        <n v="27.942682939943001"/>
        <n v="23.712941069363001"/>
        <n v="23.507814500941201"/>
        <n v="34.062731519941899"/>
        <n v="29.9133818832223"/>
        <n v="27.701863404559901"/>
        <n v="33.568289823607898"/>
        <n v="24.9015504475651"/>
        <n v="32.187836218568002"/>
        <n v="33.934009079518603"/>
        <n v="29.776585350094901"/>
        <n v="25.211766851438"/>
        <n v="22.3663635832336"/>
        <n v="29.724136357451101"/>
        <n v="30.898484739266401"/>
        <n v="21.770240375957499"/>
        <n v="34.032017480983797"/>
        <n v="19.035767732913801"/>
        <n v="24.496164877990498"/>
        <n v="23.046851809101401"/>
        <n v="19.582830454933902"/>
        <n v="23.9808466140185"/>
        <n v="21.879239749427398"/>
        <n v="26.489516799236"/>
        <n v="23.524092001841499"/>
        <n v="27.302423444288898"/>
        <n v="32.669291980738002"/>
        <n v="24.185843829494999"/>
        <n v="26.9401730733566"/>
        <n v="32.484535945403103"/>
        <n v="26.4532861063193"/>
        <n v="19.815298707590198"/>
        <n v="33.979989346657902"/>
        <n v="25.383210603098998"/>
        <n v="21.8659109595548"/>
        <n v="29.105827322418801"/>
        <n v="24.723829410551001"/>
        <n v="30.075826882448499"/>
        <n v="20.9010054659914"/>
        <n v="24.8534579193628"/>
        <n v="31.730362779471299"/>
        <n v="28.198674414632698"/>
        <n v="20.873821444664902"/>
        <n v="25.669760894524099"/>
        <n v="32.847305584947101"/>
        <n v="34.136821921560603"/>
        <n v="24.996959835829198"/>
        <n v="31.502579967987799"/>
        <n v="28.535487716646301"/>
        <n v="25.835462767645499"/>
        <n v="22.267465664082"/>
        <n v="19.464556789408402"/>
        <n v="34.845605163340899"/>
        <n v="31.153006813993201"/>
        <n v="26.3260929703291"/>
        <n v="20.783560168474001"/>
        <n v="33.263334918716403"/>
        <n v="24.354155279330399"/>
        <n v="25.099719801843801"/>
        <n v="19.4469654208565"/>
        <n v="21.754503991755701"/>
        <n v="28.124569595039301"/>
        <n v="33.091666561526203"/>
        <n v="28.363832221124898"/>
        <n v="30.749103961981401"/>
        <n v="29.468196881028899"/>
        <n v="31.8762789105702"/>
        <n v="25.419022226918202"/>
        <n v="20.025417031111498"/>
        <n v="28.733875007858401"/>
        <n v="30.068110191510399"/>
        <n v="25.2770704676017"/>
        <n v="34.578248625534798"/>
        <n v="26.826515251627601"/>
        <n v="18.621325235147999"/>
        <n v="19.133614475884599"/>
        <n v="34.654025373062503"/>
        <n v="31.7134986476858"/>
        <n v="28.165838504551498"/>
        <n v="20.919036955940001"/>
        <n v="26.7820991846753"/>
        <n v="26.780847261904299"/>
        <n v="19.9763065263713"/>
        <n v="24.089093770278101"/>
        <n v="29.030702848170002"/>
        <n v="33.513847609635299"/>
        <n v="28.104157163549601"/>
        <n v="32.762043396523502"/>
        <n v="19.599887192084498"/>
        <n v="24.5285528855857"/>
        <n v="26.038653183664898"/>
        <n v="26.3392880213752"/>
        <n v="24.869840438255199"/>
        <n v="30.003243195790699"/>
        <n v="26.429239023798399"/>
        <n v="23.242141808450398"/>
        <n v="19.634439455970998"/>
        <n v="32.982865180233297"/>
        <n v="19.401070003022198"/>
        <n v="32.6546534280385"/>
        <n v="23.530901552353502"/>
        <n v="31.370793436160699"/>
        <n v="22.771920534086799"/>
        <n v="27.0471721177056"/>
        <n v="26.281835025721801"/>
        <n v="23.990036362421201"/>
        <n v="23.606247559961901"/>
        <n v="34.804047253251397"/>
        <n v="29.1657216912634"/>
        <n v="30.220799761753401"/>
        <n v="26.506302520128301"/>
        <n v="21.456204651787399"/>
        <n v="33.2038115145929"/>
        <n v="31.3815385188318"/>
        <n v="34.022389177368602"/>
        <n v="26.0958636567246"/>
        <n v="34.731241122950998"/>
        <n v="19.3278932802795"/>
        <n v="20.095460236494802"/>
        <n v="29.192500247910999"/>
        <n v="30.3875362341354"/>
        <n v="20.860522219936101"/>
        <n v="23.831896085110301"/>
        <n v="32.411890272990803"/>
        <n v="23.150112554375202"/>
        <n v="23.937251827270899"/>
        <n v="21.540973049676602"/>
        <n v="31.781952759047801"/>
        <n v="24.876632311410901"/>
        <n v="32.1550900884315"/>
        <n v="34.823119094255297"/>
        <n v="18.8604707477723"/>
        <n v="23.721734937014698"/>
        <n v="26.217390163523898"/>
        <n v="28.497297450461399"/>
        <n v="18.673468204937201"/>
        <n v="33.239524147504"/>
        <n v="25.6418586974433"/>
        <n v="23.1656300414916"/>
        <n v="21.2723308611791"/>
        <n v="26.370225978191201"/>
        <n v="24.921942207286701"/>
        <n v="31.2790124514765"/>
        <n v="20.856436023802299"/>
        <n v="34.3523139957273"/>
        <n v="24.040970016585302"/>
        <n v="32.817084615667397"/>
        <n v="29.912116132559699"/>
        <n v="33.793974775406703"/>
        <n v="34.321385907641698"/>
        <n v="28.067188004787401"/>
        <n v="23.162079414057501"/>
        <n v="19.862440607581998"/>
        <n v="25.752788539252801"/>
        <n v="26.922592167216202"/>
        <n v="19.330328393421901"/>
        <n v="22.7700747380146"/>
        <n v="23.721542659427801"/>
        <n v="25.5091039919682"/>
        <n v="34.4482142497789"/>
        <n v="28.515056418525301"/>
        <n v="19.920915823355099"/>
        <n v="34.087671797595902"/>
        <n v="29.3146936442709"/>
        <n v="27.919089948599499"/>
        <n v="33.593363924006397"/>
        <n v="18.602033073574699"/>
        <n v="19.954218111115399"/>
        <n v="34.148097621017101"/>
        <n v="22.829738212073401"/>
        <n v="20.006874616503602"/>
        <n v="31.189508697135398"/>
        <n v="22.109733188779501"/>
        <n v="21.163886819543102"/>
        <n v="22.750927979598199"/>
        <n v="23.031986851500399"/>
        <n v="22.342166188455501"/>
        <n v="26.238911505345001"/>
        <n v="25.924070625436102"/>
        <n v="29.932997031908599"/>
        <n v="30.5971462392571"/>
        <n v="30.588109537466501"/>
        <n v="34.924454963270001"/>
        <n v="30.275394671350501"/>
        <n v="23.243934789832"/>
        <n v="25.1580798752634"/>
        <n v="21.291171248399898"/>
        <n v="32.579733579998603"/>
        <n v="20.8459927103913"/>
        <n v="26.722494966854899"/>
        <n v="22.249807383734399"/>
        <n v="27.472486661463801"/>
        <n v="29.967007196504301"/>
        <n v="22.5698313729388"/>
        <n v="29.789449740609999"/>
        <n v="27.000255968378699"/>
        <n v="34.839705314651503"/>
        <n v="31.240508455661299"/>
        <n v="29.820504040067501"/>
        <n v="29.772396793456998"/>
        <n v="27.651238104983801"/>
        <n v="21.312631441097"/>
        <n v="31.399367127823901"/>
        <n v="28.0120669018077"/>
        <n v="31.829218955139201"/>
        <n v="24.1441456718496"/>
        <n v="22.431779564126"/>
        <n v="24.006119424997799"/>
        <n v="19.3591947026509"/>
        <n v="26.800697904481499"/>
        <n v="23.7892932019552"/>
        <n v="22.804012558374399"/>
        <n v="18.649936076694999"/>
        <n v="26.933048054294499"/>
        <n v="25.851043939137099"/>
        <n v="34.4549804912022"/>
        <n v="27.924786535388002"/>
        <n v="23.0245126705484"/>
        <n v="32.746621033524796"/>
        <n v="20.800928897385099"/>
        <n v="34.627730039366199"/>
        <n v="27.891906641635501"/>
        <n v="28.1212449951183"/>
        <n v="33.009985437318697"/>
        <n v="20.685765829641699"/>
        <n v="24.6387188689014"/>
        <n v="26.634997065120199"/>
        <n v="24.469177146722298"/>
        <n v="26.055354869596599"/>
        <n v="32.806493009252598"/>
        <n v="34.451114754329197"/>
        <n v="27.4236465555304"/>
        <n v="34.309278976774102"/>
        <n v="33.276669724419101"/>
        <n v="23.7964512530748"/>
        <n v="20.624448216572901"/>
        <n v="29.199665188853899"/>
        <n v="29.8481919050346"/>
        <n v="30.651807381214699"/>
        <n v="19.313359130612799"/>
        <n v="24.8737471349014"/>
        <n v="26.601826084037"/>
        <n v="24.576126772019599"/>
        <n v="23.792104108140901"/>
        <n v="18.734244468783402"/>
        <n v="34.725122678834701"/>
        <n v="30.313747443438402"/>
        <n v="33.807804595744201"/>
        <n v="19.961542604004599"/>
        <n v="29.668392551155002"/>
        <n v="33.602284016257997"/>
        <n v="19.557562732096802"/>
        <n v="28.336353717573299"/>
        <n v="20.110565628798302"/>
        <n v="28.8741112484898"/>
        <n v="21.9810031952291"/>
        <n v="32.422912250362003"/>
        <n v="28.7720253426276"/>
        <n v="26.095429335605601"/>
        <n v="21.344374974735199"/>
        <n v="23.4511068679397"/>
        <n v="34.112083750855803"/>
        <n v="20.707339392400399"/>
        <n v="34.229568265109101"/>
        <n v="32.823619637806502"/>
        <n v="30.788387071893698"/>
        <n v="20.5731176248031"/>
        <n v="18.596768010138099"/>
        <n v="25.283881551919698"/>
        <n v="29.541043566325001"/>
        <n v="24.550201515099101"/>
        <n v="31.702270115409199"/>
        <n v="26.503703000854401"/>
        <n v="30.211453328695502"/>
        <n v="31.159351003627101"/>
        <n v="21.913385944467699"/>
        <n v="33.723644803458903"/>
        <n v="26.018217565757901"/>
        <n v="22.487372193516499"/>
        <n v="23.098456212820601"/>
        <n v="34.980083440958197"/>
        <n v="26.847775702415401"/>
        <n v="27.2998385396834"/>
        <n v="31.6012384293883"/>
        <n v="31.3325105161185"/>
        <n v="32.6623284915011"/>
        <n v="32.4402574092733"/>
        <n v="24.434646760180598"/>
        <n v="29.839366667101199"/>
        <n v="19.504941463380501"/>
        <n v="18.662154617401399"/>
        <n v="34.692825014981103"/>
        <n v="23.9347579434842"/>
        <n v="21.8150371048111"/>
        <n v="20.626892653712702"/>
        <n v="31.891845738339999"/>
        <n v="23.3496265483314"/>
        <n v="25.864384939778201"/>
        <n v="24.635306945345899"/>
        <n v="22.2151568995628"/>
        <n v="29.4282455734031"/>
        <n v="20.043082039365501"/>
        <n v="33.599124499085399"/>
        <n v="23.4957896164874"/>
        <n v="21.0799753371404"/>
        <n v="34.545612935460298"/>
        <n v="30.9046696991843"/>
        <n v="27.876432168434601"/>
        <n v="22.087973381584298"/>
        <n v="21.195348420761999"/>
        <n v="26.3281760834283"/>
        <n v="24.007313851651599"/>
        <n v="31.676171329154801"/>
        <n v="27.8935322428013"/>
        <n v="25.804446082462601"/>
        <n v="28.923419902388599"/>
        <n v="27.059339477392701"/>
        <n v="19.240199200857301"/>
        <n v="19.3442308563503"/>
        <n v="26.053116109618198"/>
        <n v="21.499099363059699"/>
        <n v="29.0171409399521"/>
        <n v="21.591222056892001"/>
        <n v="19.399403077326301"/>
        <n v="26.818191891654202"/>
        <n v="22.7587761123613"/>
        <n v="20.534755102742299"/>
        <n v="31.251861376537299"/>
        <n v="31.831295913798801"/>
        <n v="29.941114081579201"/>
        <n v="32.633437813275002"/>
        <n v="29.1244812916181"/>
        <n v="23.7849292511962"/>
        <n v="28.0263311201245"/>
        <n v="30.2924854686092"/>
        <n v="26.062997410533999"/>
        <n v="27.223670778086799"/>
        <n v="19.0672181628034"/>
        <n v="30.783295769319601"/>
        <n v="31.996397656761001"/>
        <n v="19.8438790127041"/>
        <n v="24.549522051591499"/>
        <n v="24.410614180510699"/>
        <n v="22.053428167101"/>
        <n v="20.221165941306001"/>
        <n v="27.2151228189798"/>
        <n v="21.6722556547235"/>
        <n v="28.520852877085499"/>
        <n v="22.4394042229193"/>
        <n v="20.2607450151888"/>
        <n v="29.426830612438199"/>
        <n v="29.217674111489799"/>
        <n v="34.4299024709102"/>
        <n v="19.797340731331001"/>
        <n v="26.732971079643001"/>
        <n v="31.480929743103399"/>
        <n v="28.829902698183201"/>
        <n v="20.593401663041"/>
        <n v="20.354550948404199"/>
        <n v="19.3135982873121"/>
        <n v="20.7384142081462"/>
        <n v="34.059215937173697"/>
        <n v="28.571204986397898"/>
        <n v="30.6426867051701"/>
        <n v="22.119924921738001"/>
        <n v="29.045279475412599"/>
        <n v="24.125872565109301"/>
        <n v="31.184327667481401"/>
        <n v="28.674262639727001"/>
        <n v="25.8561215721457"/>
        <n v="30.347233939095499"/>
        <n v="34.7915797931513"/>
        <n v="27.499561178493199"/>
        <n v="34.961592343866798"/>
        <n v="28.110178768656802"/>
        <n v="23.1056527677754"/>
        <n v="18.906632676499299"/>
        <n v="28.8897793217768"/>
        <n v="19.4343216967297"/>
        <n v="32.300246527271497"/>
        <n v="34.597431666084702"/>
        <n v="25.4743292243475"/>
        <n v="19.577066499846602"/>
        <n v="32.0603488254228"/>
        <n v="24.703525161830701"/>
        <n v="29.164113905346699"/>
        <n v="29.181145217156001"/>
        <n v="20.617773789142401"/>
        <n v="29.228088246353199"/>
        <n v="33.545006397400797"/>
        <n v="33.551424925611499"/>
        <n v="28.322067878216899"/>
        <n v="25.745655903279999"/>
        <n v="27.358175917293199"/>
        <n v="32.135440141409099"/>
        <n v="30.074735174175199"/>
        <n v="26.0791703173002"/>
        <n v="25.543763009084401"/>
        <n v="33.821166292753198"/>
        <n v="29.077920709105602"/>
        <n v="27.167751363436899"/>
        <n v="34.625183082419298"/>
        <n v="27.963794120440699"/>
        <n v="19.589912579065601"/>
        <n v="34.5473758882206"/>
        <n v="25.698059434893"/>
        <n v="20.446545979863"/>
        <n v="26.512965923820101"/>
        <n v="26.384811356066699"/>
        <n v="20.705978297590601"/>
        <n v="30.9771718627618"/>
        <n v="19.873180592433101"/>
        <n v="24.3323076690018"/>
        <n v="24.362185574909201"/>
        <n v="30.302818123730699"/>
        <n v="22.924363288596599"/>
        <n v="32.024670545877498"/>
        <n v="20.566645313087399"/>
        <n v="29.315914535460799"/>
        <n v="28.361758536137"/>
        <n v="32.396196559406299"/>
        <n v="24.660327157025201"/>
        <n v="32.849982100051903"/>
        <n v="25.909123046104298"/>
        <n v="23.223617724846999"/>
        <n v="26.078510855515699"/>
        <n v="34.260390147889098"/>
        <n v="25.5565399160987"/>
        <n v="34.365471427538303"/>
        <n v="28.038189683204799"/>
        <n v="34.306659328606699"/>
        <n v="19.7699915196322"/>
        <n v="32.050780436151904"/>
        <n v="32.340849056626901"/>
        <n v="23.881809193116101"/>
        <n v="22.5124696743597"/>
        <n v="31.168116192286501"/>
        <n v="27.584415469932502"/>
        <n v="21.676136985491102"/>
        <n v="22.378016430396599"/>
        <n v="25.880495478167902"/>
        <n v="33.533488272967297"/>
        <n v="32.0383738198298"/>
        <n v="31.0405758797523"/>
        <n v="24.707142734698699"/>
        <n v="25.7277272524388"/>
        <n v="24.1495195343816"/>
        <n v="25.278470526862499"/>
        <n v="19.3734429368855"/>
        <n v="27.516859956918701"/>
        <n v="22.677819195604599"/>
        <n v="20.007328504938599"/>
        <n v="32.365744930210298"/>
        <n v="18.788720530791899"/>
        <n v="25.368701320981799"/>
        <n v="28.959176120235199"/>
        <n v="19.308576642026001"/>
        <n v="27.950709565334598"/>
        <n v="32.021678808869801"/>
        <n v="33.017322841034201"/>
        <n v="19.068116591459599"/>
        <n v="23.882638365185301"/>
        <n v="23.8911916943824"/>
        <n v="21.785041428942701"/>
        <n v="28.339717208696801"/>
        <n v="18.939038040281702"/>
        <n v="30.175739664718801"/>
        <n v="32.165066843836897"/>
        <n v="33.551435906895101"/>
        <n v="31.619319661690898"/>
        <n v="32.227035437852798"/>
        <n v="28.0824739844183"/>
        <n v="31.674482833344602"/>
        <n v="30.737788128365001"/>
        <n v="34.021388097433302"/>
        <n v="26.328477467434599"/>
        <n v="29.641308819773599"/>
        <n v="21.897052804942199"/>
        <n v="24.315937274565201"/>
        <n v="33.498592215789103"/>
        <n v="20.642640721395001"/>
        <n v="22.457029211408699"/>
        <n v="31.148833087748802"/>
        <n v="34.718623512652499"/>
        <n v="28.867727439565801"/>
        <n v="20.718151551597501"/>
        <n v="19.934955834222801"/>
        <n v="21.537671835455701"/>
        <n v="28.0129923341938"/>
        <n v="20.243230699907301"/>
        <n v="31.912041030356502"/>
        <n v="33.201069097396598"/>
        <n v="18.7750805848939"/>
        <n v="28.049481859939899"/>
        <n v="28.701702846726299"/>
        <n v="19.942377329872802"/>
        <n v="30.104074257585399"/>
        <n v="22.766194850064"/>
        <n v="30.1692674175344"/>
        <n v="30.834090506317299"/>
        <n v="31.684855405237201"/>
        <n v="32.539070495814499"/>
        <n v="23.221228200562098"/>
        <n v="33.041409502632497"/>
        <n v="29.067380020888599"/>
        <n v="23.68367405331"/>
        <n v="34.306522596960399"/>
        <n v="26.657118382255"/>
        <n v="33.561213206729697"/>
        <n v="33.594776674948399"/>
        <n v="31.427774792700401"/>
        <n v="21.993287140441499"/>
        <n v="23.280511731680502"/>
        <n v="22.902110065658199"/>
        <n v="32.972604771325202"/>
        <n v="33.544454354299198"/>
        <n v="34.3850876337087"/>
        <n v="26.7974460810821"/>
        <n v="20.919140193137299"/>
        <n v="29.157810234880099"/>
        <n v="21.031312559419899"/>
        <n v="28.723112781646901"/>
        <n v="18.9834408112064"/>
        <n v="28.295796228494002"/>
        <n v="23.606132511361999"/>
        <n v="25.891532330306099"/>
        <n v="25.769951381976298"/>
        <n v="25.190282659451899"/>
        <n v="34.737476155447403"/>
        <n v="23.322107786199901"/>
        <n v="23.3644844327216"/>
        <n v="24.350045445671999"/>
        <n v="33.376915286524898"/>
        <n v="25.990320745289601"/>
        <n v="31.107577178551502"/>
        <n v="22.6633252803517"/>
        <n v="22.8838118202933"/>
        <n v="33.2809595707432"/>
        <n v="20.2073385501686"/>
        <n v="18.820120552700502"/>
        <n v="19.686460835721299"/>
        <n v="33.465261054231"/>
        <n v="21.284365733570699"/>
        <n v="24.5521722906634"/>
        <n v="23.476183352913601"/>
        <n v="23.609913233235599"/>
        <n v="22.225527610485301"/>
        <n v="30.0633388970287"/>
        <n v="30.3416566035927"/>
        <n v="21.606991661132199"/>
        <n v="25.5678047093859"/>
        <n v="20.0347872528341"/>
        <n v="31.6270432082501"/>
        <n v="20.650287147343501"/>
        <n v="29.116577667035902"/>
        <n v="21.753519202473001"/>
        <n v="21.253001540391999"/>
        <n v="30.397401904814799"/>
        <n v="32.054275670807101"/>
        <n v="34.937704135236501"/>
        <n v="32.913315360045999"/>
        <n v="28.842742922848601"/>
        <n v="32.915687570252302"/>
        <n v="30.0076216844136"/>
        <n v="33.9684393445852"/>
        <n v="33.182300502457103"/>
        <n v="33.0602796572351"/>
        <n v="33.604367324200602"/>
        <n v="29.485126464378499"/>
        <n v="34.881730172752597"/>
        <n v="24.342065278859"/>
        <n v="19.7822549034634"/>
        <n v="32.808010491518502"/>
        <n v="29.321042660901899"/>
        <n v="29.444626706815999"/>
        <n v="26.9581515277027"/>
        <n v="22.890672580865498"/>
        <n v="32.821663841059902"/>
        <n v="19.1436059425865"/>
        <n v="34.861801658860202"/>
        <n v="29.6258439660504"/>
        <n v="20.873956563931301"/>
        <n v="27.295412286562701"/>
        <n v="34.762412110221199"/>
        <n v="20.592229685591501"/>
        <n v="20.5973230993058"/>
        <n v="22.519644067706199"/>
        <n v="28.905482367220799"/>
        <n v="25.723123407304101"/>
        <n v="31.4182396352499"/>
        <n v="19.119842787475601"/>
        <n v="23.6211196702839"/>
        <n v="26.177079266052701"/>
        <n v="31.075138737430301"/>
        <n v="34.487582553375802"/>
        <n v="25.794092516448199"/>
        <n v="33.946913308747298"/>
        <n v="22.307120738416302"/>
        <n v="22.6718171113897"/>
        <n v="19.6101961132049"/>
        <n v="22.921954903592201"/>
        <n v="30.158968128404499"/>
        <n v="30.369904566984498"/>
        <n v="28.841430250948399"/>
        <n v="30.981442951817002"/>
        <n v="21.4808494316365"/>
        <n v="20.910593331431699"/>
        <n v="29.262638361504301"/>
        <n v="21.049593694843502"/>
        <n v="28.334719325381101"/>
        <n v="20.272934118376899"/>
        <n v="33.507813051774903"/>
        <n v="22.875317229525301"/>
        <n v="22.536808400977701"/>
        <n v="33.6109367451472"/>
        <n v="34.411828361593699"/>
        <n v="21.2015278050063"/>
        <n v="20.152557458861601"/>
        <n v="22.9833403818199"/>
        <n v="31.9632705253509"/>
        <n v="24.742207518226699"/>
        <n v="18.731239539179899"/>
        <n v="24.1467211588519"/>
        <n v="23.404032878443999"/>
        <n v="25.3666556157016"/>
        <n v="27.6426381265311"/>
        <n v="34.771917155180901"/>
        <n v="25.803804996297099"/>
        <n v="24.4304931427084"/>
        <n v="19.6561334793996"/>
        <n v="26.015181938104899"/>
        <n v="20.486239466841301"/>
        <n v="26.6962665620987"/>
        <n v="21.068927862972799"/>
        <n v="32.408600460527197"/>
        <n v="25.857129227686801"/>
        <n v="30.5759001652272"/>
        <n v="21.370401147405001"/>
        <n v="28.995742971619698"/>
        <n v="21.464245096263099"/>
        <n v="21.681853547547"/>
        <n v="23.780982809029101"/>
        <n v="24.460064973100799"/>
        <n v="29.0154855828773"/>
        <n v="27.709824534192201"/>
        <n v="25.629110203599101"/>
        <n v="28.3243442267317"/>
        <n v="33.128824784789501"/>
        <n v="25.2805521137768"/>
        <n v="29.933183782208999"/>
        <n v="28.471022927054399"/>
        <n v="20.0437302140535"/>
        <n v="26.8497374247953"/>
        <n v="21.181432577408"/>
        <n v="32.551093100284398"/>
        <n v="32.752528778922503"/>
        <n v="31.0789600261683"/>
        <n v="28.0826816296379"/>
        <n v="32.194003288005298"/>
        <n v="18.642213542764299"/>
        <n v="29.495720527466101"/>
        <n v="26.952299303958299"/>
        <n v="28.1789286671752"/>
        <n v="32.298806666190501"/>
        <n v="24.808994962516799"/>
        <n v="26.014015936591001"/>
        <n v="27.047253256990501"/>
        <n v="18.6231418168841"/>
        <n v="22.922778591747502"/>
        <n v="30.3481246598142"/>
        <n v="22.344812912547699"/>
        <n v="23.3625726031112"/>
        <n v="31.916843073948399"/>
        <n v="31.270918940351098"/>
        <n v="32.681799097810803"/>
        <n v="21.9775911405934"/>
        <n v="28.862502665397301"/>
        <n v="25.357858403481"/>
        <n v="28.030615830512701"/>
        <n v="19.427700865041"/>
        <n v="22.7619570806052"/>
        <n v="32.558798860777401"/>
        <n v="28.648650941242501"/>
        <n v="23.503126433430101"/>
        <n v="27.380631680829801"/>
        <n v="34.628033292533402"/>
        <n v="26.550353222108399"/>
        <n v="19.3523463923915"/>
        <n v="25.283371380415002"/>
        <n v="21.8702317209505"/>
        <n v="25.251512693064999"/>
        <n v="28.8422433960699"/>
        <n v="24.419251423957601"/>
        <n v="26.517112502128601"/>
        <n v="27.836554492276001"/>
        <n v="33.626474051459297"/>
        <n v="20.832828644569599"/>
        <n v="24.816751013679099"/>
        <n v="30.358537888551101"/>
        <n v="26.624056303570601"/>
        <n v="23.960093635373202"/>
        <n v="21.6732102509417"/>
        <n v="34.212356239800599"/>
        <n v="20.419473497698799"/>
        <n v="27.378561957998301"/>
        <n v="24.701050113630998"/>
        <n v="20.1359108525807"/>
        <n v="22.464042804660998"/>
        <n v="26.664628201408998"/>
        <n v="31.336752030920401"/>
        <n v="28.335054863159801"/>
        <n v="34.435212324090699"/>
        <n v="34.472365838754598"/>
        <n v="22.137762936489601"/>
        <n v="25.204481810902099"/>
        <n v="26.3172593264879"/>
        <n v="29.36207275185"/>
        <n v="23.205895744226801"/>
        <n v="33.788658823103198"/>
        <n v="22.525922488815699"/>
        <n v="33.168510078441898"/>
        <n v="29.9953682999077"/>
        <n v="20.180999608302599"/>
        <n v="30.221959947704701"/>
        <n v="33.478060520227899"/>
        <n v="21.093864078689698"/>
        <n v="31.994064213842101"/>
        <n v="28.293991697835899"/>
        <n v="21.154194842504101"/>
        <n v="25.412239809083101"/>
        <n v="23.566947765444102"/>
        <n v="26.910480242254899"/>
        <n v="19.8895146844221"/>
        <n v="20.502636755052201"/>
        <n v="34.745502290205799"/>
        <n v="31.056598718667601"/>
        <n v="20.3064590401384"/>
        <n v="21.383952300075499"/>
        <n v="22.549998631892301"/>
        <n v="29.611425527038602"/>
        <n v="20.361868984528499"/>
        <n v="34.8022303740794"/>
        <n v="24.924931364503401"/>
        <n v="21.999340418376701"/>
        <n v="24.113679408445702"/>
        <n v="24.437110860503299"/>
        <n v="30.5139212160467"/>
        <n v="22.443461723490501"/>
        <n v="25.283600091279698"/>
        <n v="33.835157483510997"/>
        <n v="24.135911386020801"/>
        <n v="24.085363510520299"/>
        <n v="22.253446460943401"/>
        <n v="18.617014910777101"/>
        <n v="32.119758279852299"/>
        <n v="24.844510926153301"/>
        <n v="25.624817069278301"/>
        <n v="31.5363736245287"/>
        <n v="22.585922110678698"/>
        <n v="34.449266644785702"/>
        <n v="30.703089424158701"/>
        <n v="22.0902010088721"/>
        <n v="23.597142426922101"/>
        <n v="32.266359129865002"/>
        <n v="31.200568401898501"/>
        <n v="28.823223563533901"/>
        <n v="25.105884342857198"/>
        <n v="32.6669017652112"/>
        <n v="25.206634846209099"/>
        <n v="31.235294581296799"/>
        <n v="33.952139966618702"/>
        <n v="33.3092833876143"/>
        <n v="31.556626786159001"/>
        <n v="31.7844669444519"/>
        <n v="32.527190122303097"/>
        <n v="27.178118518874001"/>
        <n v="23.270980518493399"/>
        <n v="27.821718026265799"/>
        <n v="20.973502678577798"/>
        <n v="27.370088777849901"/>
        <n v="22.827526309947199"/>
        <n v="28.000575773518101"/>
        <n v="29.1449763744649"/>
        <n v="18.779990633705101"/>
        <n v="19.235703530113302"/>
        <n v="31.603220268582401"/>
        <n v="33.882403584696"/>
        <n v="29.671123945553099"/>
        <n v="33.655605252311503"/>
        <n v="20.666251538079599"/>
        <n v="29.660573087015099"/>
        <n v="21.950106515728599"/>
        <n v="29.488128240327601"/>
        <n v="32.073848229927002"/>
        <n v="31.663777242127601"/>
        <n v="18.719139857066502"/>
        <n v="27.570334710194601"/>
        <n v="19.149471017025501"/>
        <n v="19.691517558030601"/>
        <n v="29.793183457643501"/>
        <n v="30.1165189677623"/>
        <n v="26.803136845167401"/>
        <n v="20.701369536132901"/>
        <n v="30.467885447141899"/>
        <n v="31.124956022710801"/>
        <n v="26.507295462018298"/>
        <n v="34.477394841637697"/>
        <n v="20.964796997736102"/>
        <n v="32.894510295354401"/>
        <n v="33.594895472552302"/>
        <n v="28.668797347843299"/>
        <n v="28.6164179446424"/>
        <n v="19.7028244558823"/>
        <n v="22.677781965711301"/>
        <n v="31.760941955975401"/>
        <n v="30.858483787181701"/>
        <n v="31.8172658352719"/>
        <n v="29.0496842089557"/>
        <n v="25.274878504431399"/>
        <n v="31.827089089226899"/>
        <n v="34.652631371601899"/>
        <n v="18.563199793255301"/>
        <n v="26.006788515507601"/>
        <n v="33.8923168870894"/>
        <n v="33.1425048336109"/>
        <n v="30.932347489866899"/>
        <n v="24.239068732645201"/>
        <n v="27.513085402159"/>
        <n v="31.394124464452702"/>
        <n v="34.6692648814115"/>
        <n v="25.396737410863999"/>
        <n v="32.626534762911803"/>
        <n v="26.423028001821098"/>
        <n v="20.137421471174701"/>
        <n v="27.0530301450327"/>
        <n v="19.996894565339201"/>
        <n v="22.834475370531901"/>
        <n v="32.933640032140801"/>
        <n v="30.379947243352799"/>
        <n v="22.511554751974"/>
        <n v="18.847108890597699"/>
        <n v="24.230259826044001"/>
        <n v="31.825826847788999"/>
        <n v="24.3751104354658"/>
        <n v="31.517080388936801"/>
        <n v="29.046830184934301"/>
        <n v="26.716151777607301"/>
        <n v="22.388761820502101"/>
        <n v="25.554440613435201"/>
        <n v="21.5367387388285"/>
        <n v="31.021324217896101"/>
        <n v="33.249902926054801"/>
        <n v="20.245642584501098"/>
        <n v="26.8513075694616"/>
        <n v="31.941313424427602"/>
        <n v="31.617690359319699"/>
        <n v="33.9466901855914"/>
        <n v="29.761443546917299"/>
        <n v="26.973044801239201"/>
        <n v="27.338868012524401"/>
        <n v="18.8242494653229"/>
        <n v="25.004143160898401"/>
        <n v="32.495351621122701"/>
        <n v="26.634214722558401"/>
        <n v="26.590156075262101"/>
        <n v="32.4719525308508"/>
        <n v="30.718407100102201"/>
        <n v="26.616812396645599"/>
        <n v="26.526965634584901"/>
        <n v="26.893648739568398"/>
        <n v="24.011751548929301"/>
        <n v="24.861616274612501"/>
        <n v="22.440945146659502"/>
        <n v="34.163139333973703"/>
        <n v="23.534144832522099"/>
        <n v="21.286178274556001"/>
        <n v="26.101101062307301"/>
        <n v="27.603254138329401"/>
        <n v="34.4310456508736"/>
        <n v="23.615561396205401"/>
        <n v="24.726249874300098"/>
        <n v="22.7607424187897"/>
        <n v="22.5172062271015"/>
        <n v="26.231190410753701"/>
        <n v="31.032082453829499"/>
        <n v="21.898805039109799"/>
        <n v="30.203386097822602"/>
        <n v="29.741154823785099"/>
        <n v="23.661764259149599"/>
        <n v="24.477842585003302"/>
        <n v="18.848972085265299"/>
        <n v="25.412394136735099"/>
        <n v="28.066581923243699"/>
        <n v="21.086547072752001"/>
        <n v="32.079558978374401"/>
        <n v="31.3017735758459"/>
        <n v="28.6392410942106"/>
        <n v="27.950746410662202"/>
        <n v="30.742923953581801"/>
        <n v="19.3626052039345"/>
        <n v="25.034898877685201"/>
        <n v="30.424278978829001"/>
        <n v="27.602851468806598"/>
        <n v="25.600662365869599"/>
        <n v="33.4475425753716"/>
        <n v="19.795412829484501"/>
        <n v="20.589512571053099"/>
        <n v="21.445576522997801"/>
        <n v="34.0721453064982"/>
        <n v="34.612079408940097"/>
        <n v="27.925013142899999"/>
        <n v="27.943200562896202"/>
        <n v="31.6264824667896"/>
        <n v="33.734219346729901"/>
        <n v="22.9507506869171"/>
        <n v="20.5014994670913"/>
        <n v="30.089578897829799"/>
        <n v="27.8293630059168"/>
        <n v="29.371879808485101"/>
        <n v="34.820567765294101"/>
        <n v="22.873280242253099"/>
        <n v="29.588981793918599"/>
        <n v="19.358391957985798"/>
        <n v="24.242857265375701"/>
        <n v="23.707948053557999"/>
        <n v="28.058671146009601"/>
        <n v="18.564653186693"/>
        <n v="34.9911012374846"/>
        <n v="20.9958606936341"/>
        <n v="29.914331045842701"/>
        <n v="23.1971331909666"/>
        <n v="25.3868185397078"/>
        <n v="23.7802658659419"/>
        <n v="20.6347801799505"/>
        <n v="25.873424220807198"/>
        <n v="30.979116600174802"/>
        <n v="27.034990800946101"/>
        <n v="31.317552559464598"/>
        <n v="19.778479838165399"/>
        <n v="34.378577948439897"/>
        <n v="18.797478647822"/>
        <n v="32.295301863122098"/>
        <n v="20.737839164120601"/>
        <n v="20.188480962311999"/>
        <n v="25.2732287760067"/>
        <n v="33.897683131308803"/>
        <n v="31.730127347945999"/>
        <n v="25.205045687078101"/>
        <n v="22.9165292137059"/>
        <n v="23.978011584941701"/>
        <n v="27.192483239831802"/>
        <n v="19.629271702503299"/>
        <n v="26.195180809324999"/>
        <n v="24.467490372718199"/>
        <n v="30.686009881049898"/>
        <n v="20.288606149824201"/>
        <n v="25.008909948841101"/>
        <n v="32.952894866072299"/>
        <n v="34.251994888504598"/>
        <n v="21.2739486103624"/>
        <n v="26.541684330700502"/>
        <n v="28.8140106193277"/>
        <n v="23.209167129646399"/>
        <n v="28.066228789080899"/>
        <n v="27.413584901847202"/>
        <n v="19.5379733542973"/>
        <n v="30.434950015900299"/>
        <n v="31.071917199761099"/>
        <n v="34.134824584346703"/>
        <n v="20.744927868122101"/>
        <n v="21.053969574960799"/>
        <n v="18.640177047018899"/>
        <n v="30.264735815718701"/>
        <n v="26.8017036533472"/>
        <n v="22.6081188361625"/>
        <n v="27.205201558990701"/>
        <n v="22.7019521371843"/>
        <n v="22.404061414673802"/>
        <n v="28.453015524641799"/>
        <n v="25.205872853471298"/>
        <n v="32.738833784664799"/>
        <n v="25.222230042352301"/>
        <n v="25.971609287191299"/>
        <n v="19.6226156825125"/>
        <n v="19.422784777115702"/>
        <n v="19.371627249491901"/>
        <n v="32.277067463768802"/>
        <n v="19.4091753301207"/>
        <n v="19.1566526010382"/>
        <n v="28.8263797172092"/>
        <n v="32.301255666705998"/>
        <n v="21.247308526316999"/>
        <n v="21.4021896764079"/>
        <n v="24.4654130980887"/>
        <n v="26.9469874062518"/>
        <n v="27.195625805595299"/>
        <n v="27.766309377251201"/>
        <n v="31.737516002933301"/>
        <n v="21.761890001388998"/>
        <n v="23.760485827404501"/>
        <n v="21.966943303013501"/>
        <n v="34.506928625904102"/>
        <n v="26.567690286234399"/>
        <n v="31.744507188044299"/>
        <n v="28.865408852035198"/>
        <n v="20.9028726706394"/>
        <n v="25.6299179072318"/>
        <n v="29.106308752921802"/>
        <n v="32.198347591705001"/>
        <n v="31.8891879960027"/>
        <n v="21.0715503530988"/>
        <n v="28.772494064240899"/>
        <n v="22.5168031766292"/>
        <n v="34.4609138373322"/>
        <n v="34.139633359685398"/>
        <n v="24.0640060917037"/>
        <n v="25.918125323184299"/>
        <n v="19.345200890671101"/>
        <n v="18.711557216924898"/>
        <n v="19.683633171832501"/>
        <n v="26.470593045689402"/>
        <n v="21.809316883203099"/>
        <n v="26.692504466804898"/>
        <n v="25.1160103903578"/>
        <n v="32.655926080955901"/>
        <n v="24.286711501869299"/>
        <n v="28.0173306740312"/>
        <n v="24.548094591757199"/>
        <n v="27.3364508061136"/>
        <n v="20.9982723249454"/>
        <n v="21.641299473901"/>
        <n v="19.698982195088998"/>
        <n v="29.940729385560999"/>
        <n v="26.6180285356293"/>
        <n v="24.550911491797599"/>
        <n v="30.954653062978402"/>
        <n v="20.245782910132402"/>
        <n v="31.381254232349701"/>
        <n v="25.597355079597602"/>
        <n v="24.938936068135899"/>
        <n v="28.046304882609299"/>
        <n v="33.537139967570702"/>
        <n v="31.880430679098001"/>
        <n v="32.927567523187399"/>
        <n v="21.3792250255662"/>
        <n v="21.953550251264399"/>
        <n v="33.680660867007397"/>
        <n v="33.936129875521097"/>
        <n v="19.150390154485901"/>
        <n v="24.748605367089102"/>
        <n v="29.236952341507699"/>
        <n v="32.802554513860002"/>
        <n v="21.054883011683"/>
        <n v="19.722235968972299"/>
        <n v="21.218059785337498"/>
        <n v="23.0406384942623"/>
        <n v="34.303149859907599"/>
        <n v="33.250555448131301"/>
        <n v="19.3637284441166"/>
        <n v="26.339155621413301"/>
        <n v="22.660852478676201"/>
        <n v="19.147873352202801"/>
        <n v="33.676577434360603"/>
        <n v="20.065011688677"/>
        <n v="27.478079032391101"/>
        <n v="23.747653592959502"/>
        <n v="31.6574391400374"/>
        <n v="23.448835058305502"/>
        <n v="23.299468094821101"/>
        <n v="30.381837002996601"/>
        <n v="19.9212402305591"/>
        <n v="22.486421061190001"/>
        <n v="22.023457099090599"/>
        <n v="31.1430503005462"/>
        <n v="21.540102750949099"/>
        <n v="24.2686375803274"/>
        <n v="27.815802341290301"/>
        <n v="25.972575446855899"/>
        <n v="27.4585173340739"/>
        <n v="26.152862107127198"/>
        <n v="24.068371254264001"/>
        <n v="18.7983380213938"/>
        <n v="25.105442828777502"/>
        <n v="27.572969199077399"/>
        <n v="19.3697115325817"/>
        <n v="29.447590694623699"/>
        <n v="28.019446035189802"/>
        <n v="22.0551379700495"/>
        <n v="22.449602299643701"/>
        <n v="22.564746079497901"/>
        <n v="31.819817213883098"/>
        <n v="20.487950070234699"/>
        <n v="32.550363336315698"/>
        <n v="30.9199977741286"/>
        <n v="34.583541342047198"/>
        <n v="19.1057635674706"/>
        <n v="31.0033132461901"/>
        <n v="32.401880785077502"/>
        <n v="30.334820951784899"/>
        <n v="26.7644639971783"/>
        <n v="23.500585059389099"/>
        <n v="24.950137542879101"/>
        <n v="24.2751133298074"/>
        <n v="33.818147107682996"/>
        <n v="27.565295229005901"/>
        <n v="25.451464546950501"/>
        <n v="28.249293412019298"/>
        <n v="34.104299289276902"/>
        <n v="25.478568471735699"/>
        <n v="21.383891200436398"/>
        <n v="21.716555688007599"/>
        <n v="28.172885729882498"/>
        <n v="34.346051781265103"/>
        <n v="20.169232723616201"/>
        <n v="32.143319478360397"/>
        <n v="27.783814477895199"/>
        <n v="31.0760939347023"/>
        <n v="30.274521543347198"/>
        <n v="21.923939673850501"/>
        <n v="27.032676218175499"/>
        <n v="27.885410151158901"/>
        <n v="34.976253308662798"/>
        <n v="22.657970657127098"/>
        <n v="26.660851370602"/>
        <n v="25.3964803822291"/>
        <n v="31.753000033527499"/>
        <n v="30.1968501031511"/>
        <n v="32.817432021283999"/>
        <n v="23.1275085685409"/>
        <n v="34.448747708684699"/>
        <n v="18.560329137186699"/>
        <n v="25.297118052102299"/>
        <n v="26.340319289373301"/>
        <n v="20.5369227858708"/>
        <n v="25.961549151678302"/>
        <n v="20.855963005020001"/>
        <n v="24.925672221281602"/>
        <n v="20.629675574359499"/>
        <n v="34.203089705443801"/>
        <n v="24.2780776514773"/>
        <n v="19.873751357835399"/>
        <n v="30.455205501120499"/>
        <n v="23.826361591889501"/>
        <n v="20.699190258355799"/>
        <n v="19.159141559220501"/>
        <n v="23.639952933730701"/>
        <n v="26.5069012486532"/>
        <n v="21.247885472704901"/>
        <n v="31.335505211350799"/>
        <n v="27.150202888872599"/>
        <n v="29.5670008698029"/>
        <n v="30.765322776905201"/>
        <n v="29.916801493898699"/>
        <n v="23.079126280889401"/>
        <n v="29.129514763828599"/>
        <n v="19.119222849274699"/>
        <n v="30.438320459962899"/>
        <n v="26.889904082582401"/>
        <n v="19.785003320006201"/>
        <n v="19.310948440695402"/>
        <n v="19.9800651637449"/>
        <n v="27.705006529035099"/>
        <n v="24.357751891248"/>
        <n v="33.870482717257502"/>
        <n v="21.969556935380702"/>
        <n v="30.852043691600201"/>
        <n v="29.187380897940098"/>
        <n v="28.698698931768"/>
        <n v="26.906896408199302"/>
        <n v="26.4888550306962"/>
        <n v="21.690097354598802"/>
        <n v="19.000837791294501"/>
        <n v="33.198730446778903"/>
        <n v="34.187287768009"/>
        <n v="25.243542777470399"/>
        <n v="30.581616904151598"/>
        <n v="28.209115467481901"/>
        <n v="24.583965065268899"/>
        <n v="26.200272071209199"/>
        <n v="30.333493876271501"/>
        <n v="21.2759035552901"/>
        <n v="24.708278933951899"/>
        <n v="22.583139190346898"/>
        <n v="29.241033796105899"/>
        <n v="26.251771303903201"/>
        <n v="22.223465620358901"/>
        <n v="32.1045316516988"/>
        <n v="24.6131087114819"/>
        <n v="23.6045812743202"/>
        <n v="27.770969777984899"/>
        <n v="23.015495351203999"/>
        <n v="26.451352757314599"/>
        <n v="20.1177348788305"/>
        <n v="34.670090142747398"/>
        <n v="33.2878981109112"/>
        <n v="28.3382664913395"/>
        <n v="30.210661899216799"/>
        <n v="27.050394581011499"/>
        <n v="33.692719018995199"/>
        <n v="27.4191191439172"/>
        <n v="33.508323953330503"/>
        <n v="26.060379286661501"/>
        <n v="34.092782055100102"/>
        <n v="26.1844720315137"/>
        <n v="21.2104624160228"/>
        <n v="33.7415680319668"/>
        <n v="28.895308230210599"/>
        <n v="32.8056915140249"/>
        <n v="29.456201763115399"/>
        <n v="21.954248589837601"/>
        <n v="25.141684865587301"/>
        <n v="32.155569312261001"/>
        <n v="34.469765338197298"/>
        <n v="23.775394014107501"/>
        <n v="28.408823675405799"/>
        <n v="27.245863597004199"/>
        <n v="30.702793593835899"/>
        <n v="25.270011410898899"/>
        <n v="27.4938763121881"/>
        <n v="25.349268418106298"/>
        <n v="28.715503100770398"/>
        <n v="18.9593773458326"/>
        <n v="28.870314351378799"/>
        <n v="27.694655249753701"/>
        <n v="30.7534938297478"/>
        <n v="23.116154359636099"/>
        <n v="23.012329503687099"/>
        <n v="19.742098824752599"/>
        <n v="22.748407072125701"/>
        <n v="32.421525079719203"/>
        <n v="29.764074015635501"/>
        <n v="27.8967047655565"/>
        <n v="29.830197093448099"/>
        <n v="19.958549957921502"/>
        <n v="19.954347015947999"/>
        <n v="27.324191193639599"/>
        <n v="30.877653743750901"/>
        <n v="23.085203578797898"/>
        <n v="32.639677142844903"/>
        <n v="21.857933287476101"/>
        <n v="32.9104584443837"/>
        <n v="24.386713090762601"/>
        <n v="28.340494394925599"/>
        <n v="23.929717361102"/>
        <n v="23.690695951332"/>
        <n v="30.724572910912698"/>
        <n v="19.2883925172431"/>
        <n v="21.1300155987281"/>
        <n v="24.311811088667199"/>
        <n v="21.7860888103516"/>
        <n v="23.814114330729499"/>
        <n v="26.834406669776101"/>
        <n v="34.808114350905903"/>
        <n v="18.947259763547802"/>
        <n v="28.453549474286401"/>
        <n v="21.088893298410898"/>
        <n v="22.9267388070582"/>
        <n v="29.3332845895942"/>
        <n v="25.1857528524929"/>
        <n v="25.893410540170699"/>
        <n v="28.2482748030456"/>
        <n v="34.031102326962099"/>
        <n v="30.055740166298399"/>
        <n v="27.489607148611601"/>
        <n v="33.046983261394203"/>
        <n v="25.1372968257784"/>
        <n v="30.731593687787498"/>
        <n v="27.775388438155101"/>
        <n v="28.1632965345751"/>
        <n v="20.393242312580099"/>
        <n v="27.4674930716197"/>
        <n v="20.581271357266498"/>
        <n v="27.237304647870499"/>
        <n v="30.4268468643535"/>
        <n v="19.036028845387701"/>
        <n v="27.396697603100598"/>
        <n v="33.722961992050301"/>
        <n v="25.458258189177599"/>
        <n v="29.412154202587899"/>
        <n v="34.535447471870498"/>
        <n v="26.8242982469047"/>
        <n v="34.485442394533699"/>
        <n v="23.728918272390299"/>
        <n v="34.948013190643699"/>
        <n v="33.459779399707898"/>
        <n v="21.655495129756002"/>
        <n v="34.989279957791297"/>
        <n v="32.044008652841597"/>
        <n v="28.654577098043202"/>
        <n v="34.2122912929783"/>
        <n v="19.177859021766601"/>
        <n v="22.8762706212941"/>
        <n v="23.999447687863601"/>
        <n v="34.155043211916599"/>
        <n v="19.413436979483699"/>
        <n v="31.422140478960301"/>
        <n v="31.4153036251478"/>
        <n v="19.6966182297489"/>
        <n v="27.378996665656899"/>
        <n v="25.3254811391229"/>
        <n v="24.5437253724076"/>
        <n v="34.041442189796904"/>
        <n v="26.083940446881499"/>
        <n v="22.429059913690899"/>
        <n v="20.368516952057"/>
        <n v="33.911544353655501"/>
        <n v="34.366588797198297"/>
        <n v="20.4990651108062"/>
        <n v="23.895611680185599"/>
        <n v="23.807825083571601"/>
        <n v="29.184076626907601"/>
        <n v="28.653239370371399"/>
        <n v="20.431562814200699"/>
        <n v="28.355654242456701"/>
        <n v="30.720949087599301"/>
        <n v="27.2149324034797"/>
        <n v="28.2761424064106"/>
        <n v="26.897824166963701"/>
        <n v="24.025491787260201"/>
        <n v="28.587137328087401"/>
        <n v="26.461135498706401"/>
        <n v="26.209806434123699"/>
        <n v="18.665775187404702"/>
        <n v="21.7148681123135"/>
        <n v="26.606952126550102"/>
        <n v="21.605831296189201"/>
        <n v="19.440539394606901"/>
        <n v="20.265980714482101"/>
        <n v="32.933270219333302"/>
        <n v="34.183308766220698"/>
        <n v="24.829549165860101"/>
        <n v="24.034212422689698"/>
        <n v="25.502138429884901"/>
        <n v="27.801662173849"/>
        <n v="32.847429286177103"/>
        <n v="28.462580495220902"/>
        <n v="34.439354075648403"/>
        <n v="20.6554672956964"/>
        <n v="31.377773783272499"/>
        <n v="21.8193913327665"/>
        <n v="24.9949860845777"/>
        <n v="26.789135029539501"/>
        <n v="26.831038945627299"/>
        <n v="19.821046141727901"/>
        <n v="18.664492373119501"/>
        <n v="19.898641548034401"/>
        <n v="31.229310190183501"/>
        <n v="32.599504692527297"/>
        <n v="31.301974698749898"/>
        <n v="34.9281454151267"/>
        <n v="28.781774586839099"/>
        <n v="19.363492145460899"/>
        <n v="32.4509283788692"/>
        <n v="22.342880337716402"/>
        <n v="18.862699944358699"/>
        <n v="20.106716030282001"/>
        <n v="32.420728739472104"/>
        <n v="32.447944598863899"/>
        <n v="34.682559377415998"/>
        <n v="21.994669473044699"/>
        <n v="19.5494237002336"/>
        <n v="33.782184275841303"/>
        <n v="31.731580221796001"/>
        <n v="25.1501395054676"/>
        <n v="25.6840393360959"/>
        <n v="30.505913772044799"/>
        <n v="24.2255385343013"/>
        <n v="31.576906165752"/>
        <n v="20.1430652734104"/>
        <n v="21.583970391426899"/>
        <n v="18.909483988844901"/>
        <n v="32.386655086003898"/>
        <n v="18.650119991132801"/>
        <n v="19.744300903881001"/>
        <n v="22.743013793300001"/>
        <n v="29.543704369997698"/>
        <n v="27.4432524249154"/>
        <n v="22.355892405618398"/>
        <n v="26.089042196350299"/>
        <n v="22.931882393090799"/>
        <n v="23.469397185456401"/>
        <n v="27.725754831638898"/>
        <n v="26.795926790470201"/>
        <n v="29.146421135129899"/>
        <n v="29.614562227945399"/>
        <n v="26.811370670734199"/>
        <n v="24.012726759428201"/>
        <n v="26.720123436370599"/>
        <n v="31.417002196779801"/>
        <n v="22.4625013343632"/>
        <n v="19.5436812468282"/>
        <n v="29.953172290607899"/>
        <n v="27.9080890606967"/>
        <n v="23.838156126661101"/>
        <n v="21.5329126764499"/>
        <n v="33.337607151771799"/>
        <n v="30.000714729915298"/>
        <n v="27.7419137196542"/>
        <n v="23.517561493526099"/>
        <n v="25.434118429824402"/>
        <n v="27.774829563283198"/>
        <n v="20.2268972657169"/>
        <n v="27.3650486155226"/>
        <n v="33.040758118089599"/>
        <n v="31.640446923225198"/>
        <n v="30.644584107029999"/>
        <n v="30.339762813700801"/>
        <n v="33.225740050208103"/>
        <n v="26.483974865310199"/>
        <n v="30.162259337473301"/>
        <n v="33.680629707799298"/>
        <n v="30.1041208916971"/>
        <n v="25.811601197828001"/>
        <n v="22.966279470978499"/>
        <n v="22.9362154921536"/>
        <n v="27.887203196437799"/>
        <n v="22.993204053487801"/>
        <n v="28.404148266643102"/>
        <n v="30.064284004524001"/>
        <n v="21.0037580637253"/>
        <n v="28.0459400003582"/>
        <n v="29.196909200430198"/>
        <n v="33.048197999036603"/>
        <n v="19.929226054102401"/>
        <n v="26.2665664916025"/>
        <n v="21.652525299214901"/>
        <n v="23.477426986913901"/>
        <n v="20.580817337697301"/>
        <n v="24.8363147204218"/>
        <n v="23.511628262714101"/>
        <n v="20.438780363504101"/>
        <n v="32.234452188081399"/>
        <n v="33.6924814424031"/>
        <n v="27.134223113454102"/>
        <n v="26.1549483470057"/>
        <n v="28.920482248156599"/>
        <n v="27.524105977586501"/>
        <n v="20.426340395685099"/>
        <n v="33.040636247751102"/>
        <n v="20.629574559679501"/>
        <n v="33.953408598168799"/>
        <n v="23.5878100076572"/>
        <n v="22.0920466811443"/>
        <n v="32.640978967454501"/>
        <n v="30.657110383718202"/>
        <n v="27.583997460229899"/>
        <n v="22.588905307963898"/>
        <n v="19.099622347217998"/>
        <n v="22.311158623712998"/>
        <n v="20.180479874849301"/>
        <n v="25.5472332484456"/>
        <n v="32.425892287043403"/>
        <n v="29.664184353616299"/>
        <n v="32.136666056621003"/>
        <n v="23.414680073438401"/>
        <n v="31.071183257228402"/>
        <n v="27.369412370065699"/>
        <n v="22.342505911504901"/>
        <n v="30.520149908482701"/>
        <n v="21.7945506776706"/>
        <n v="24.625970188338901"/>
        <n v="26.778036239106001"/>
        <n v="20.368315183775501"/>
        <n v="32.002950583020997"/>
        <n v="21.332690218212999"/>
        <n v="30.9892929445957"/>
        <n v="29.932494056994699"/>
        <n v="27.6718684342828"/>
        <n v="25.298292692702301"/>
        <n v="24.076979886970001"/>
        <n v="25.392191355054099"/>
        <n v="28.191602831497001"/>
        <n v="31.144796129196902"/>
        <n v="19.909140990799401"/>
        <n v="20.883201988558699"/>
        <n v="29.414192387840199"/>
        <n v="25.921765846623"/>
        <n v="30.979874903269899"/>
        <n v="33.886315226106802"/>
        <n v="33.326849024387997"/>
        <n v="32.9724877164277"/>
        <n v="29.814260685607199"/>
        <n v="32.673179027516603"/>
        <n v="30.251633385423101"/>
        <n v="32.772417107428303"/>
        <n v="23.790228458078701"/>
        <n v="19.666494035042"/>
        <n v="22.556006685872401"/>
        <n v="22.644668075973701"/>
        <n v="27.853164149352502"/>
        <n v="23.386916631723398"/>
        <n v="31.600258897807201"/>
        <n v="20.2625463839058"/>
        <n v="25.790586183502501"/>
        <n v="19.991913133562399"/>
        <n v="24.220859560392501"/>
        <n v="33.901316595887003"/>
        <n v="27.000671731280502"/>
        <n v="27.619614185751399"/>
        <n v="32.094290296806903"/>
        <n v="33.242914527989697"/>
        <n v="30.9870221778895"/>
        <n v="33.463298526107202"/>
        <n v="20.650246803506299"/>
        <n v="24.202846111096601"/>
        <n v="20.673207330904798"/>
        <n v="26.180535045254999"/>
        <n v="28.957424198330202"/>
        <n v="27.662381117914901"/>
        <n v="33.847725847231999"/>
        <n v="27.205063770018199"/>
        <n v="32.773673139693997"/>
        <n v="20.580902819194201"/>
        <n v="22.347594647956601"/>
        <n v="21.242052493560799"/>
        <n v="32.7626492887075"/>
        <n v="18.766056665141502"/>
        <n v="23.0391315457255"/>
        <n v="24.648842643253399"/>
        <n v="24.3032119963203"/>
        <n v="18.779061198706501"/>
        <n v="20.7398065761483"/>
        <n v="34.436305035325098"/>
        <n v="26.0827891288411"/>
        <n v="27.404419516901999"/>
        <n v="21.3706270921097"/>
        <n v="19.844319312263501"/>
        <n v="19.700148319323699"/>
        <n v="19.705904001931401"/>
        <n v="33.5997905366807"/>
        <n v="22.630919037919099"/>
        <n v="33.156491242439799"/>
        <n v="31.242414687818801"/>
        <n v="32.720423084364697"/>
        <n v="25.2302549068731"/>
        <n v="31.537167666480698"/>
        <n v="29.420695151547498"/>
        <n v="24.3662416530081"/>
        <n v="31.846165894053801"/>
        <n v="21.8670624110189"/>
        <n v="24.765667179557202"/>
        <n v="24.752772511906301"/>
        <n v="33.843709091903399"/>
        <n v="33.404014766941998"/>
        <n v="28.413070464103701"/>
        <n v="32.091783621552899"/>
        <n v="19.9741083878158"/>
        <n v="31.8646492707772"/>
        <n v="25.7233943754437"/>
        <n v="28.559751486550301"/>
        <n v="23.304741507444199"/>
        <n v="19.051488945185799"/>
        <n v="19.746196919427099"/>
        <n v="20.881148720843399"/>
        <n v="19.9792618153887"/>
        <n v="24.066424792895099"/>
        <n v="21.215339964083999"/>
        <n v="22.189442047340499"/>
        <n v="21.882157341627501"/>
        <n v="33.902009236622497"/>
        <n v="31.75231344194"/>
        <n v="21.156243122841602"/>
        <n v="34.478915653256699"/>
        <n v="27.792212409490201"/>
        <n v="26.949461515527901"/>
        <n v="32.378086815165602"/>
        <n v="33.756867058106998"/>
        <n v="34.072272985689402"/>
        <n v="30.042209861642402"/>
        <n v="33.984386066771698"/>
        <n v="20.727145020182"/>
        <n v="21.007673010821801"/>
        <n v="24.828861951620301"/>
        <n v="21.3229184531431"/>
        <n v="26.372311991949701"/>
        <n v="28.982835220687299"/>
        <n v="27.812873698365799"/>
        <n v="20.466972306869401"/>
        <n v="34.910310235294602"/>
        <n v="20.650826645713799"/>
        <n v="29.706333042376802"/>
        <n v="23.5210752650442"/>
        <n v="19.926548867482499"/>
        <n v="18.5235676608064"/>
        <n v="20.879960348448702"/>
        <n v="21.199667368281499"/>
        <n v="29.437186495971901"/>
        <n v="23.144375490440101"/>
        <n v="32.308246466738701"/>
        <n v="34.986920432566698"/>
        <n v="27.110209442535599"/>
        <n v="24.3772000671127"/>
        <n v="23.232969653178799"/>
        <n v="21.135866093859999"/>
        <n v="33.288235821781001"/>
        <n v="21.207049206377999"/>
        <n v="22.0933832291648"/>
        <n v="23.205578834165699"/>
        <n v="31.581860747013199"/>
        <n v="28.656618282687401"/>
        <n v="33.4449870455013"/>
        <n v="34.5889383001767"/>
        <n v="22.3327792925914"/>
        <n v="34.6141910156976"/>
        <n v="23.916208973075999"/>
        <n v="21.679160542030498"/>
        <n v="24.159940757735399"/>
        <n v="34.585920501368797"/>
        <n v="20.2525281552095"/>
        <n v="23.3288091115122"/>
        <n v="33.824596449890599"/>
        <n v="18.829553387537398"/>
        <n v="32.855411271082701"/>
        <n v="25.592215748964499"/>
        <n v="19.080127629474699"/>
        <n v="25.981367805300401"/>
        <n v="19.4032922072833"/>
        <n v="30.5324641101098"/>
        <n v="32.933326712567997"/>
        <n v="33.9888684826347"/>
        <n v="31.784040717192099"/>
        <n v="32.534573255558797"/>
        <n v="32.127155736042397"/>
        <n v="31.845190834268902"/>
        <n v="25.074899574802"/>
        <n v="19.486077523943301"/>
        <n v="30.280306139768701"/>
        <n v="23.729064728005898"/>
        <n v="26.211891034890701"/>
        <n v="23.2120636679375"/>
        <n v="23.661936362093499"/>
        <n v="23.7062974809417"/>
        <n v="19.442134794345399"/>
        <n v="26.2452128928227"/>
        <n v="26.1617791230553"/>
        <n v="25.816745196794699"/>
        <n v="29.0428898625591"/>
        <n v="31.694915723046002"/>
        <n v="24.440988381856901"/>
        <n v="23.708529939207001"/>
        <n v="30.701331789087799"/>
        <n v="30.984668064314501"/>
        <n v="33.518236048387401"/>
        <n v="24.692802205254701"/>
        <n v="26.3729152038193"/>
        <n v="29.797965204036501"/>
        <n v="20.659538786134"/>
        <n v="19.3226924155862"/>
        <n v="22.386837920809199"/>
        <n v="32.579199176358799"/>
        <n v="26.456716300565802"/>
        <n v="27.0853398321578"/>
        <n v="34.591534832185303"/>
        <n v="20.375159638495798"/>
        <n v="22.051939255466198"/>
        <n v="22.9457508640103"/>
        <n v="31.883225344037701"/>
        <n v="28.105389246443199"/>
        <n v="31.281768226584699"/>
        <n v="22.023368385085199"/>
        <n v="19.6640760512132"/>
        <n v="22.159361616903499"/>
        <n v="29.655535063715501"/>
        <n v="25.1825181266945"/>
        <n v="19.9686606257841"/>
        <n v="27.735786912005601"/>
        <n v="33.4178753979118"/>
        <n v="21.0827320213597"/>
        <n v="21.254677954068701"/>
        <n v="19.909239966336301"/>
        <n v="24.224822681230101"/>
        <n v="21.6947928616251"/>
        <n v="25.677740806613599"/>
        <n v="21.5787365984072"/>
        <n v="31.023117725591501"/>
        <n v="25.906047533258"/>
        <n v="28.383682229523799"/>
        <n v="22.432563975361901"/>
        <n v="33.869591384162199"/>
        <n v="32.566953640445703"/>
        <n v="29.229208673045399"/>
        <n v="33.488766769931303"/>
        <n v="34.693453511213399"/>
        <n v="31.391295682193899"/>
        <n v="24.083069787766"/>
        <n v="30.403911092307901"/>
        <n v="33.508180468387302"/>
        <n v="18.926343041630101"/>
        <n v="27.283943875211602"/>
        <n v="24.981844761943101"/>
        <n v="19.868090593008901"/>
        <n v="28.730022002377201"/>
        <n v="32.622765628256403"/>
        <n v="18.7644645815095"/>
        <n v="25.672189447221701"/>
        <n v="21.6532427744038"/>
        <n v="31.1846089818991"/>
        <n v="21.897140627648799"/>
        <n v="33.873568508438098"/>
        <n v="22.202319166696601"/>
        <n v="20.965089909487201"/>
        <n v="26.9147538086727"/>
        <n v="26.099612086461999"/>
        <n v="33.362542680437002"/>
        <n v="31.9649364923863"/>
        <n v="21.9898613631491"/>
        <n v="25.9436461516643"/>
        <n v="33.8450887335527"/>
        <n v="26.613676059813301"/>
        <n v="24.316732481458502"/>
        <n v="23.7672174134721"/>
        <n v="31.810678827793499"/>
        <n v="25.459274991946"/>
        <n v="22.2903186807733"/>
        <n v="24.5611185020751"/>
        <n v="33.161888127212997"/>
        <n v="27.1570930603127"/>
        <n v="21.442469955065501"/>
        <n v="30.816460126142299"/>
        <n v="22.329296534791698"/>
        <n v="23.505510656533801"/>
        <n v="18.515566351915901"/>
        <n v="21.7929316622829"/>
        <n v="19.3716403250179"/>
        <n v="19.123444358828699"/>
        <n v="18.8466510902749"/>
        <n v="29.115600463650999"/>
        <n v="22.831419792972198"/>
        <n v="25.442153282382101"/>
        <n v="34.4506513103046"/>
        <n v="23.103636790738602"/>
        <n v="25.365166061743299"/>
        <n v="34.6115327356842"/>
        <n v="34.634585942779303"/>
        <n v="23.315808421100499"/>
        <n v="21.350495751637901"/>
        <n v="32.268561172125501"/>
        <n v="23.4404815592512"/>
        <n v="23.141195298625"/>
        <n v="24.759532370369001"/>
        <n v="27.477792295001201"/>
        <n v="24.6430671264552"/>
        <n v="21.084111445728698"/>
        <n v="24.5153460540777"/>
        <n v="28.023580157684599"/>
        <n v="33.528764745330903"/>
        <n v="33.917778110424997"/>
        <n v="19.299659835850999"/>
        <n v="25.194287998985601"/>
        <n v="19.152698858283099"/>
        <n v="30.4702247794276"/>
        <n v="23.4956655256875"/>
        <n v="20.126023048313499"/>
        <n v="29.211040419709398"/>
        <n v="30.018164015656101"/>
        <n v="22.241517187108499"/>
        <n v="19.522117556553301"/>
        <n v="29.029308391518398"/>
        <n v="24.164045569563299"/>
        <n v="34.400805613336303"/>
        <n v="25.547355365919"/>
        <n v="34.135790365590999"/>
        <n v="23.734776376888298"/>
        <n v="25.181981691707101"/>
        <n v="31.144017173461801"/>
        <n v="31.8974677494482"/>
        <n v="33.856092216779501"/>
        <n v="29.6046347437631"/>
        <n v="19.2749129697265"/>
        <n v="29.6572298148828"/>
        <n v="27.844327522747701"/>
        <n v="22.4018360519384"/>
        <n v="31.094366047955099"/>
        <n v="21.1344947645579"/>
        <n v="32.1213248850868"/>
        <n v="20.752299699379101"/>
        <n v="29.196239742284"/>
        <n v="22.2730673978459"/>
        <n v="33.061169233624199"/>
        <n v="18.8320084105757"/>
        <n v="25.871740620853501"/>
        <n v="27.504869716360599"/>
        <n v="18.621404188819302"/>
        <n v="30.4981863607122"/>
        <n v="32.281526992621203"/>
        <n v="32.597591969873697"/>
        <n v="18.6170927861656"/>
        <n v="32.020070810947097"/>
        <n v="19.964758904777799"/>
        <n v="26.079209167851499"/>
        <n v="25.534251850846498"/>
        <n v="28.861319133157899"/>
      </sharedItems>
      <fieldGroup base="5">
        <rangePr autoStart="0" autoEnd="0" startNum="18.5" endNum="40" groupInterval="3"/>
        <groupItems count="10">
          <s v="&lt;18.5"/>
          <s v="18.5-21.5"/>
          <s v="21.5-24.5"/>
          <s v="24.5-27.5"/>
          <s v="27.5-30.5"/>
          <s v="30.5-33.5"/>
          <s v="33.5-36.5"/>
          <s v="36.5-39.5"/>
          <s v="39.5-42.5"/>
          <s v="&gt;42.5"/>
        </groupItems>
      </fieldGroup>
    </cacheField>
    <cacheField name="BMI category" numFmtId="164">
      <sharedItems count="3">
        <s v="Normal Weight"/>
        <s v="Overweight"/>
        <s v="Obese"/>
      </sharedItems>
    </cacheField>
    <cacheField name="Blood_Pressure" numFmtId="0">
      <sharedItems/>
    </cacheField>
    <cacheField name="Cholesterol_Level" numFmtId="0">
      <sharedItems count="3">
        <s v="High"/>
        <s v="Very High"/>
        <s v="Normal"/>
      </sharedItems>
    </cacheField>
    <cacheField name="Smoker" numFmtId="0">
      <sharedItems count="2">
        <s v="Yes"/>
        <s v="No"/>
      </sharedItems>
    </cacheField>
    <cacheField name="Physical_Activity" numFmtId="0">
      <sharedItems count="5">
        <s v="Medium"/>
        <s v="High"/>
        <s v="Low"/>
        <s v="Yes" u="1"/>
        <s v="No" u="1"/>
      </sharedItems>
    </cacheField>
    <cacheField name="Medical_History" numFmtId="0">
      <sharedItems count="4">
        <s v="Diabetes"/>
        <s v="Hypertension"/>
        <s v="Heart Disease"/>
        <s v="None"/>
      </sharedItems>
    </cacheField>
    <cacheField name="Family_History" numFmtId="0">
      <sharedItems count="2">
        <s v="No"/>
        <s v="Yes"/>
      </sharedItems>
    </cacheField>
    <cacheField name="Diet_Type" numFmtId="0">
      <sharedItems count="2">
        <s v="Non-Vegetarian"/>
        <s v="Vegetarian"/>
      </sharedItems>
    </cacheField>
    <cacheField name="Heart_Disease" numFmtId="0">
      <sharedItems count="2">
        <s v="No"/>
        <s v="Yes"/>
      </sharedItems>
    </cacheField>
    <cacheField name="Diabetes" numFmtId="0">
      <sharedItems count="2">
        <s v="Yes"/>
        <s v="No"/>
      </sharedItems>
    </cacheField>
    <cacheField name="Risk_Level" numFmtId="0">
      <sharedItems count="3">
        <s v="Low"/>
        <s v="High"/>
        <s v="Medium"/>
      </sharedItems>
    </cacheField>
  </cacheFields>
  <extLst>
    <ext xmlns:x14="http://schemas.microsoft.com/office/spreadsheetml/2009/9/main" uri="{725AE2AE-9491-48be-B2B4-4EB974FC3084}">
      <x14:pivotCacheDefinition pivotCacheId="825510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n v="56"/>
    <x v="0"/>
    <n v="161"/>
    <n v="79"/>
    <x v="0"/>
    <x v="0"/>
    <s v="125/102"/>
    <x v="0"/>
    <x v="0"/>
    <x v="0"/>
    <x v="0"/>
    <x v="0"/>
    <x v="0"/>
    <x v="0"/>
    <x v="0"/>
    <x v="0"/>
  </r>
  <r>
    <n v="2"/>
    <n v="69"/>
    <x v="0"/>
    <n v="182"/>
    <n v="82"/>
    <x v="1"/>
    <x v="1"/>
    <s v="139/81"/>
    <x v="1"/>
    <x v="0"/>
    <x v="1"/>
    <x v="0"/>
    <x v="0"/>
    <x v="1"/>
    <x v="1"/>
    <x v="1"/>
    <x v="1"/>
  </r>
  <r>
    <n v="47"/>
    <n v="79"/>
    <x v="1"/>
    <n v="171"/>
    <n v="84"/>
    <x v="2"/>
    <x v="2"/>
    <s v="142/93"/>
    <x v="1"/>
    <x v="1"/>
    <x v="2"/>
    <x v="1"/>
    <x v="1"/>
    <x v="0"/>
    <x v="1"/>
    <x v="1"/>
    <x v="0"/>
  </r>
  <r>
    <n v="3"/>
    <n v="46"/>
    <x v="0"/>
    <n v="153"/>
    <n v="58"/>
    <x v="3"/>
    <x v="0"/>
    <s v="124/87"/>
    <x v="1"/>
    <x v="1"/>
    <x v="1"/>
    <x v="0"/>
    <x v="0"/>
    <x v="1"/>
    <x v="1"/>
    <x v="1"/>
    <x v="0"/>
  </r>
  <r>
    <n v="90"/>
    <n v="79"/>
    <x v="1"/>
    <n v="187"/>
    <n v="73"/>
    <x v="4"/>
    <x v="1"/>
    <s v="124/79"/>
    <x v="0"/>
    <x v="1"/>
    <x v="2"/>
    <x v="0"/>
    <x v="1"/>
    <x v="1"/>
    <x v="0"/>
    <x v="0"/>
    <x v="0"/>
  </r>
  <r>
    <n v="102"/>
    <n v="79"/>
    <x v="0"/>
    <n v="181"/>
    <n v="73"/>
    <x v="5"/>
    <x v="0"/>
    <s v="150/79"/>
    <x v="2"/>
    <x v="1"/>
    <x v="2"/>
    <x v="2"/>
    <x v="0"/>
    <x v="0"/>
    <x v="1"/>
    <x v="1"/>
    <x v="0"/>
  </r>
  <r>
    <n v="4"/>
    <n v="32"/>
    <x v="1"/>
    <n v="156"/>
    <n v="96"/>
    <x v="6"/>
    <x v="2"/>
    <s v="137/92"/>
    <x v="0"/>
    <x v="0"/>
    <x v="1"/>
    <x v="2"/>
    <x v="0"/>
    <x v="1"/>
    <x v="0"/>
    <x v="0"/>
    <x v="0"/>
  </r>
  <r>
    <n v="164"/>
    <n v="79"/>
    <x v="1"/>
    <n v="182"/>
    <n v="92"/>
    <x v="7"/>
    <x v="0"/>
    <s v="124/77"/>
    <x v="2"/>
    <x v="0"/>
    <x v="2"/>
    <x v="2"/>
    <x v="0"/>
    <x v="1"/>
    <x v="0"/>
    <x v="1"/>
    <x v="2"/>
  </r>
  <r>
    <n v="5"/>
    <n v="60"/>
    <x v="1"/>
    <n v="171"/>
    <n v="50"/>
    <x v="8"/>
    <x v="1"/>
    <s v="123/99"/>
    <x v="2"/>
    <x v="1"/>
    <x v="1"/>
    <x v="1"/>
    <x v="1"/>
    <x v="1"/>
    <x v="1"/>
    <x v="1"/>
    <x v="0"/>
  </r>
  <r>
    <n v="7"/>
    <n v="78"/>
    <x v="0"/>
    <n v="166"/>
    <n v="84"/>
    <x v="9"/>
    <x v="0"/>
    <s v="116/84"/>
    <x v="0"/>
    <x v="0"/>
    <x v="0"/>
    <x v="0"/>
    <x v="1"/>
    <x v="1"/>
    <x v="0"/>
    <x v="1"/>
    <x v="0"/>
  </r>
  <r>
    <n v="237"/>
    <n v="79"/>
    <x v="0"/>
    <n v="174"/>
    <n v="66"/>
    <x v="10"/>
    <x v="2"/>
    <s v="152/98"/>
    <x v="1"/>
    <x v="1"/>
    <x v="2"/>
    <x v="1"/>
    <x v="1"/>
    <x v="0"/>
    <x v="1"/>
    <x v="1"/>
    <x v="2"/>
  </r>
  <r>
    <n v="242"/>
    <n v="79"/>
    <x v="1"/>
    <n v="179"/>
    <n v="87"/>
    <x v="11"/>
    <x v="0"/>
    <s v="129/72"/>
    <x v="2"/>
    <x v="1"/>
    <x v="2"/>
    <x v="0"/>
    <x v="0"/>
    <x v="0"/>
    <x v="0"/>
    <x v="0"/>
    <x v="0"/>
  </r>
  <r>
    <n v="9"/>
    <n v="56"/>
    <x v="0"/>
    <n v="183"/>
    <n v="83"/>
    <x v="12"/>
    <x v="1"/>
    <s v="155/80"/>
    <x v="2"/>
    <x v="1"/>
    <x v="1"/>
    <x v="1"/>
    <x v="1"/>
    <x v="1"/>
    <x v="1"/>
    <x v="0"/>
    <x v="0"/>
  </r>
  <r>
    <n v="11"/>
    <n v="36"/>
    <x v="1"/>
    <n v="188"/>
    <n v="58"/>
    <x v="13"/>
    <x v="2"/>
    <s v="134/93"/>
    <x v="0"/>
    <x v="1"/>
    <x v="1"/>
    <x v="2"/>
    <x v="0"/>
    <x v="0"/>
    <x v="0"/>
    <x v="1"/>
    <x v="2"/>
  </r>
  <r>
    <n v="12"/>
    <n v="40"/>
    <x v="0"/>
    <n v="171"/>
    <n v="81"/>
    <x v="14"/>
    <x v="2"/>
    <s v="128/71"/>
    <x v="2"/>
    <x v="0"/>
    <x v="1"/>
    <x v="1"/>
    <x v="1"/>
    <x v="1"/>
    <x v="0"/>
    <x v="1"/>
    <x v="2"/>
  </r>
  <r>
    <n v="13"/>
    <n v="28"/>
    <x v="1"/>
    <n v="166"/>
    <n v="64"/>
    <x v="15"/>
    <x v="2"/>
    <s v="131/89"/>
    <x v="2"/>
    <x v="1"/>
    <x v="1"/>
    <x v="0"/>
    <x v="0"/>
    <x v="1"/>
    <x v="1"/>
    <x v="0"/>
    <x v="2"/>
  </r>
  <r>
    <n v="369"/>
    <n v="79"/>
    <x v="0"/>
    <n v="186"/>
    <n v="89"/>
    <x v="16"/>
    <x v="0"/>
    <s v="116/93"/>
    <x v="0"/>
    <x v="0"/>
    <x v="2"/>
    <x v="2"/>
    <x v="1"/>
    <x v="0"/>
    <x v="1"/>
    <x v="1"/>
    <x v="1"/>
  </r>
  <r>
    <n v="16"/>
    <n v="70"/>
    <x v="0"/>
    <n v="155"/>
    <n v="94"/>
    <x v="17"/>
    <x v="2"/>
    <s v="143/92"/>
    <x v="2"/>
    <x v="1"/>
    <x v="0"/>
    <x v="3"/>
    <x v="0"/>
    <x v="1"/>
    <x v="1"/>
    <x v="0"/>
    <x v="1"/>
  </r>
  <r>
    <n v="400"/>
    <n v="79"/>
    <x v="0"/>
    <n v="189"/>
    <n v="91"/>
    <x v="18"/>
    <x v="1"/>
    <s v="141/90"/>
    <x v="0"/>
    <x v="1"/>
    <x v="2"/>
    <x v="1"/>
    <x v="0"/>
    <x v="1"/>
    <x v="0"/>
    <x v="0"/>
    <x v="1"/>
  </r>
  <r>
    <n v="17"/>
    <n v="53"/>
    <x v="0"/>
    <n v="183"/>
    <n v="63"/>
    <x v="19"/>
    <x v="1"/>
    <s v="114/94"/>
    <x v="0"/>
    <x v="0"/>
    <x v="1"/>
    <x v="2"/>
    <x v="1"/>
    <x v="1"/>
    <x v="0"/>
    <x v="1"/>
    <x v="0"/>
  </r>
  <r>
    <n v="601"/>
    <n v="79"/>
    <x v="0"/>
    <n v="152"/>
    <n v="99"/>
    <x v="20"/>
    <x v="0"/>
    <s v="148/101"/>
    <x v="1"/>
    <x v="1"/>
    <x v="2"/>
    <x v="1"/>
    <x v="1"/>
    <x v="1"/>
    <x v="1"/>
    <x v="1"/>
    <x v="2"/>
  </r>
  <r>
    <n v="18"/>
    <n v="57"/>
    <x v="1"/>
    <n v="150"/>
    <n v="57"/>
    <x v="21"/>
    <x v="2"/>
    <s v="117/85"/>
    <x v="0"/>
    <x v="0"/>
    <x v="1"/>
    <x v="2"/>
    <x v="0"/>
    <x v="1"/>
    <x v="1"/>
    <x v="1"/>
    <x v="1"/>
  </r>
  <r>
    <n v="20"/>
    <n v="20"/>
    <x v="1"/>
    <n v="170"/>
    <n v="76"/>
    <x v="22"/>
    <x v="1"/>
    <s v="110/91"/>
    <x v="1"/>
    <x v="0"/>
    <x v="1"/>
    <x v="1"/>
    <x v="0"/>
    <x v="1"/>
    <x v="1"/>
    <x v="1"/>
    <x v="2"/>
  </r>
  <r>
    <n v="656"/>
    <n v="79"/>
    <x v="0"/>
    <n v="178"/>
    <n v="99"/>
    <x v="23"/>
    <x v="1"/>
    <s v="138/93"/>
    <x v="1"/>
    <x v="1"/>
    <x v="2"/>
    <x v="2"/>
    <x v="0"/>
    <x v="1"/>
    <x v="1"/>
    <x v="1"/>
    <x v="1"/>
  </r>
  <r>
    <n v="725"/>
    <n v="79"/>
    <x v="0"/>
    <n v="155"/>
    <n v="94"/>
    <x v="24"/>
    <x v="0"/>
    <s v="134/99"/>
    <x v="0"/>
    <x v="0"/>
    <x v="2"/>
    <x v="0"/>
    <x v="1"/>
    <x v="1"/>
    <x v="0"/>
    <x v="0"/>
    <x v="1"/>
  </r>
  <r>
    <n v="759"/>
    <n v="79"/>
    <x v="0"/>
    <n v="184"/>
    <n v="92"/>
    <x v="25"/>
    <x v="1"/>
    <s v="146/100"/>
    <x v="1"/>
    <x v="0"/>
    <x v="2"/>
    <x v="1"/>
    <x v="1"/>
    <x v="1"/>
    <x v="0"/>
    <x v="1"/>
    <x v="1"/>
  </r>
  <r>
    <n v="22"/>
    <n v="70"/>
    <x v="1"/>
    <n v="151"/>
    <n v="50"/>
    <x v="26"/>
    <x v="0"/>
    <s v="123/105"/>
    <x v="2"/>
    <x v="0"/>
    <x v="0"/>
    <x v="1"/>
    <x v="1"/>
    <x v="0"/>
    <x v="0"/>
    <x v="1"/>
    <x v="1"/>
  </r>
  <r>
    <n v="876"/>
    <n v="79"/>
    <x v="1"/>
    <n v="160"/>
    <n v="84"/>
    <x v="27"/>
    <x v="1"/>
    <s v="135/104"/>
    <x v="1"/>
    <x v="1"/>
    <x v="2"/>
    <x v="2"/>
    <x v="0"/>
    <x v="1"/>
    <x v="0"/>
    <x v="0"/>
    <x v="1"/>
  </r>
  <r>
    <n v="26"/>
    <n v="47"/>
    <x v="0"/>
    <n v="183"/>
    <n v="60"/>
    <x v="28"/>
    <x v="0"/>
    <s v="156/70"/>
    <x v="2"/>
    <x v="0"/>
    <x v="1"/>
    <x v="0"/>
    <x v="1"/>
    <x v="1"/>
    <x v="1"/>
    <x v="0"/>
    <x v="0"/>
  </r>
  <r>
    <n v="28"/>
    <n v="19"/>
    <x v="1"/>
    <n v="188"/>
    <n v="92"/>
    <x v="29"/>
    <x v="2"/>
    <s v="120/74"/>
    <x v="1"/>
    <x v="1"/>
    <x v="1"/>
    <x v="1"/>
    <x v="1"/>
    <x v="0"/>
    <x v="1"/>
    <x v="0"/>
    <x v="0"/>
  </r>
  <r>
    <n v="30"/>
    <n v="38"/>
    <x v="1"/>
    <n v="161"/>
    <n v="66"/>
    <x v="30"/>
    <x v="0"/>
    <s v="138/84"/>
    <x v="0"/>
    <x v="0"/>
    <x v="1"/>
    <x v="3"/>
    <x v="1"/>
    <x v="0"/>
    <x v="0"/>
    <x v="0"/>
    <x v="0"/>
  </r>
  <r>
    <n v="1124"/>
    <n v="79"/>
    <x v="0"/>
    <n v="150"/>
    <n v="62"/>
    <x v="31"/>
    <x v="0"/>
    <s v="118/86"/>
    <x v="1"/>
    <x v="0"/>
    <x v="2"/>
    <x v="3"/>
    <x v="1"/>
    <x v="1"/>
    <x v="1"/>
    <x v="0"/>
    <x v="1"/>
  </r>
  <r>
    <n v="33"/>
    <n v="75"/>
    <x v="0"/>
    <n v="187"/>
    <n v="78"/>
    <x v="32"/>
    <x v="2"/>
    <s v="129/106"/>
    <x v="0"/>
    <x v="0"/>
    <x v="0"/>
    <x v="3"/>
    <x v="1"/>
    <x v="0"/>
    <x v="1"/>
    <x v="0"/>
    <x v="0"/>
  </r>
  <r>
    <n v="1290"/>
    <n v="79"/>
    <x v="1"/>
    <n v="185"/>
    <n v="76"/>
    <x v="33"/>
    <x v="1"/>
    <s v="141/75"/>
    <x v="2"/>
    <x v="0"/>
    <x v="2"/>
    <x v="3"/>
    <x v="1"/>
    <x v="0"/>
    <x v="1"/>
    <x v="0"/>
    <x v="1"/>
  </r>
  <r>
    <n v="1291"/>
    <n v="79"/>
    <x v="0"/>
    <n v="151"/>
    <n v="58"/>
    <x v="34"/>
    <x v="0"/>
    <s v="133/102"/>
    <x v="1"/>
    <x v="1"/>
    <x v="2"/>
    <x v="0"/>
    <x v="0"/>
    <x v="1"/>
    <x v="0"/>
    <x v="0"/>
    <x v="1"/>
  </r>
  <r>
    <n v="1320"/>
    <n v="79"/>
    <x v="0"/>
    <n v="155"/>
    <n v="89"/>
    <x v="35"/>
    <x v="1"/>
    <s v="120/100"/>
    <x v="0"/>
    <x v="1"/>
    <x v="2"/>
    <x v="0"/>
    <x v="0"/>
    <x v="0"/>
    <x v="1"/>
    <x v="1"/>
    <x v="2"/>
  </r>
  <r>
    <n v="34"/>
    <n v="39"/>
    <x v="0"/>
    <n v="159"/>
    <n v="70"/>
    <x v="36"/>
    <x v="2"/>
    <s v="112/78"/>
    <x v="0"/>
    <x v="1"/>
    <x v="1"/>
    <x v="2"/>
    <x v="0"/>
    <x v="0"/>
    <x v="1"/>
    <x v="1"/>
    <x v="2"/>
  </r>
  <r>
    <n v="1382"/>
    <n v="79"/>
    <x v="1"/>
    <n v="164"/>
    <n v="75"/>
    <x v="37"/>
    <x v="0"/>
    <s v="110/99"/>
    <x v="1"/>
    <x v="1"/>
    <x v="2"/>
    <x v="3"/>
    <x v="0"/>
    <x v="0"/>
    <x v="0"/>
    <x v="0"/>
    <x v="1"/>
  </r>
  <r>
    <n v="37"/>
    <n v="42"/>
    <x v="1"/>
    <n v="156"/>
    <n v="72"/>
    <x v="38"/>
    <x v="0"/>
    <s v="132/92"/>
    <x v="1"/>
    <x v="0"/>
    <x v="1"/>
    <x v="1"/>
    <x v="1"/>
    <x v="1"/>
    <x v="0"/>
    <x v="0"/>
    <x v="0"/>
  </r>
  <r>
    <n v="40"/>
    <n v="76"/>
    <x v="0"/>
    <n v="175"/>
    <n v="99"/>
    <x v="39"/>
    <x v="2"/>
    <s v="137/96"/>
    <x v="1"/>
    <x v="1"/>
    <x v="0"/>
    <x v="2"/>
    <x v="1"/>
    <x v="0"/>
    <x v="1"/>
    <x v="0"/>
    <x v="0"/>
  </r>
  <r>
    <n v="1515"/>
    <n v="79"/>
    <x v="1"/>
    <n v="175"/>
    <n v="79"/>
    <x v="40"/>
    <x v="1"/>
    <s v="138/86"/>
    <x v="1"/>
    <x v="0"/>
    <x v="2"/>
    <x v="2"/>
    <x v="0"/>
    <x v="0"/>
    <x v="0"/>
    <x v="0"/>
    <x v="1"/>
  </r>
  <r>
    <n v="41"/>
    <n v="59"/>
    <x v="1"/>
    <n v="153"/>
    <n v="87"/>
    <x v="41"/>
    <x v="0"/>
    <s v="126/107"/>
    <x v="2"/>
    <x v="0"/>
    <x v="1"/>
    <x v="2"/>
    <x v="1"/>
    <x v="0"/>
    <x v="0"/>
    <x v="1"/>
    <x v="2"/>
  </r>
  <r>
    <n v="1647"/>
    <n v="79"/>
    <x v="1"/>
    <n v="169"/>
    <n v="85"/>
    <x v="42"/>
    <x v="0"/>
    <s v="157/80"/>
    <x v="0"/>
    <x v="0"/>
    <x v="2"/>
    <x v="1"/>
    <x v="0"/>
    <x v="1"/>
    <x v="0"/>
    <x v="0"/>
    <x v="0"/>
  </r>
  <r>
    <n v="42"/>
    <n v="45"/>
    <x v="1"/>
    <n v="171"/>
    <n v="86"/>
    <x v="43"/>
    <x v="0"/>
    <s v="145/70"/>
    <x v="0"/>
    <x v="1"/>
    <x v="1"/>
    <x v="0"/>
    <x v="1"/>
    <x v="0"/>
    <x v="0"/>
    <x v="1"/>
    <x v="2"/>
  </r>
  <r>
    <n v="46"/>
    <n v="79"/>
    <x v="0"/>
    <n v="164"/>
    <n v="98"/>
    <x v="44"/>
    <x v="1"/>
    <s v="152/73"/>
    <x v="0"/>
    <x v="0"/>
    <x v="0"/>
    <x v="0"/>
    <x v="0"/>
    <x v="0"/>
    <x v="0"/>
    <x v="1"/>
    <x v="0"/>
  </r>
  <r>
    <n v="48"/>
    <n v="64"/>
    <x v="0"/>
    <n v="177"/>
    <n v="60"/>
    <x v="45"/>
    <x v="0"/>
    <s v="145/79"/>
    <x v="0"/>
    <x v="0"/>
    <x v="1"/>
    <x v="2"/>
    <x v="1"/>
    <x v="1"/>
    <x v="1"/>
    <x v="1"/>
    <x v="0"/>
  </r>
  <r>
    <n v="49"/>
    <n v="79"/>
    <x v="1"/>
    <n v="163"/>
    <n v="73"/>
    <x v="46"/>
    <x v="2"/>
    <s v="145/89"/>
    <x v="2"/>
    <x v="0"/>
    <x v="0"/>
    <x v="1"/>
    <x v="0"/>
    <x v="0"/>
    <x v="0"/>
    <x v="0"/>
    <x v="2"/>
  </r>
  <r>
    <n v="35"/>
    <n v="78"/>
    <x v="1"/>
    <n v="184"/>
    <n v="70"/>
    <x v="47"/>
    <x v="2"/>
    <s v="150/108"/>
    <x v="0"/>
    <x v="1"/>
    <x v="2"/>
    <x v="1"/>
    <x v="1"/>
    <x v="1"/>
    <x v="0"/>
    <x v="0"/>
    <x v="0"/>
  </r>
  <r>
    <n v="51"/>
    <n v="61"/>
    <x v="1"/>
    <n v="189"/>
    <n v="70"/>
    <x v="48"/>
    <x v="2"/>
    <s v="121/87"/>
    <x v="2"/>
    <x v="1"/>
    <x v="1"/>
    <x v="2"/>
    <x v="0"/>
    <x v="1"/>
    <x v="1"/>
    <x v="1"/>
    <x v="0"/>
  </r>
  <r>
    <n v="53"/>
    <n v="69"/>
    <x v="1"/>
    <n v="175"/>
    <n v="89"/>
    <x v="49"/>
    <x v="0"/>
    <s v="129/94"/>
    <x v="1"/>
    <x v="0"/>
    <x v="1"/>
    <x v="3"/>
    <x v="1"/>
    <x v="1"/>
    <x v="1"/>
    <x v="0"/>
    <x v="1"/>
  </r>
  <r>
    <n v="412"/>
    <n v="78"/>
    <x v="0"/>
    <n v="172"/>
    <n v="59"/>
    <x v="50"/>
    <x v="0"/>
    <s v="132/87"/>
    <x v="2"/>
    <x v="1"/>
    <x v="2"/>
    <x v="3"/>
    <x v="0"/>
    <x v="1"/>
    <x v="1"/>
    <x v="0"/>
    <x v="2"/>
  </r>
  <r>
    <n v="454"/>
    <n v="78"/>
    <x v="1"/>
    <n v="160"/>
    <n v="67"/>
    <x v="51"/>
    <x v="1"/>
    <s v="141/107"/>
    <x v="0"/>
    <x v="1"/>
    <x v="2"/>
    <x v="3"/>
    <x v="0"/>
    <x v="1"/>
    <x v="0"/>
    <x v="0"/>
    <x v="0"/>
  </r>
  <r>
    <n v="482"/>
    <n v="78"/>
    <x v="1"/>
    <n v="153"/>
    <n v="66"/>
    <x v="52"/>
    <x v="2"/>
    <s v="117/70"/>
    <x v="1"/>
    <x v="1"/>
    <x v="2"/>
    <x v="2"/>
    <x v="1"/>
    <x v="1"/>
    <x v="0"/>
    <x v="0"/>
    <x v="1"/>
  </r>
  <r>
    <n v="54"/>
    <n v="74"/>
    <x v="0"/>
    <n v="151"/>
    <n v="68"/>
    <x v="53"/>
    <x v="1"/>
    <s v="121/90"/>
    <x v="1"/>
    <x v="0"/>
    <x v="0"/>
    <x v="1"/>
    <x v="1"/>
    <x v="0"/>
    <x v="0"/>
    <x v="0"/>
    <x v="1"/>
  </r>
  <r>
    <n v="622"/>
    <n v="78"/>
    <x v="1"/>
    <n v="163"/>
    <n v="89"/>
    <x v="54"/>
    <x v="2"/>
    <s v="124/109"/>
    <x v="2"/>
    <x v="1"/>
    <x v="2"/>
    <x v="0"/>
    <x v="0"/>
    <x v="0"/>
    <x v="1"/>
    <x v="0"/>
    <x v="1"/>
  </r>
  <r>
    <n v="55"/>
    <n v="20"/>
    <x v="0"/>
    <n v="174"/>
    <n v="88"/>
    <x v="55"/>
    <x v="0"/>
    <s v="134/80"/>
    <x v="1"/>
    <x v="0"/>
    <x v="1"/>
    <x v="1"/>
    <x v="1"/>
    <x v="1"/>
    <x v="1"/>
    <x v="1"/>
    <x v="0"/>
  </r>
  <r>
    <n v="713"/>
    <n v="78"/>
    <x v="1"/>
    <n v="160"/>
    <n v="85"/>
    <x v="56"/>
    <x v="0"/>
    <s v="117/101"/>
    <x v="0"/>
    <x v="0"/>
    <x v="2"/>
    <x v="3"/>
    <x v="0"/>
    <x v="0"/>
    <x v="0"/>
    <x v="0"/>
    <x v="1"/>
  </r>
  <r>
    <n v="57"/>
    <n v="68"/>
    <x v="1"/>
    <n v="157"/>
    <n v="66"/>
    <x v="57"/>
    <x v="1"/>
    <s v="144/101"/>
    <x v="2"/>
    <x v="0"/>
    <x v="1"/>
    <x v="1"/>
    <x v="1"/>
    <x v="0"/>
    <x v="1"/>
    <x v="1"/>
    <x v="2"/>
  </r>
  <r>
    <n v="784"/>
    <n v="78"/>
    <x v="0"/>
    <n v="156"/>
    <n v="74"/>
    <x v="58"/>
    <x v="1"/>
    <s v="118/105"/>
    <x v="0"/>
    <x v="1"/>
    <x v="2"/>
    <x v="0"/>
    <x v="0"/>
    <x v="0"/>
    <x v="0"/>
    <x v="0"/>
    <x v="2"/>
  </r>
  <r>
    <n v="834"/>
    <n v="78"/>
    <x v="0"/>
    <n v="155"/>
    <n v="71"/>
    <x v="59"/>
    <x v="0"/>
    <s v="156/99"/>
    <x v="2"/>
    <x v="0"/>
    <x v="2"/>
    <x v="0"/>
    <x v="0"/>
    <x v="0"/>
    <x v="0"/>
    <x v="0"/>
    <x v="1"/>
  </r>
  <r>
    <n v="867"/>
    <n v="78"/>
    <x v="0"/>
    <n v="172"/>
    <n v="92"/>
    <x v="60"/>
    <x v="2"/>
    <s v="116/85"/>
    <x v="1"/>
    <x v="1"/>
    <x v="2"/>
    <x v="0"/>
    <x v="0"/>
    <x v="1"/>
    <x v="1"/>
    <x v="0"/>
    <x v="0"/>
  </r>
  <r>
    <n v="59"/>
    <n v="38"/>
    <x v="0"/>
    <n v="184"/>
    <n v="68"/>
    <x v="61"/>
    <x v="0"/>
    <s v="110/86"/>
    <x v="0"/>
    <x v="0"/>
    <x v="1"/>
    <x v="0"/>
    <x v="0"/>
    <x v="0"/>
    <x v="1"/>
    <x v="1"/>
    <x v="2"/>
  </r>
  <r>
    <n v="60"/>
    <n v="26"/>
    <x v="0"/>
    <n v="155"/>
    <n v="87"/>
    <x v="62"/>
    <x v="0"/>
    <s v="134/77"/>
    <x v="1"/>
    <x v="0"/>
    <x v="1"/>
    <x v="1"/>
    <x v="1"/>
    <x v="0"/>
    <x v="1"/>
    <x v="1"/>
    <x v="1"/>
  </r>
  <r>
    <n v="977"/>
    <n v="78"/>
    <x v="0"/>
    <n v="177"/>
    <n v="81"/>
    <x v="63"/>
    <x v="0"/>
    <s v="144/108"/>
    <x v="2"/>
    <x v="1"/>
    <x v="2"/>
    <x v="0"/>
    <x v="0"/>
    <x v="0"/>
    <x v="1"/>
    <x v="0"/>
    <x v="0"/>
  </r>
  <r>
    <n v="1152"/>
    <n v="78"/>
    <x v="1"/>
    <n v="175"/>
    <n v="90"/>
    <x v="64"/>
    <x v="0"/>
    <s v="120/95"/>
    <x v="2"/>
    <x v="1"/>
    <x v="2"/>
    <x v="0"/>
    <x v="0"/>
    <x v="0"/>
    <x v="0"/>
    <x v="0"/>
    <x v="2"/>
  </r>
  <r>
    <n v="61"/>
    <n v="56"/>
    <x v="1"/>
    <n v="188"/>
    <n v="77"/>
    <x v="65"/>
    <x v="0"/>
    <s v="114/74"/>
    <x v="0"/>
    <x v="0"/>
    <x v="1"/>
    <x v="1"/>
    <x v="1"/>
    <x v="0"/>
    <x v="0"/>
    <x v="0"/>
    <x v="2"/>
  </r>
  <r>
    <n v="67"/>
    <n v="67"/>
    <x v="0"/>
    <n v="161"/>
    <n v="75"/>
    <x v="66"/>
    <x v="2"/>
    <s v="123/70"/>
    <x v="2"/>
    <x v="1"/>
    <x v="1"/>
    <x v="2"/>
    <x v="1"/>
    <x v="0"/>
    <x v="1"/>
    <x v="0"/>
    <x v="1"/>
  </r>
  <r>
    <n v="68"/>
    <n v="75"/>
    <x v="1"/>
    <n v="159"/>
    <n v="98"/>
    <x v="67"/>
    <x v="2"/>
    <s v="135/94"/>
    <x v="2"/>
    <x v="1"/>
    <x v="0"/>
    <x v="1"/>
    <x v="0"/>
    <x v="1"/>
    <x v="1"/>
    <x v="1"/>
    <x v="0"/>
  </r>
  <r>
    <n v="1429"/>
    <n v="78"/>
    <x v="0"/>
    <n v="188"/>
    <n v="63"/>
    <x v="68"/>
    <x v="1"/>
    <s v="141/99"/>
    <x v="0"/>
    <x v="0"/>
    <x v="2"/>
    <x v="3"/>
    <x v="1"/>
    <x v="0"/>
    <x v="0"/>
    <x v="0"/>
    <x v="1"/>
  </r>
  <r>
    <n v="1469"/>
    <n v="78"/>
    <x v="0"/>
    <n v="185"/>
    <n v="85"/>
    <x v="69"/>
    <x v="1"/>
    <s v="137/100"/>
    <x v="1"/>
    <x v="1"/>
    <x v="2"/>
    <x v="3"/>
    <x v="0"/>
    <x v="0"/>
    <x v="1"/>
    <x v="0"/>
    <x v="2"/>
  </r>
  <r>
    <n v="1634"/>
    <n v="78"/>
    <x v="1"/>
    <n v="156"/>
    <n v="54"/>
    <x v="70"/>
    <x v="2"/>
    <s v="147/109"/>
    <x v="0"/>
    <x v="1"/>
    <x v="2"/>
    <x v="3"/>
    <x v="1"/>
    <x v="0"/>
    <x v="0"/>
    <x v="0"/>
    <x v="1"/>
  </r>
  <r>
    <n v="1702"/>
    <n v="78"/>
    <x v="1"/>
    <n v="181"/>
    <n v="55"/>
    <x v="71"/>
    <x v="0"/>
    <s v="137/89"/>
    <x v="1"/>
    <x v="0"/>
    <x v="2"/>
    <x v="3"/>
    <x v="0"/>
    <x v="1"/>
    <x v="1"/>
    <x v="0"/>
    <x v="2"/>
  </r>
  <r>
    <n v="73"/>
    <n v="37"/>
    <x v="1"/>
    <n v="186"/>
    <n v="66"/>
    <x v="72"/>
    <x v="2"/>
    <s v="128/77"/>
    <x v="1"/>
    <x v="1"/>
    <x v="1"/>
    <x v="3"/>
    <x v="0"/>
    <x v="1"/>
    <x v="1"/>
    <x v="0"/>
    <x v="2"/>
  </r>
  <r>
    <n v="78"/>
    <n v="61"/>
    <x v="0"/>
    <n v="189"/>
    <n v="84"/>
    <x v="73"/>
    <x v="1"/>
    <s v="137/92"/>
    <x v="1"/>
    <x v="0"/>
    <x v="1"/>
    <x v="3"/>
    <x v="0"/>
    <x v="1"/>
    <x v="0"/>
    <x v="0"/>
    <x v="0"/>
  </r>
  <r>
    <n v="79"/>
    <n v="78"/>
    <x v="0"/>
    <n v="167"/>
    <n v="95"/>
    <x v="74"/>
    <x v="0"/>
    <s v="113/83"/>
    <x v="0"/>
    <x v="1"/>
    <x v="0"/>
    <x v="1"/>
    <x v="1"/>
    <x v="1"/>
    <x v="0"/>
    <x v="1"/>
    <x v="2"/>
  </r>
  <r>
    <n v="29"/>
    <n v="77"/>
    <x v="1"/>
    <n v="171"/>
    <n v="80"/>
    <x v="75"/>
    <x v="1"/>
    <s v="116/88"/>
    <x v="0"/>
    <x v="1"/>
    <x v="2"/>
    <x v="0"/>
    <x v="1"/>
    <x v="0"/>
    <x v="0"/>
    <x v="1"/>
    <x v="0"/>
  </r>
  <r>
    <n v="43"/>
    <n v="77"/>
    <x v="0"/>
    <n v="164"/>
    <n v="94"/>
    <x v="76"/>
    <x v="2"/>
    <s v="127/78"/>
    <x v="0"/>
    <x v="1"/>
    <x v="2"/>
    <x v="3"/>
    <x v="1"/>
    <x v="0"/>
    <x v="1"/>
    <x v="0"/>
    <x v="1"/>
  </r>
  <r>
    <n v="65"/>
    <n v="77"/>
    <x v="0"/>
    <n v="154"/>
    <n v="53"/>
    <x v="77"/>
    <x v="1"/>
    <s v="159/85"/>
    <x v="2"/>
    <x v="1"/>
    <x v="2"/>
    <x v="3"/>
    <x v="0"/>
    <x v="1"/>
    <x v="1"/>
    <x v="0"/>
    <x v="1"/>
  </r>
  <r>
    <n v="76"/>
    <n v="77"/>
    <x v="0"/>
    <n v="158"/>
    <n v="95"/>
    <x v="78"/>
    <x v="1"/>
    <s v="144/92"/>
    <x v="2"/>
    <x v="1"/>
    <x v="2"/>
    <x v="1"/>
    <x v="0"/>
    <x v="1"/>
    <x v="0"/>
    <x v="1"/>
    <x v="2"/>
  </r>
  <r>
    <n v="81"/>
    <n v="64"/>
    <x v="0"/>
    <n v="155"/>
    <n v="77"/>
    <x v="79"/>
    <x v="1"/>
    <s v="110/73"/>
    <x v="0"/>
    <x v="0"/>
    <x v="1"/>
    <x v="3"/>
    <x v="0"/>
    <x v="1"/>
    <x v="1"/>
    <x v="1"/>
    <x v="1"/>
  </r>
  <r>
    <n v="82"/>
    <n v="52"/>
    <x v="0"/>
    <n v="161"/>
    <n v="50"/>
    <x v="80"/>
    <x v="2"/>
    <s v="141/102"/>
    <x v="0"/>
    <x v="0"/>
    <x v="1"/>
    <x v="0"/>
    <x v="1"/>
    <x v="1"/>
    <x v="1"/>
    <x v="0"/>
    <x v="0"/>
  </r>
  <r>
    <n v="125"/>
    <n v="77"/>
    <x v="0"/>
    <n v="175"/>
    <n v="61"/>
    <x v="81"/>
    <x v="0"/>
    <s v="142/90"/>
    <x v="0"/>
    <x v="0"/>
    <x v="2"/>
    <x v="0"/>
    <x v="1"/>
    <x v="0"/>
    <x v="1"/>
    <x v="1"/>
    <x v="0"/>
  </r>
  <r>
    <n v="126"/>
    <n v="77"/>
    <x v="0"/>
    <n v="154"/>
    <n v="90"/>
    <x v="82"/>
    <x v="0"/>
    <s v="140/103"/>
    <x v="2"/>
    <x v="1"/>
    <x v="2"/>
    <x v="3"/>
    <x v="1"/>
    <x v="0"/>
    <x v="0"/>
    <x v="1"/>
    <x v="1"/>
  </r>
  <r>
    <n v="85"/>
    <n v="53"/>
    <x v="0"/>
    <n v="165"/>
    <n v="97"/>
    <x v="83"/>
    <x v="2"/>
    <s v="132/101"/>
    <x v="0"/>
    <x v="0"/>
    <x v="1"/>
    <x v="3"/>
    <x v="1"/>
    <x v="1"/>
    <x v="0"/>
    <x v="1"/>
    <x v="0"/>
  </r>
  <r>
    <n v="86"/>
    <n v="67"/>
    <x v="1"/>
    <n v="152"/>
    <n v="89"/>
    <x v="84"/>
    <x v="1"/>
    <s v="124/82"/>
    <x v="1"/>
    <x v="0"/>
    <x v="1"/>
    <x v="2"/>
    <x v="1"/>
    <x v="0"/>
    <x v="0"/>
    <x v="1"/>
    <x v="0"/>
  </r>
  <r>
    <n v="87"/>
    <n v="57"/>
    <x v="1"/>
    <n v="152"/>
    <n v="82"/>
    <x v="85"/>
    <x v="0"/>
    <s v="111/88"/>
    <x v="0"/>
    <x v="0"/>
    <x v="1"/>
    <x v="2"/>
    <x v="0"/>
    <x v="0"/>
    <x v="0"/>
    <x v="0"/>
    <x v="0"/>
  </r>
  <r>
    <n v="358"/>
    <n v="77"/>
    <x v="0"/>
    <n v="179"/>
    <n v="55"/>
    <x v="86"/>
    <x v="2"/>
    <s v="122/79"/>
    <x v="1"/>
    <x v="0"/>
    <x v="2"/>
    <x v="1"/>
    <x v="1"/>
    <x v="0"/>
    <x v="0"/>
    <x v="0"/>
    <x v="1"/>
  </r>
  <r>
    <n v="88"/>
    <n v="21"/>
    <x v="1"/>
    <n v="176"/>
    <n v="61"/>
    <x v="87"/>
    <x v="1"/>
    <s v="133/93"/>
    <x v="2"/>
    <x v="1"/>
    <x v="1"/>
    <x v="3"/>
    <x v="1"/>
    <x v="1"/>
    <x v="0"/>
    <x v="1"/>
    <x v="1"/>
  </r>
  <r>
    <n v="89"/>
    <n v="19"/>
    <x v="0"/>
    <n v="189"/>
    <n v="57"/>
    <x v="88"/>
    <x v="1"/>
    <s v="120/91"/>
    <x v="0"/>
    <x v="1"/>
    <x v="1"/>
    <x v="1"/>
    <x v="0"/>
    <x v="1"/>
    <x v="0"/>
    <x v="1"/>
    <x v="0"/>
  </r>
  <r>
    <n v="469"/>
    <n v="77"/>
    <x v="1"/>
    <n v="153"/>
    <n v="51"/>
    <x v="89"/>
    <x v="1"/>
    <s v="114/83"/>
    <x v="1"/>
    <x v="1"/>
    <x v="2"/>
    <x v="1"/>
    <x v="1"/>
    <x v="0"/>
    <x v="0"/>
    <x v="1"/>
    <x v="1"/>
  </r>
  <r>
    <n v="91"/>
    <n v="23"/>
    <x v="0"/>
    <n v="182"/>
    <n v="65"/>
    <x v="90"/>
    <x v="1"/>
    <s v="150/96"/>
    <x v="0"/>
    <x v="1"/>
    <x v="1"/>
    <x v="0"/>
    <x v="0"/>
    <x v="0"/>
    <x v="1"/>
    <x v="1"/>
    <x v="2"/>
  </r>
  <r>
    <n v="92"/>
    <n v="71"/>
    <x v="0"/>
    <n v="177"/>
    <n v="99"/>
    <x v="91"/>
    <x v="1"/>
    <s v="118/97"/>
    <x v="0"/>
    <x v="0"/>
    <x v="0"/>
    <x v="2"/>
    <x v="0"/>
    <x v="0"/>
    <x v="1"/>
    <x v="1"/>
    <x v="0"/>
  </r>
  <r>
    <n v="563"/>
    <n v="77"/>
    <x v="0"/>
    <n v="156"/>
    <n v="62"/>
    <x v="92"/>
    <x v="0"/>
    <s v="157/77"/>
    <x v="0"/>
    <x v="1"/>
    <x v="2"/>
    <x v="1"/>
    <x v="1"/>
    <x v="1"/>
    <x v="0"/>
    <x v="0"/>
    <x v="0"/>
  </r>
  <r>
    <n v="93"/>
    <n v="59"/>
    <x v="0"/>
    <n v="150"/>
    <n v="53"/>
    <x v="93"/>
    <x v="0"/>
    <s v="110/86"/>
    <x v="2"/>
    <x v="0"/>
    <x v="1"/>
    <x v="2"/>
    <x v="1"/>
    <x v="1"/>
    <x v="0"/>
    <x v="0"/>
    <x v="1"/>
  </r>
  <r>
    <n v="587"/>
    <n v="77"/>
    <x v="0"/>
    <n v="161"/>
    <n v="65"/>
    <x v="94"/>
    <x v="2"/>
    <s v="115/92"/>
    <x v="0"/>
    <x v="1"/>
    <x v="2"/>
    <x v="2"/>
    <x v="0"/>
    <x v="1"/>
    <x v="1"/>
    <x v="1"/>
    <x v="2"/>
  </r>
  <r>
    <n v="692"/>
    <n v="77"/>
    <x v="1"/>
    <n v="183"/>
    <n v="69"/>
    <x v="95"/>
    <x v="2"/>
    <s v="156/107"/>
    <x v="0"/>
    <x v="1"/>
    <x v="2"/>
    <x v="2"/>
    <x v="0"/>
    <x v="0"/>
    <x v="1"/>
    <x v="1"/>
    <x v="2"/>
  </r>
  <r>
    <n v="94"/>
    <n v="21"/>
    <x v="0"/>
    <n v="157"/>
    <n v="87"/>
    <x v="96"/>
    <x v="1"/>
    <s v="140/79"/>
    <x v="1"/>
    <x v="0"/>
    <x v="1"/>
    <x v="2"/>
    <x v="1"/>
    <x v="0"/>
    <x v="1"/>
    <x v="0"/>
    <x v="2"/>
  </r>
  <r>
    <n v="896"/>
    <n v="77"/>
    <x v="1"/>
    <n v="150"/>
    <n v="74"/>
    <x v="97"/>
    <x v="2"/>
    <s v="116/77"/>
    <x v="2"/>
    <x v="0"/>
    <x v="2"/>
    <x v="1"/>
    <x v="0"/>
    <x v="0"/>
    <x v="0"/>
    <x v="0"/>
    <x v="2"/>
  </r>
  <r>
    <n v="916"/>
    <n v="77"/>
    <x v="1"/>
    <n v="163"/>
    <n v="68"/>
    <x v="98"/>
    <x v="0"/>
    <s v="121/82"/>
    <x v="0"/>
    <x v="0"/>
    <x v="2"/>
    <x v="3"/>
    <x v="0"/>
    <x v="0"/>
    <x v="1"/>
    <x v="1"/>
    <x v="0"/>
  </r>
  <r>
    <n v="95"/>
    <n v="71"/>
    <x v="1"/>
    <n v="186"/>
    <n v="93"/>
    <x v="99"/>
    <x v="0"/>
    <s v="146/98"/>
    <x v="1"/>
    <x v="0"/>
    <x v="0"/>
    <x v="0"/>
    <x v="0"/>
    <x v="1"/>
    <x v="0"/>
    <x v="0"/>
    <x v="1"/>
  </r>
  <r>
    <n v="1084"/>
    <n v="77"/>
    <x v="1"/>
    <n v="169"/>
    <n v="54"/>
    <x v="100"/>
    <x v="2"/>
    <s v="121/102"/>
    <x v="0"/>
    <x v="1"/>
    <x v="2"/>
    <x v="2"/>
    <x v="1"/>
    <x v="1"/>
    <x v="1"/>
    <x v="1"/>
    <x v="1"/>
  </r>
  <r>
    <n v="1101"/>
    <n v="77"/>
    <x v="1"/>
    <n v="188"/>
    <n v="61"/>
    <x v="101"/>
    <x v="1"/>
    <s v="151/73"/>
    <x v="0"/>
    <x v="0"/>
    <x v="2"/>
    <x v="1"/>
    <x v="0"/>
    <x v="1"/>
    <x v="0"/>
    <x v="1"/>
    <x v="0"/>
  </r>
  <r>
    <n v="96"/>
    <n v="46"/>
    <x v="1"/>
    <n v="181"/>
    <n v="76"/>
    <x v="102"/>
    <x v="2"/>
    <s v="127/107"/>
    <x v="0"/>
    <x v="0"/>
    <x v="1"/>
    <x v="2"/>
    <x v="1"/>
    <x v="1"/>
    <x v="1"/>
    <x v="0"/>
    <x v="2"/>
  </r>
  <r>
    <n v="1222"/>
    <n v="77"/>
    <x v="0"/>
    <n v="188"/>
    <n v="72"/>
    <x v="103"/>
    <x v="0"/>
    <s v="117/79"/>
    <x v="2"/>
    <x v="1"/>
    <x v="2"/>
    <x v="1"/>
    <x v="1"/>
    <x v="0"/>
    <x v="0"/>
    <x v="0"/>
    <x v="2"/>
  </r>
  <r>
    <n v="1383"/>
    <n v="77"/>
    <x v="0"/>
    <n v="177"/>
    <n v="53"/>
    <x v="104"/>
    <x v="1"/>
    <s v="138/89"/>
    <x v="2"/>
    <x v="0"/>
    <x v="2"/>
    <x v="0"/>
    <x v="0"/>
    <x v="0"/>
    <x v="1"/>
    <x v="1"/>
    <x v="1"/>
  </r>
  <r>
    <n v="1398"/>
    <n v="77"/>
    <x v="0"/>
    <n v="163"/>
    <n v="91"/>
    <x v="105"/>
    <x v="1"/>
    <s v="130/86"/>
    <x v="0"/>
    <x v="1"/>
    <x v="2"/>
    <x v="3"/>
    <x v="1"/>
    <x v="0"/>
    <x v="1"/>
    <x v="1"/>
    <x v="0"/>
  </r>
  <r>
    <n v="1405"/>
    <n v="77"/>
    <x v="1"/>
    <n v="154"/>
    <n v="97"/>
    <x v="106"/>
    <x v="0"/>
    <s v="118/74"/>
    <x v="1"/>
    <x v="1"/>
    <x v="2"/>
    <x v="3"/>
    <x v="1"/>
    <x v="0"/>
    <x v="0"/>
    <x v="1"/>
    <x v="2"/>
  </r>
  <r>
    <n v="1536"/>
    <n v="77"/>
    <x v="1"/>
    <n v="151"/>
    <n v="65"/>
    <x v="107"/>
    <x v="0"/>
    <s v="157/72"/>
    <x v="0"/>
    <x v="0"/>
    <x v="2"/>
    <x v="1"/>
    <x v="1"/>
    <x v="0"/>
    <x v="1"/>
    <x v="0"/>
    <x v="0"/>
  </r>
  <r>
    <n v="97"/>
    <n v="35"/>
    <x v="0"/>
    <n v="186"/>
    <n v="58"/>
    <x v="108"/>
    <x v="0"/>
    <s v="148/75"/>
    <x v="2"/>
    <x v="0"/>
    <x v="1"/>
    <x v="0"/>
    <x v="1"/>
    <x v="1"/>
    <x v="0"/>
    <x v="0"/>
    <x v="2"/>
  </r>
  <r>
    <n v="1746"/>
    <n v="77"/>
    <x v="0"/>
    <n v="159"/>
    <n v="67"/>
    <x v="109"/>
    <x v="2"/>
    <s v="158/108"/>
    <x v="2"/>
    <x v="1"/>
    <x v="2"/>
    <x v="0"/>
    <x v="0"/>
    <x v="0"/>
    <x v="0"/>
    <x v="1"/>
    <x v="1"/>
  </r>
  <r>
    <n v="1849"/>
    <n v="77"/>
    <x v="1"/>
    <n v="153"/>
    <n v="72"/>
    <x v="110"/>
    <x v="1"/>
    <s v="147/82"/>
    <x v="1"/>
    <x v="1"/>
    <x v="2"/>
    <x v="3"/>
    <x v="1"/>
    <x v="0"/>
    <x v="1"/>
    <x v="1"/>
    <x v="2"/>
  </r>
  <r>
    <n v="98"/>
    <n v="43"/>
    <x v="1"/>
    <n v="153"/>
    <n v="96"/>
    <x v="111"/>
    <x v="0"/>
    <s v="149/81"/>
    <x v="2"/>
    <x v="1"/>
    <x v="1"/>
    <x v="0"/>
    <x v="0"/>
    <x v="1"/>
    <x v="0"/>
    <x v="1"/>
    <x v="0"/>
  </r>
  <r>
    <n v="101"/>
    <n v="27"/>
    <x v="1"/>
    <n v="168"/>
    <n v="80"/>
    <x v="112"/>
    <x v="1"/>
    <s v="140/76"/>
    <x v="2"/>
    <x v="0"/>
    <x v="1"/>
    <x v="1"/>
    <x v="1"/>
    <x v="0"/>
    <x v="1"/>
    <x v="0"/>
    <x v="2"/>
  </r>
  <r>
    <n v="108"/>
    <n v="25"/>
    <x v="1"/>
    <n v="170"/>
    <n v="73"/>
    <x v="113"/>
    <x v="0"/>
    <s v="121/73"/>
    <x v="2"/>
    <x v="0"/>
    <x v="1"/>
    <x v="2"/>
    <x v="0"/>
    <x v="1"/>
    <x v="0"/>
    <x v="0"/>
    <x v="1"/>
  </r>
  <r>
    <n v="213"/>
    <n v="76"/>
    <x v="0"/>
    <n v="173"/>
    <n v="96"/>
    <x v="114"/>
    <x v="0"/>
    <s v="131/100"/>
    <x v="2"/>
    <x v="1"/>
    <x v="2"/>
    <x v="2"/>
    <x v="1"/>
    <x v="1"/>
    <x v="0"/>
    <x v="1"/>
    <x v="1"/>
  </r>
  <r>
    <n v="109"/>
    <n v="31"/>
    <x v="1"/>
    <n v="179"/>
    <n v="91"/>
    <x v="115"/>
    <x v="2"/>
    <s v="156/78"/>
    <x v="2"/>
    <x v="1"/>
    <x v="1"/>
    <x v="0"/>
    <x v="0"/>
    <x v="0"/>
    <x v="0"/>
    <x v="1"/>
    <x v="0"/>
  </r>
  <r>
    <n v="111"/>
    <n v="77"/>
    <x v="1"/>
    <n v="183"/>
    <n v="75"/>
    <x v="116"/>
    <x v="1"/>
    <s v="132/109"/>
    <x v="2"/>
    <x v="1"/>
    <x v="0"/>
    <x v="3"/>
    <x v="1"/>
    <x v="0"/>
    <x v="0"/>
    <x v="1"/>
    <x v="1"/>
  </r>
  <r>
    <n v="113"/>
    <n v="79"/>
    <x v="0"/>
    <n v="177"/>
    <n v="89"/>
    <x v="117"/>
    <x v="2"/>
    <s v="133/95"/>
    <x v="1"/>
    <x v="1"/>
    <x v="0"/>
    <x v="1"/>
    <x v="0"/>
    <x v="1"/>
    <x v="0"/>
    <x v="1"/>
    <x v="2"/>
  </r>
  <r>
    <n v="323"/>
    <n v="76"/>
    <x v="1"/>
    <n v="157"/>
    <n v="81"/>
    <x v="118"/>
    <x v="2"/>
    <s v="126/72"/>
    <x v="0"/>
    <x v="1"/>
    <x v="2"/>
    <x v="2"/>
    <x v="1"/>
    <x v="1"/>
    <x v="0"/>
    <x v="1"/>
    <x v="0"/>
  </r>
  <r>
    <n v="330"/>
    <n v="76"/>
    <x v="0"/>
    <n v="173"/>
    <n v="64"/>
    <x v="119"/>
    <x v="2"/>
    <s v="138/94"/>
    <x v="1"/>
    <x v="1"/>
    <x v="2"/>
    <x v="3"/>
    <x v="1"/>
    <x v="1"/>
    <x v="1"/>
    <x v="0"/>
    <x v="0"/>
  </r>
  <r>
    <n v="114"/>
    <n v="57"/>
    <x v="0"/>
    <n v="187"/>
    <n v="59"/>
    <x v="120"/>
    <x v="0"/>
    <s v="139/102"/>
    <x v="0"/>
    <x v="0"/>
    <x v="1"/>
    <x v="0"/>
    <x v="1"/>
    <x v="0"/>
    <x v="0"/>
    <x v="0"/>
    <x v="2"/>
  </r>
  <r>
    <n v="115"/>
    <n v="38"/>
    <x v="1"/>
    <n v="180"/>
    <n v="68"/>
    <x v="121"/>
    <x v="1"/>
    <s v="125/91"/>
    <x v="1"/>
    <x v="0"/>
    <x v="1"/>
    <x v="0"/>
    <x v="0"/>
    <x v="0"/>
    <x v="1"/>
    <x v="0"/>
    <x v="1"/>
  </r>
  <r>
    <n v="779"/>
    <n v="76"/>
    <x v="1"/>
    <n v="172"/>
    <n v="71"/>
    <x v="122"/>
    <x v="1"/>
    <s v="150/91"/>
    <x v="2"/>
    <x v="0"/>
    <x v="2"/>
    <x v="3"/>
    <x v="1"/>
    <x v="1"/>
    <x v="1"/>
    <x v="1"/>
    <x v="1"/>
  </r>
  <r>
    <n v="117"/>
    <n v="62"/>
    <x v="0"/>
    <n v="154"/>
    <n v="73"/>
    <x v="123"/>
    <x v="1"/>
    <s v="116/95"/>
    <x v="1"/>
    <x v="0"/>
    <x v="1"/>
    <x v="1"/>
    <x v="0"/>
    <x v="1"/>
    <x v="0"/>
    <x v="0"/>
    <x v="2"/>
  </r>
  <r>
    <n v="989"/>
    <n v="76"/>
    <x v="1"/>
    <n v="162"/>
    <n v="88"/>
    <x v="124"/>
    <x v="2"/>
    <s v="118/105"/>
    <x v="1"/>
    <x v="0"/>
    <x v="2"/>
    <x v="3"/>
    <x v="0"/>
    <x v="0"/>
    <x v="1"/>
    <x v="0"/>
    <x v="2"/>
  </r>
  <r>
    <n v="1006"/>
    <n v="76"/>
    <x v="0"/>
    <n v="188"/>
    <n v="67"/>
    <x v="125"/>
    <x v="2"/>
    <s v="129/83"/>
    <x v="0"/>
    <x v="1"/>
    <x v="2"/>
    <x v="0"/>
    <x v="1"/>
    <x v="1"/>
    <x v="1"/>
    <x v="0"/>
    <x v="1"/>
  </r>
  <r>
    <n v="118"/>
    <n v="35"/>
    <x v="0"/>
    <n v="174"/>
    <n v="54"/>
    <x v="126"/>
    <x v="0"/>
    <s v="117/75"/>
    <x v="1"/>
    <x v="0"/>
    <x v="1"/>
    <x v="3"/>
    <x v="0"/>
    <x v="0"/>
    <x v="0"/>
    <x v="1"/>
    <x v="0"/>
  </r>
  <r>
    <n v="121"/>
    <n v="41"/>
    <x v="0"/>
    <n v="153"/>
    <n v="65"/>
    <x v="127"/>
    <x v="1"/>
    <s v="131/78"/>
    <x v="2"/>
    <x v="1"/>
    <x v="1"/>
    <x v="1"/>
    <x v="1"/>
    <x v="1"/>
    <x v="1"/>
    <x v="1"/>
    <x v="2"/>
  </r>
  <r>
    <n v="1212"/>
    <n v="76"/>
    <x v="1"/>
    <n v="154"/>
    <n v="75"/>
    <x v="128"/>
    <x v="2"/>
    <s v="146/94"/>
    <x v="1"/>
    <x v="0"/>
    <x v="2"/>
    <x v="2"/>
    <x v="0"/>
    <x v="0"/>
    <x v="0"/>
    <x v="0"/>
    <x v="2"/>
  </r>
  <r>
    <n v="1272"/>
    <n v="76"/>
    <x v="0"/>
    <n v="176"/>
    <n v="82"/>
    <x v="129"/>
    <x v="2"/>
    <s v="133/89"/>
    <x v="0"/>
    <x v="1"/>
    <x v="2"/>
    <x v="2"/>
    <x v="0"/>
    <x v="0"/>
    <x v="1"/>
    <x v="0"/>
    <x v="1"/>
  </r>
  <r>
    <n v="123"/>
    <n v="42"/>
    <x v="0"/>
    <n v="169"/>
    <n v="64"/>
    <x v="130"/>
    <x v="1"/>
    <s v="118/82"/>
    <x v="1"/>
    <x v="1"/>
    <x v="1"/>
    <x v="0"/>
    <x v="1"/>
    <x v="1"/>
    <x v="0"/>
    <x v="1"/>
    <x v="2"/>
  </r>
  <r>
    <n v="124"/>
    <n v="77"/>
    <x v="1"/>
    <n v="183"/>
    <n v="84"/>
    <x v="131"/>
    <x v="1"/>
    <s v="112/104"/>
    <x v="2"/>
    <x v="0"/>
    <x v="0"/>
    <x v="0"/>
    <x v="1"/>
    <x v="0"/>
    <x v="1"/>
    <x v="1"/>
    <x v="2"/>
  </r>
  <r>
    <n v="127"/>
    <n v="62"/>
    <x v="1"/>
    <n v="184"/>
    <n v="93"/>
    <x v="132"/>
    <x v="2"/>
    <s v="141/104"/>
    <x v="2"/>
    <x v="0"/>
    <x v="1"/>
    <x v="1"/>
    <x v="1"/>
    <x v="1"/>
    <x v="0"/>
    <x v="0"/>
    <x v="0"/>
  </r>
  <r>
    <n v="1603"/>
    <n v="76"/>
    <x v="1"/>
    <n v="189"/>
    <n v="63"/>
    <x v="133"/>
    <x v="2"/>
    <s v="138/83"/>
    <x v="0"/>
    <x v="0"/>
    <x v="2"/>
    <x v="0"/>
    <x v="0"/>
    <x v="1"/>
    <x v="1"/>
    <x v="0"/>
    <x v="0"/>
  </r>
  <r>
    <n v="129"/>
    <n v="46"/>
    <x v="1"/>
    <n v="178"/>
    <n v="96"/>
    <x v="134"/>
    <x v="0"/>
    <s v="115/90"/>
    <x v="1"/>
    <x v="1"/>
    <x v="1"/>
    <x v="1"/>
    <x v="1"/>
    <x v="0"/>
    <x v="0"/>
    <x v="1"/>
    <x v="1"/>
  </r>
  <r>
    <n v="1644"/>
    <n v="76"/>
    <x v="0"/>
    <n v="173"/>
    <n v="51"/>
    <x v="135"/>
    <x v="1"/>
    <s v="135/96"/>
    <x v="0"/>
    <x v="1"/>
    <x v="2"/>
    <x v="0"/>
    <x v="1"/>
    <x v="0"/>
    <x v="0"/>
    <x v="1"/>
    <x v="2"/>
  </r>
  <r>
    <n v="135"/>
    <n v="26"/>
    <x v="0"/>
    <n v="151"/>
    <n v="61"/>
    <x v="136"/>
    <x v="0"/>
    <s v="128/84"/>
    <x v="2"/>
    <x v="1"/>
    <x v="1"/>
    <x v="2"/>
    <x v="1"/>
    <x v="0"/>
    <x v="1"/>
    <x v="0"/>
    <x v="0"/>
  </r>
  <r>
    <n v="136"/>
    <n v="41"/>
    <x v="0"/>
    <n v="158"/>
    <n v="72"/>
    <x v="137"/>
    <x v="0"/>
    <s v="115/78"/>
    <x v="1"/>
    <x v="1"/>
    <x v="1"/>
    <x v="3"/>
    <x v="1"/>
    <x v="1"/>
    <x v="0"/>
    <x v="1"/>
    <x v="0"/>
  </r>
  <r>
    <n v="137"/>
    <n v="18"/>
    <x v="0"/>
    <n v="170"/>
    <n v="53"/>
    <x v="138"/>
    <x v="2"/>
    <s v="146/89"/>
    <x v="0"/>
    <x v="0"/>
    <x v="1"/>
    <x v="0"/>
    <x v="0"/>
    <x v="1"/>
    <x v="0"/>
    <x v="1"/>
    <x v="0"/>
  </r>
  <r>
    <n v="1889"/>
    <n v="76"/>
    <x v="0"/>
    <n v="189"/>
    <n v="62"/>
    <x v="139"/>
    <x v="2"/>
    <s v="110/95"/>
    <x v="0"/>
    <x v="0"/>
    <x v="2"/>
    <x v="2"/>
    <x v="0"/>
    <x v="1"/>
    <x v="1"/>
    <x v="0"/>
    <x v="1"/>
  </r>
  <r>
    <n v="139"/>
    <n v="25"/>
    <x v="1"/>
    <n v="183"/>
    <n v="97"/>
    <x v="140"/>
    <x v="0"/>
    <s v="135/87"/>
    <x v="1"/>
    <x v="0"/>
    <x v="1"/>
    <x v="0"/>
    <x v="1"/>
    <x v="0"/>
    <x v="0"/>
    <x v="0"/>
    <x v="0"/>
  </r>
  <r>
    <n v="1924"/>
    <n v="76"/>
    <x v="1"/>
    <n v="181"/>
    <n v="70"/>
    <x v="141"/>
    <x v="0"/>
    <s v="117/107"/>
    <x v="1"/>
    <x v="1"/>
    <x v="2"/>
    <x v="0"/>
    <x v="1"/>
    <x v="0"/>
    <x v="1"/>
    <x v="0"/>
    <x v="1"/>
  </r>
  <r>
    <n v="1953"/>
    <n v="76"/>
    <x v="0"/>
    <n v="188"/>
    <n v="64"/>
    <x v="142"/>
    <x v="2"/>
    <s v="129/97"/>
    <x v="1"/>
    <x v="0"/>
    <x v="2"/>
    <x v="2"/>
    <x v="1"/>
    <x v="1"/>
    <x v="0"/>
    <x v="0"/>
    <x v="2"/>
  </r>
  <r>
    <n v="140"/>
    <n v="41"/>
    <x v="1"/>
    <n v="171"/>
    <n v="97"/>
    <x v="143"/>
    <x v="1"/>
    <s v="137/78"/>
    <x v="1"/>
    <x v="0"/>
    <x v="1"/>
    <x v="1"/>
    <x v="1"/>
    <x v="1"/>
    <x v="1"/>
    <x v="1"/>
    <x v="2"/>
  </r>
  <r>
    <n v="144"/>
    <n v="25"/>
    <x v="1"/>
    <n v="179"/>
    <n v="79"/>
    <x v="144"/>
    <x v="0"/>
    <s v="152/81"/>
    <x v="0"/>
    <x v="0"/>
    <x v="1"/>
    <x v="1"/>
    <x v="1"/>
    <x v="0"/>
    <x v="1"/>
    <x v="1"/>
    <x v="1"/>
  </r>
  <r>
    <n v="10"/>
    <n v="75"/>
    <x v="0"/>
    <n v="177"/>
    <n v="65"/>
    <x v="145"/>
    <x v="0"/>
    <s v="138/100"/>
    <x v="1"/>
    <x v="1"/>
    <x v="2"/>
    <x v="3"/>
    <x v="1"/>
    <x v="1"/>
    <x v="0"/>
    <x v="0"/>
    <x v="1"/>
  </r>
  <r>
    <n v="145"/>
    <n v="52"/>
    <x v="0"/>
    <n v="175"/>
    <n v="52"/>
    <x v="146"/>
    <x v="1"/>
    <s v="128/90"/>
    <x v="0"/>
    <x v="0"/>
    <x v="1"/>
    <x v="1"/>
    <x v="1"/>
    <x v="0"/>
    <x v="0"/>
    <x v="0"/>
    <x v="1"/>
  </r>
  <r>
    <n v="147"/>
    <n v="50"/>
    <x v="1"/>
    <n v="177"/>
    <n v="74"/>
    <x v="147"/>
    <x v="1"/>
    <s v="133/95"/>
    <x v="1"/>
    <x v="1"/>
    <x v="1"/>
    <x v="2"/>
    <x v="1"/>
    <x v="0"/>
    <x v="0"/>
    <x v="1"/>
    <x v="0"/>
  </r>
  <r>
    <n v="148"/>
    <n v="76"/>
    <x v="1"/>
    <n v="175"/>
    <n v="69"/>
    <x v="148"/>
    <x v="0"/>
    <s v="154/97"/>
    <x v="2"/>
    <x v="0"/>
    <x v="0"/>
    <x v="3"/>
    <x v="0"/>
    <x v="1"/>
    <x v="1"/>
    <x v="1"/>
    <x v="2"/>
  </r>
  <r>
    <n v="150"/>
    <n v="59"/>
    <x v="1"/>
    <n v="170"/>
    <n v="71"/>
    <x v="149"/>
    <x v="0"/>
    <s v="153/105"/>
    <x v="1"/>
    <x v="1"/>
    <x v="1"/>
    <x v="3"/>
    <x v="1"/>
    <x v="0"/>
    <x v="0"/>
    <x v="0"/>
    <x v="1"/>
  </r>
  <r>
    <n v="152"/>
    <n v="75"/>
    <x v="1"/>
    <n v="183"/>
    <n v="82"/>
    <x v="150"/>
    <x v="0"/>
    <s v="126/73"/>
    <x v="0"/>
    <x v="1"/>
    <x v="0"/>
    <x v="0"/>
    <x v="0"/>
    <x v="0"/>
    <x v="1"/>
    <x v="1"/>
    <x v="2"/>
  </r>
  <r>
    <n v="493"/>
    <n v="75"/>
    <x v="1"/>
    <n v="162"/>
    <n v="96"/>
    <x v="151"/>
    <x v="1"/>
    <s v="125/106"/>
    <x v="1"/>
    <x v="1"/>
    <x v="2"/>
    <x v="0"/>
    <x v="1"/>
    <x v="0"/>
    <x v="0"/>
    <x v="1"/>
    <x v="1"/>
  </r>
  <r>
    <n v="154"/>
    <n v="45"/>
    <x v="1"/>
    <n v="160"/>
    <n v="64"/>
    <x v="152"/>
    <x v="2"/>
    <s v="113/79"/>
    <x v="1"/>
    <x v="0"/>
    <x v="1"/>
    <x v="3"/>
    <x v="1"/>
    <x v="1"/>
    <x v="1"/>
    <x v="0"/>
    <x v="0"/>
  </r>
  <r>
    <n v="549"/>
    <n v="75"/>
    <x v="0"/>
    <n v="187"/>
    <n v="81"/>
    <x v="153"/>
    <x v="0"/>
    <s v="117/83"/>
    <x v="2"/>
    <x v="0"/>
    <x v="2"/>
    <x v="1"/>
    <x v="0"/>
    <x v="1"/>
    <x v="0"/>
    <x v="1"/>
    <x v="0"/>
  </r>
  <r>
    <n v="155"/>
    <n v="24"/>
    <x v="0"/>
    <n v="172"/>
    <n v="95"/>
    <x v="154"/>
    <x v="2"/>
    <s v="134/100"/>
    <x v="0"/>
    <x v="1"/>
    <x v="1"/>
    <x v="3"/>
    <x v="1"/>
    <x v="1"/>
    <x v="0"/>
    <x v="1"/>
    <x v="1"/>
  </r>
  <r>
    <n v="554"/>
    <n v="75"/>
    <x v="1"/>
    <n v="164"/>
    <n v="69"/>
    <x v="155"/>
    <x v="1"/>
    <s v="151/70"/>
    <x v="0"/>
    <x v="1"/>
    <x v="2"/>
    <x v="2"/>
    <x v="0"/>
    <x v="1"/>
    <x v="0"/>
    <x v="1"/>
    <x v="1"/>
  </r>
  <r>
    <n v="595"/>
    <n v="75"/>
    <x v="0"/>
    <n v="157"/>
    <n v="60"/>
    <x v="156"/>
    <x v="0"/>
    <s v="127/96"/>
    <x v="1"/>
    <x v="1"/>
    <x v="2"/>
    <x v="3"/>
    <x v="1"/>
    <x v="0"/>
    <x v="1"/>
    <x v="0"/>
    <x v="1"/>
  </r>
  <r>
    <n v="607"/>
    <n v="75"/>
    <x v="0"/>
    <n v="164"/>
    <n v="77"/>
    <x v="157"/>
    <x v="0"/>
    <s v="153/73"/>
    <x v="0"/>
    <x v="1"/>
    <x v="2"/>
    <x v="2"/>
    <x v="0"/>
    <x v="1"/>
    <x v="0"/>
    <x v="0"/>
    <x v="2"/>
  </r>
  <r>
    <n v="160"/>
    <n v="50"/>
    <x v="0"/>
    <n v="179"/>
    <n v="73"/>
    <x v="158"/>
    <x v="1"/>
    <s v="134/87"/>
    <x v="2"/>
    <x v="1"/>
    <x v="1"/>
    <x v="1"/>
    <x v="0"/>
    <x v="0"/>
    <x v="1"/>
    <x v="0"/>
    <x v="2"/>
  </r>
  <r>
    <n v="166"/>
    <n v="54"/>
    <x v="0"/>
    <n v="165"/>
    <n v="93"/>
    <x v="159"/>
    <x v="2"/>
    <s v="156/95"/>
    <x v="2"/>
    <x v="1"/>
    <x v="1"/>
    <x v="2"/>
    <x v="1"/>
    <x v="0"/>
    <x v="1"/>
    <x v="1"/>
    <x v="2"/>
  </r>
  <r>
    <n v="669"/>
    <n v="75"/>
    <x v="1"/>
    <n v="166"/>
    <n v="61"/>
    <x v="160"/>
    <x v="0"/>
    <s v="116/81"/>
    <x v="1"/>
    <x v="1"/>
    <x v="2"/>
    <x v="0"/>
    <x v="0"/>
    <x v="0"/>
    <x v="0"/>
    <x v="1"/>
    <x v="0"/>
  </r>
  <r>
    <n v="170"/>
    <n v="39"/>
    <x v="1"/>
    <n v="189"/>
    <n v="76"/>
    <x v="161"/>
    <x v="1"/>
    <s v="139/74"/>
    <x v="1"/>
    <x v="1"/>
    <x v="1"/>
    <x v="1"/>
    <x v="0"/>
    <x v="1"/>
    <x v="0"/>
    <x v="0"/>
    <x v="2"/>
  </r>
  <r>
    <n v="731"/>
    <n v="75"/>
    <x v="0"/>
    <n v="178"/>
    <n v="63"/>
    <x v="162"/>
    <x v="1"/>
    <s v="133/100"/>
    <x v="2"/>
    <x v="1"/>
    <x v="2"/>
    <x v="2"/>
    <x v="1"/>
    <x v="0"/>
    <x v="0"/>
    <x v="0"/>
    <x v="0"/>
  </r>
  <r>
    <n v="171"/>
    <n v="44"/>
    <x v="0"/>
    <n v="177"/>
    <n v="67"/>
    <x v="163"/>
    <x v="1"/>
    <s v="140/76"/>
    <x v="1"/>
    <x v="0"/>
    <x v="1"/>
    <x v="1"/>
    <x v="1"/>
    <x v="0"/>
    <x v="1"/>
    <x v="0"/>
    <x v="0"/>
  </r>
  <r>
    <n v="815"/>
    <n v="75"/>
    <x v="0"/>
    <n v="161"/>
    <n v="52"/>
    <x v="164"/>
    <x v="1"/>
    <s v="145/103"/>
    <x v="2"/>
    <x v="1"/>
    <x v="2"/>
    <x v="0"/>
    <x v="1"/>
    <x v="1"/>
    <x v="0"/>
    <x v="1"/>
    <x v="1"/>
  </r>
  <r>
    <n v="819"/>
    <n v="75"/>
    <x v="1"/>
    <n v="185"/>
    <n v="93"/>
    <x v="165"/>
    <x v="0"/>
    <s v="131/74"/>
    <x v="2"/>
    <x v="1"/>
    <x v="2"/>
    <x v="2"/>
    <x v="0"/>
    <x v="1"/>
    <x v="0"/>
    <x v="0"/>
    <x v="0"/>
  </r>
  <r>
    <n v="831"/>
    <n v="75"/>
    <x v="1"/>
    <n v="179"/>
    <n v="92"/>
    <x v="166"/>
    <x v="0"/>
    <s v="128/103"/>
    <x v="1"/>
    <x v="0"/>
    <x v="2"/>
    <x v="0"/>
    <x v="1"/>
    <x v="1"/>
    <x v="0"/>
    <x v="0"/>
    <x v="2"/>
  </r>
  <r>
    <n v="172"/>
    <n v="52"/>
    <x v="0"/>
    <n v="188"/>
    <n v="70"/>
    <x v="167"/>
    <x v="0"/>
    <s v="128/100"/>
    <x v="0"/>
    <x v="1"/>
    <x v="1"/>
    <x v="1"/>
    <x v="1"/>
    <x v="1"/>
    <x v="1"/>
    <x v="0"/>
    <x v="2"/>
  </r>
  <r>
    <n v="175"/>
    <n v="54"/>
    <x v="1"/>
    <n v="169"/>
    <n v="71"/>
    <x v="168"/>
    <x v="1"/>
    <s v="157/109"/>
    <x v="2"/>
    <x v="1"/>
    <x v="1"/>
    <x v="0"/>
    <x v="1"/>
    <x v="0"/>
    <x v="0"/>
    <x v="0"/>
    <x v="1"/>
  </r>
  <r>
    <n v="176"/>
    <n v="64"/>
    <x v="1"/>
    <n v="150"/>
    <n v="89"/>
    <x v="169"/>
    <x v="1"/>
    <s v="115/107"/>
    <x v="2"/>
    <x v="1"/>
    <x v="1"/>
    <x v="2"/>
    <x v="1"/>
    <x v="0"/>
    <x v="0"/>
    <x v="0"/>
    <x v="2"/>
  </r>
  <r>
    <n v="950"/>
    <n v="75"/>
    <x v="1"/>
    <n v="178"/>
    <n v="97"/>
    <x v="170"/>
    <x v="1"/>
    <s v="159/90"/>
    <x v="0"/>
    <x v="0"/>
    <x v="2"/>
    <x v="1"/>
    <x v="1"/>
    <x v="1"/>
    <x v="1"/>
    <x v="1"/>
    <x v="0"/>
  </r>
  <r>
    <n v="180"/>
    <n v="22"/>
    <x v="1"/>
    <n v="153"/>
    <n v="99"/>
    <x v="171"/>
    <x v="0"/>
    <s v="116/96"/>
    <x v="0"/>
    <x v="0"/>
    <x v="1"/>
    <x v="1"/>
    <x v="0"/>
    <x v="1"/>
    <x v="0"/>
    <x v="1"/>
    <x v="0"/>
  </r>
  <r>
    <n v="183"/>
    <n v="31"/>
    <x v="0"/>
    <n v="164"/>
    <n v="98"/>
    <x v="172"/>
    <x v="1"/>
    <s v="120/95"/>
    <x v="1"/>
    <x v="0"/>
    <x v="1"/>
    <x v="2"/>
    <x v="0"/>
    <x v="0"/>
    <x v="1"/>
    <x v="1"/>
    <x v="0"/>
  </r>
  <r>
    <n v="1153"/>
    <n v="75"/>
    <x v="1"/>
    <n v="164"/>
    <n v="85"/>
    <x v="173"/>
    <x v="0"/>
    <s v="133/82"/>
    <x v="0"/>
    <x v="0"/>
    <x v="2"/>
    <x v="1"/>
    <x v="1"/>
    <x v="0"/>
    <x v="0"/>
    <x v="1"/>
    <x v="2"/>
  </r>
  <r>
    <n v="1225"/>
    <n v="75"/>
    <x v="0"/>
    <n v="162"/>
    <n v="61"/>
    <x v="174"/>
    <x v="1"/>
    <s v="116/83"/>
    <x v="2"/>
    <x v="0"/>
    <x v="2"/>
    <x v="2"/>
    <x v="0"/>
    <x v="0"/>
    <x v="1"/>
    <x v="1"/>
    <x v="2"/>
  </r>
  <r>
    <n v="184"/>
    <n v="56"/>
    <x v="0"/>
    <n v="170"/>
    <n v="57"/>
    <x v="175"/>
    <x v="2"/>
    <s v="131/97"/>
    <x v="1"/>
    <x v="0"/>
    <x v="1"/>
    <x v="3"/>
    <x v="0"/>
    <x v="1"/>
    <x v="1"/>
    <x v="0"/>
    <x v="0"/>
  </r>
  <r>
    <n v="185"/>
    <n v="44"/>
    <x v="1"/>
    <n v="184"/>
    <n v="60"/>
    <x v="176"/>
    <x v="1"/>
    <s v="133/98"/>
    <x v="1"/>
    <x v="0"/>
    <x v="1"/>
    <x v="0"/>
    <x v="1"/>
    <x v="0"/>
    <x v="0"/>
    <x v="1"/>
    <x v="0"/>
  </r>
  <r>
    <n v="187"/>
    <n v="32"/>
    <x v="1"/>
    <n v="185"/>
    <n v="94"/>
    <x v="177"/>
    <x v="1"/>
    <s v="158/87"/>
    <x v="1"/>
    <x v="0"/>
    <x v="1"/>
    <x v="2"/>
    <x v="1"/>
    <x v="1"/>
    <x v="1"/>
    <x v="0"/>
    <x v="1"/>
  </r>
  <r>
    <n v="1820"/>
    <n v="75"/>
    <x v="0"/>
    <n v="169"/>
    <n v="56"/>
    <x v="178"/>
    <x v="0"/>
    <s v="155/99"/>
    <x v="1"/>
    <x v="0"/>
    <x v="2"/>
    <x v="3"/>
    <x v="0"/>
    <x v="1"/>
    <x v="0"/>
    <x v="0"/>
    <x v="1"/>
  </r>
  <r>
    <n v="1846"/>
    <n v="75"/>
    <x v="0"/>
    <n v="186"/>
    <n v="82"/>
    <x v="179"/>
    <x v="0"/>
    <s v="154/92"/>
    <x v="2"/>
    <x v="0"/>
    <x v="2"/>
    <x v="3"/>
    <x v="1"/>
    <x v="0"/>
    <x v="0"/>
    <x v="0"/>
    <x v="1"/>
  </r>
  <r>
    <n v="188"/>
    <n v="32"/>
    <x v="0"/>
    <n v="161"/>
    <n v="86"/>
    <x v="180"/>
    <x v="2"/>
    <s v="152/85"/>
    <x v="0"/>
    <x v="0"/>
    <x v="1"/>
    <x v="2"/>
    <x v="1"/>
    <x v="1"/>
    <x v="0"/>
    <x v="1"/>
    <x v="2"/>
  </r>
  <r>
    <n v="1968"/>
    <n v="75"/>
    <x v="1"/>
    <n v="176"/>
    <n v="81"/>
    <x v="181"/>
    <x v="1"/>
    <s v="113/83"/>
    <x v="2"/>
    <x v="1"/>
    <x v="2"/>
    <x v="3"/>
    <x v="1"/>
    <x v="1"/>
    <x v="0"/>
    <x v="0"/>
    <x v="0"/>
  </r>
  <r>
    <n v="191"/>
    <n v="77"/>
    <x v="0"/>
    <n v="158"/>
    <n v="78"/>
    <x v="182"/>
    <x v="1"/>
    <s v="118/100"/>
    <x v="1"/>
    <x v="1"/>
    <x v="0"/>
    <x v="1"/>
    <x v="1"/>
    <x v="1"/>
    <x v="0"/>
    <x v="1"/>
    <x v="0"/>
  </r>
  <r>
    <n v="112"/>
    <n v="74"/>
    <x v="1"/>
    <n v="153"/>
    <n v="69"/>
    <x v="183"/>
    <x v="0"/>
    <s v="153/91"/>
    <x v="2"/>
    <x v="0"/>
    <x v="2"/>
    <x v="2"/>
    <x v="1"/>
    <x v="1"/>
    <x v="0"/>
    <x v="1"/>
    <x v="1"/>
  </r>
  <r>
    <n v="221"/>
    <n v="74"/>
    <x v="0"/>
    <n v="168"/>
    <n v="86"/>
    <x v="184"/>
    <x v="2"/>
    <s v="159/86"/>
    <x v="1"/>
    <x v="0"/>
    <x v="2"/>
    <x v="1"/>
    <x v="1"/>
    <x v="0"/>
    <x v="1"/>
    <x v="1"/>
    <x v="1"/>
  </r>
  <r>
    <n v="240"/>
    <n v="74"/>
    <x v="0"/>
    <n v="184"/>
    <n v="62"/>
    <x v="185"/>
    <x v="2"/>
    <s v="155/105"/>
    <x v="0"/>
    <x v="0"/>
    <x v="2"/>
    <x v="2"/>
    <x v="1"/>
    <x v="0"/>
    <x v="1"/>
    <x v="0"/>
    <x v="0"/>
  </r>
  <r>
    <n v="243"/>
    <n v="74"/>
    <x v="1"/>
    <n v="153"/>
    <n v="66"/>
    <x v="186"/>
    <x v="0"/>
    <s v="152/73"/>
    <x v="0"/>
    <x v="0"/>
    <x v="2"/>
    <x v="1"/>
    <x v="1"/>
    <x v="0"/>
    <x v="1"/>
    <x v="1"/>
    <x v="1"/>
  </r>
  <r>
    <n v="193"/>
    <n v="68"/>
    <x v="1"/>
    <n v="162"/>
    <n v="58"/>
    <x v="187"/>
    <x v="1"/>
    <s v="123/94"/>
    <x v="1"/>
    <x v="1"/>
    <x v="1"/>
    <x v="3"/>
    <x v="1"/>
    <x v="0"/>
    <x v="1"/>
    <x v="1"/>
    <x v="1"/>
  </r>
  <r>
    <n v="196"/>
    <n v="66"/>
    <x v="1"/>
    <n v="182"/>
    <n v="50"/>
    <x v="188"/>
    <x v="0"/>
    <s v="157/76"/>
    <x v="1"/>
    <x v="1"/>
    <x v="1"/>
    <x v="1"/>
    <x v="0"/>
    <x v="1"/>
    <x v="1"/>
    <x v="1"/>
    <x v="0"/>
  </r>
  <r>
    <n v="528"/>
    <n v="74"/>
    <x v="0"/>
    <n v="185"/>
    <n v="79"/>
    <x v="189"/>
    <x v="2"/>
    <s v="118/82"/>
    <x v="2"/>
    <x v="1"/>
    <x v="2"/>
    <x v="3"/>
    <x v="1"/>
    <x v="1"/>
    <x v="0"/>
    <x v="1"/>
    <x v="1"/>
  </r>
  <r>
    <n v="635"/>
    <n v="74"/>
    <x v="0"/>
    <n v="168"/>
    <n v="65"/>
    <x v="190"/>
    <x v="0"/>
    <s v="111/84"/>
    <x v="0"/>
    <x v="1"/>
    <x v="2"/>
    <x v="1"/>
    <x v="0"/>
    <x v="0"/>
    <x v="0"/>
    <x v="0"/>
    <x v="2"/>
  </r>
  <r>
    <n v="197"/>
    <n v="69"/>
    <x v="0"/>
    <n v="155"/>
    <n v="89"/>
    <x v="191"/>
    <x v="2"/>
    <s v="145/93"/>
    <x v="0"/>
    <x v="1"/>
    <x v="1"/>
    <x v="3"/>
    <x v="0"/>
    <x v="1"/>
    <x v="0"/>
    <x v="0"/>
    <x v="1"/>
  </r>
  <r>
    <n v="810"/>
    <n v="74"/>
    <x v="0"/>
    <n v="184"/>
    <n v="55"/>
    <x v="192"/>
    <x v="2"/>
    <s v="132/90"/>
    <x v="1"/>
    <x v="0"/>
    <x v="2"/>
    <x v="3"/>
    <x v="0"/>
    <x v="1"/>
    <x v="0"/>
    <x v="1"/>
    <x v="2"/>
  </r>
  <r>
    <n v="198"/>
    <n v="78"/>
    <x v="1"/>
    <n v="176"/>
    <n v="79"/>
    <x v="193"/>
    <x v="2"/>
    <s v="136/106"/>
    <x v="1"/>
    <x v="1"/>
    <x v="0"/>
    <x v="3"/>
    <x v="0"/>
    <x v="1"/>
    <x v="0"/>
    <x v="0"/>
    <x v="0"/>
  </r>
  <r>
    <n v="922"/>
    <n v="74"/>
    <x v="1"/>
    <n v="179"/>
    <n v="79"/>
    <x v="194"/>
    <x v="1"/>
    <s v="121/104"/>
    <x v="1"/>
    <x v="1"/>
    <x v="2"/>
    <x v="0"/>
    <x v="0"/>
    <x v="0"/>
    <x v="1"/>
    <x v="0"/>
    <x v="1"/>
  </r>
  <r>
    <n v="200"/>
    <n v="21"/>
    <x v="0"/>
    <n v="176"/>
    <n v="77"/>
    <x v="195"/>
    <x v="0"/>
    <s v="136/108"/>
    <x v="1"/>
    <x v="1"/>
    <x v="1"/>
    <x v="0"/>
    <x v="1"/>
    <x v="1"/>
    <x v="1"/>
    <x v="0"/>
    <x v="1"/>
  </r>
  <r>
    <n v="203"/>
    <n v="40"/>
    <x v="0"/>
    <n v="163"/>
    <n v="88"/>
    <x v="196"/>
    <x v="1"/>
    <s v="138/70"/>
    <x v="0"/>
    <x v="0"/>
    <x v="1"/>
    <x v="2"/>
    <x v="0"/>
    <x v="0"/>
    <x v="0"/>
    <x v="1"/>
    <x v="2"/>
  </r>
  <r>
    <n v="1096"/>
    <n v="74"/>
    <x v="0"/>
    <n v="186"/>
    <n v="77"/>
    <x v="197"/>
    <x v="2"/>
    <s v="151/85"/>
    <x v="0"/>
    <x v="1"/>
    <x v="2"/>
    <x v="0"/>
    <x v="1"/>
    <x v="1"/>
    <x v="0"/>
    <x v="1"/>
    <x v="0"/>
  </r>
  <r>
    <n v="206"/>
    <n v="32"/>
    <x v="1"/>
    <n v="184"/>
    <n v="57"/>
    <x v="198"/>
    <x v="0"/>
    <s v="126/105"/>
    <x v="0"/>
    <x v="1"/>
    <x v="1"/>
    <x v="1"/>
    <x v="0"/>
    <x v="0"/>
    <x v="1"/>
    <x v="0"/>
    <x v="2"/>
  </r>
  <r>
    <n v="209"/>
    <n v="53"/>
    <x v="1"/>
    <n v="163"/>
    <n v="58"/>
    <x v="199"/>
    <x v="0"/>
    <s v="122/78"/>
    <x v="0"/>
    <x v="1"/>
    <x v="1"/>
    <x v="1"/>
    <x v="1"/>
    <x v="0"/>
    <x v="1"/>
    <x v="0"/>
    <x v="1"/>
  </r>
  <r>
    <n v="210"/>
    <n v="30"/>
    <x v="0"/>
    <n v="169"/>
    <n v="88"/>
    <x v="200"/>
    <x v="2"/>
    <s v="120/80"/>
    <x v="2"/>
    <x v="0"/>
    <x v="1"/>
    <x v="2"/>
    <x v="1"/>
    <x v="0"/>
    <x v="0"/>
    <x v="1"/>
    <x v="0"/>
  </r>
  <r>
    <n v="215"/>
    <n v="39"/>
    <x v="1"/>
    <n v="175"/>
    <n v="80"/>
    <x v="201"/>
    <x v="1"/>
    <s v="156/96"/>
    <x v="1"/>
    <x v="0"/>
    <x v="1"/>
    <x v="3"/>
    <x v="1"/>
    <x v="1"/>
    <x v="1"/>
    <x v="0"/>
    <x v="0"/>
  </r>
  <r>
    <n v="220"/>
    <n v="79"/>
    <x v="0"/>
    <n v="152"/>
    <n v="89"/>
    <x v="202"/>
    <x v="2"/>
    <s v="151/79"/>
    <x v="1"/>
    <x v="1"/>
    <x v="0"/>
    <x v="1"/>
    <x v="0"/>
    <x v="1"/>
    <x v="1"/>
    <x v="0"/>
    <x v="2"/>
  </r>
  <r>
    <n v="1321"/>
    <n v="74"/>
    <x v="1"/>
    <n v="187"/>
    <n v="52"/>
    <x v="203"/>
    <x v="0"/>
    <s v="140/82"/>
    <x v="0"/>
    <x v="1"/>
    <x v="2"/>
    <x v="2"/>
    <x v="1"/>
    <x v="0"/>
    <x v="0"/>
    <x v="1"/>
    <x v="2"/>
  </r>
  <r>
    <n v="1467"/>
    <n v="74"/>
    <x v="0"/>
    <n v="163"/>
    <n v="68"/>
    <x v="204"/>
    <x v="0"/>
    <s v="131/73"/>
    <x v="0"/>
    <x v="0"/>
    <x v="2"/>
    <x v="2"/>
    <x v="1"/>
    <x v="1"/>
    <x v="1"/>
    <x v="0"/>
    <x v="2"/>
  </r>
  <r>
    <n v="222"/>
    <n v="70"/>
    <x v="1"/>
    <n v="158"/>
    <n v="96"/>
    <x v="205"/>
    <x v="0"/>
    <s v="139/90"/>
    <x v="1"/>
    <x v="1"/>
    <x v="0"/>
    <x v="2"/>
    <x v="1"/>
    <x v="1"/>
    <x v="0"/>
    <x v="0"/>
    <x v="0"/>
  </r>
  <r>
    <n v="1585"/>
    <n v="74"/>
    <x v="0"/>
    <n v="177"/>
    <n v="81"/>
    <x v="206"/>
    <x v="0"/>
    <s v="124/72"/>
    <x v="1"/>
    <x v="1"/>
    <x v="2"/>
    <x v="1"/>
    <x v="0"/>
    <x v="1"/>
    <x v="1"/>
    <x v="1"/>
    <x v="0"/>
  </r>
  <r>
    <n v="223"/>
    <n v="23"/>
    <x v="1"/>
    <n v="177"/>
    <n v="50"/>
    <x v="207"/>
    <x v="1"/>
    <s v="122/70"/>
    <x v="1"/>
    <x v="0"/>
    <x v="1"/>
    <x v="0"/>
    <x v="0"/>
    <x v="0"/>
    <x v="1"/>
    <x v="1"/>
    <x v="1"/>
  </r>
  <r>
    <n v="1705"/>
    <n v="74"/>
    <x v="1"/>
    <n v="152"/>
    <n v="53"/>
    <x v="208"/>
    <x v="1"/>
    <s v="152/80"/>
    <x v="0"/>
    <x v="1"/>
    <x v="2"/>
    <x v="3"/>
    <x v="0"/>
    <x v="0"/>
    <x v="0"/>
    <x v="1"/>
    <x v="2"/>
  </r>
  <r>
    <n v="1828"/>
    <n v="74"/>
    <x v="0"/>
    <n v="152"/>
    <n v="94"/>
    <x v="209"/>
    <x v="0"/>
    <s v="148/77"/>
    <x v="0"/>
    <x v="1"/>
    <x v="2"/>
    <x v="3"/>
    <x v="1"/>
    <x v="1"/>
    <x v="0"/>
    <x v="0"/>
    <x v="1"/>
  </r>
  <r>
    <n v="1836"/>
    <n v="74"/>
    <x v="0"/>
    <n v="157"/>
    <n v="65"/>
    <x v="210"/>
    <x v="0"/>
    <s v="156/82"/>
    <x v="1"/>
    <x v="1"/>
    <x v="2"/>
    <x v="3"/>
    <x v="0"/>
    <x v="0"/>
    <x v="1"/>
    <x v="1"/>
    <x v="2"/>
  </r>
  <r>
    <n v="1929"/>
    <n v="74"/>
    <x v="1"/>
    <n v="152"/>
    <n v="59"/>
    <x v="211"/>
    <x v="2"/>
    <s v="122/76"/>
    <x v="2"/>
    <x v="1"/>
    <x v="2"/>
    <x v="2"/>
    <x v="1"/>
    <x v="0"/>
    <x v="0"/>
    <x v="1"/>
    <x v="1"/>
  </r>
  <r>
    <n v="281"/>
    <n v="73"/>
    <x v="1"/>
    <n v="189"/>
    <n v="93"/>
    <x v="212"/>
    <x v="2"/>
    <s v="152/106"/>
    <x v="1"/>
    <x v="0"/>
    <x v="2"/>
    <x v="2"/>
    <x v="0"/>
    <x v="1"/>
    <x v="1"/>
    <x v="1"/>
    <x v="2"/>
  </r>
  <r>
    <n v="307"/>
    <n v="73"/>
    <x v="1"/>
    <n v="166"/>
    <n v="62"/>
    <x v="213"/>
    <x v="1"/>
    <s v="159/86"/>
    <x v="0"/>
    <x v="0"/>
    <x v="2"/>
    <x v="1"/>
    <x v="0"/>
    <x v="1"/>
    <x v="1"/>
    <x v="0"/>
    <x v="0"/>
  </r>
  <r>
    <n v="224"/>
    <n v="45"/>
    <x v="0"/>
    <n v="169"/>
    <n v="50"/>
    <x v="214"/>
    <x v="2"/>
    <s v="110/102"/>
    <x v="0"/>
    <x v="0"/>
    <x v="1"/>
    <x v="1"/>
    <x v="0"/>
    <x v="1"/>
    <x v="0"/>
    <x v="1"/>
    <x v="2"/>
  </r>
  <r>
    <n v="225"/>
    <n v="45"/>
    <x v="1"/>
    <n v="156"/>
    <n v="91"/>
    <x v="215"/>
    <x v="1"/>
    <s v="147/94"/>
    <x v="2"/>
    <x v="1"/>
    <x v="1"/>
    <x v="3"/>
    <x v="1"/>
    <x v="1"/>
    <x v="1"/>
    <x v="0"/>
    <x v="1"/>
  </r>
  <r>
    <n v="226"/>
    <n v="61"/>
    <x v="1"/>
    <n v="163"/>
    <n v="91"/>
    <x v="216"/>
    <x v="2"/>
    <s v="135/82"/>
    <x v="0"/>
    <x v="0"/>
    <x v="1"/>
    <x v="0"/>
    <x v="0"/>
    <x v="1"/>
    <x v="0"/>
    <x v="0"/>
    <x v="0"/>
  </r>
  <r>
    <n v="228"/>
    <n v="37"/>
    <x v="0"/>
    <n v="168"/>
    <n v="64"/>
    <x v="217"/>
    <x v="2"/>
    <s v="146/99"/>
    <x v="1"/>
    <x v="0"/>
    <x v="1"/>
    <x v="3"/>
    <x v="0"/>
    <x v="0"/>
    <x v="1"/>
    <x v="1"/>
    <x v="0"/>
  </r>
  <r>
    <n v="737"/>
    <n v="73"/>
    <x v="0"/>
    <n v="170"/>
    <n v="65"/>
    <x v="218"/>
    <x v="1"/>
    <s v="111/75"/>
    <x v="1"/>
    <x v="0"/>
    <x v="2"/>
    <x v="0"/>
    <x v="1"/>
    <x v="1"/>
    <x v="1"/>
    <x v="1"/>
    <x v="0"/>
  </r>
  <r>
    <n v="899"/>
    <n v="73"/>
    <x v="0"/>
    <n v="180"/>
    <n v="81"/>
    <x v="219"/>
    <x v="1"/>
    <s v="153/88"/>
    <x v="0"/>
    <x v="0"/>
    <x v="2"/>
    <x v="2"/>
    <x v="0"/>
    <x v="1"/>
    <x v="0"/>
    <x v="1"/>
    <x v="2"/>
  </r>
  <r>
    <n v="986"/>
    <n v="73"/>
    <x v="0"/>
    <n v="176"/>
    <n v="53"/>
    <x v="220"/>
    <x v="0"/>
    <s v="154/75"/>
    <x v="0"/>
    <x v="1"/>
    <x v="2"/>
    <x v="3"/>
    <x v="1"/>
    <x v="1"/>
    <x v="1"/>
    <x v="1"/>
    <x v="0"/>
  </r>
  <r>
    <n v="993"/>
    <n v="73"/>
    <x v="1"/>
    <n v="176"/>
    <n v="97"/>
    <x v="221"/>
    <x v="1"/>
    <s v="151/95"/>
    <x v="0"/>
    <x v="0"/>
    <x v="2"/>
    <x v="0"/>
    <x v="0"/>
    <x v="1"/>
    <x v="0"/>
    <x v="0"/>
    <x v="1"/>
  </r>
  <r>
    <n v="229"/>
    <n v="47"/>
    <x v="0"/>
    <n v="163"/>
    <n v="66"/>
    <x v="222"/>
    <x v="2"/>
    <s v="158/77"/>
    <x v="2"/>
    <x v="0"/>
    <x v="1"/>
    <x v="1"/>
    <x v="0"/>
    <x v="1"/>
    <x v="0"/>
    <x v="0"/>
    <x v="2"/>
  </r>
  <r>
    <n v="1143"/>
    <n v="73"/>
    <x v="1"/>
    <n v="155"/>
    <n v="74"/>
    <x v="223"/>
    <x v="0"/>
    <s v="138/94"/>
    <x v="0"/>
    <x v="1"/>
    <x v="2"/>
    <x v="3"/>
    <x v="1"/>
    <x v="1"/>
    <x v="0"/>
    <x v="0"/>
    <x v="2"/>
  </r>
  <r>
    <n v="230"/>
    <n v="79"/>
    <x v="0"/>
    <n v="187"/>
    <n v="71"/>
    <x v="224"/>
    <x v="2"/>
    <s v="158/70"/>
    <x v="1"/>
    <x v="0"/>
    <x v="0"/>
    <x v="2"/>
    <x v="0"/>
    <x v="1"/>
    <x v="0"/>
    <x v="1"/>
    <x v="2"/>
  </r>
  <r>
    <n v="1200"/>
    <n v="73"/>
    <x v="1"/>
    <n v="167"/>
    <n v="94"/>
    <x v="225"/>
    <x v="0"/>
    <s v="131/107"/>
    <x v="1"/>
    <x v="1"/>
    <x v="2"/>
    <x v="1"/>
    <x v="0"/>
    <x v="0"/>
    <x v="1"/>
    <x v="0"/>
    <x v="1"/>
  </r>
  <r>
    <n v="232"/>
    <n v="75"/>
    <x v="0"/>
    <n v="189"/>
    <n v="84"/>
    <x v="226"/>
    <x v="0"/>
    <s v="133/75"/>
    <x v="2"/>
    <x v="1"/>
    <x v="0"/>
    <x v="3"/>
    <x v="1"/>
    <x v="1"/>
    <x v="1"/>
    <x v="0"/>
    <x v="2"/>
  </r>
  <r>
    <n v="234"/>
    <n v="45"/>
    <x v="0"/>
    <n v="179"/>
    <n v="65"/>
    <x v="227"/>
    <x v="0"/>
    <s v="134/70"/>
    <x v="1"/>
    <x v="1"/>
    <x v="1"/>
    <x v="3"/>
    <x v="0"/>
    <x v="0"/>
    <x v="0"/>
    <x v="1"/>
    <x v="0"/>
  </r>
  <r>
    <n v="1317"/>
    <n v="73"/>
    <x v="1"/>
    <n v="158"/>
    <n v="60"/>
    <x v="228"/>
    <x v="0"/>
    <s v="144/82"/>
    <x v="2"/>
    <x v="1"/>
    <x v="2"/>
    <x v="1"/>
    <x v="1"/>
    <x v="0"/>
    <x v="1"/>
    <x v="1"/>
    <x v="2"/>
  </r>
  <r>
    <n v="235"/>
    <n v="42"/>
    <x v="0"/>
    <n v="158"/>
    <n v="57"/>
    <x v="229"/>
    <x v="0"/>
    <s v="141/72"/>
    <x v="0"/>
    <x v="0"/>
    <x v="1"/>
    <x v="0"/>
    <x v="1"/>
    <x v="0"/>
    <x v="0"/>
    <x v="1"/>
    <x v="1"/>
  </r>
  <r>
    <n v="239"/>
    <n v="18"/>
    <x v="1"/>
    <n v="160"/>
    <n v="75"/>
    <x v="230"/>
    <x v="0"/>
    <s v="118/86"/>
    <x v="0"/>
    <x v="0"/>
    <x v="1"/>
    <x v="1"/>
    <x v="1"/>
    <x v="1"/>
    <x v="1"/>
    <x v="0"/>
    <x v="0"/>
  </r>
  <r>
    <n v="1492"/>
    <n v="73"/>
    <x v="1"/>
    <n v="150"/>
    <n v="74"/>
    <x v="231"/>
    <x v="1"/>
    <s v="155/79"/>
    <x v="0"/>
    <x v="1"/>
    <x v="2"/>
    <x v="0"/>
    <x v="0"/>
    <x v="1"/>
    <x v="0"/>
    <x v="0"/>
    <x v="1"/>
  </r>
  <r>
    <n v="245"/>
    <n v="30"/>
    <x v="0"/>
    <n v="177"/>
    <n v="63"/>
    <x v="232"/>
    <x v="0"/>
    <s v="155/84"/>
    <x v="0"/>
    <x v="0"/>
    <x v="1"/>
    <x v="0"/>
    <x v="1"/>
    <x v="0"/>
    <x v="0"/>
    <x v="1"/>
    <x v="0"/>
  </r>
  <r>
    <n v="1645"/>
    <n v="73"/>
    <x v="1"/>
    <n v="169"/>
    <n v="58"/>
    <x v="233"/>
    <x v="1"/>
    <s v="145/101"/>
    <x v="0"/>
    <x v="1"/>
    <x v="2"/>
    <x v="1"/>
    <x v="0"/>
    <x v="1"/>
    <x v="0"/>
    <x v="1"/>
    <x v="0"/>
  </r>
  <r>
    <n v="1720"/>
    <n v="73"/>
    <x v="1"/>
    <n v="172"/>
    <n v="73"/>
    <x v="234"/>
    <x v="2"/>
    <s v="126/102"/>
    <x v="1"/>
    <x v="0"/>
    <x v="2"/>
    <x v="2"/>
    <x v="0"/>
    <x v="1"/>
    <x v="0"/>
    <x v="0"/>
    <x v="2"/>
  </r>
  <r>
    <n v="1778"/>
    <n v="73"/>
    <x v="1"/>
    <n v="151"/>
    <n v="59"/>
    <x v="235"/>
    <x v="0"/>
    <s v="145/101"/>
    <x v="1"/>
    <x v="0"/>
    <x v="2"/>
    <x v="2"/>
    <x v="0"/>
    <x v="1"/>
    <x v="0"/>
    <x v="1"/>
    <x v="0"/>
  </r>
  <r>
    <n v="1877"/>
    <n v="73"/>
    <x v="1"/>
    <n v="167"/>
    <n v="90"/>
    <x v="236"/>
    <x v="1"/>
    <s v="131/90"/>
    <x v="1"/>
    <x v="1"/>
    <x v="2"/>
    <x v="3"/>
    <x v="0"/>
    <x v="1"/>
    <x v="1"/>
    <x v="1"/>
    <x v="0"/>
  </r>
  <r>
    <n v="52"/>
    <n v="72"/>
    <x v="1"/>
    <n v="177"/>
    <n v="51"/>
    <x v="237"/>
    <x v="2"/>
    <s v="139/106"/>
    <x v="0"/>
    <x v="1"/>
    <x v="2"/>
    <x v="1"/>
    <x v="1"/>
    <x v="1"/>
    <x v="1"/>
    <x v="0"/>
    <x v="0"/>
  </r>
  <r>
    <n v="162"/>
    <n v="72"/>
    <x v="1"/>
    <n v="176"/>
    <n v="55"/>
    <x v="238"/>
    <x v="1"/>
    <s v="112/73"/>
    <x v="1"/>
    <x v="1"/>
    <x v="2"/>
    <x v="1"/>
    <x v="0"/>
    <x v="1"/>
    <x v="0"/>
    <x v="0"/>
    <x v="2"/>
  </r>
  <r>
    <n v="182"/>
    <n v="72"/>
    <x v="0"/>
    <n v="187"/>
    <n v="74"/>
    <x v="239"/>
    <x v="0"/>
    <s v="155/82"/>
    <x v="0"/>
    <x v="1"/>
    <x v="2"/>
    <x v="3"/>
    <x v="1"/>
    <x v="0"/>
    <x v="0"/>
    <x v="1"/>
    <x v="0"/>
  </r>
  <r>
    <n v="233"/>
    <n v="72"/>
    <x v="0"/>
    <n v="166"/>
    <n v="94"/>
    <x v="240"/>
    <x v="2"/>
    <s v="134/70"/>
    <x v="0"/>
    <x v="0"/>
    <x v="2"/>
    <x v="1"/>
    <x v="0"/>
    <x v="1"/>
    <x v="1"/>
    <x v="1"/>
    <x v="1"/>
  </r>
  <r>
    <n v="303"/>
    <n v="72"/>
    <x v="1"/>
    <n v="155"/>
    <n v="50"/>
    <x v="241"/>
    <x v="1"/>
    <s v="137/85"/>
    <x v="2"/>
    <x v="0"/>
    <x v="2"/>
    <x v="1"/>
    <x v="1"/>
    <x v="0"/>
    <x v="1"/>
    <x v="0"/>
    <x v="0"/>
  </r>
  <r>
    <n v="305"/>
    <n v="72"/>
    <x v="1"/>
    <n v="174"/>
    <n v="81"/>
    <x v="242"/>
    <x v="0"/>
    <s v="135/75"/>
    <x v="1"/>
    <x v="0"/>
    <x v="2"/>
    <x v="3"/>
    <x v="0"/>
    <x v="0"/>
    <x v="1"/>
    <x v="1"/>
    <x v="1"/>
  </r>
  <r>
    <n v="247"/>
    <n v="20"/>
    <x v="0"/>
    <n v="151"/>
    <n v="55"/>
    <x v="243"/>
    <x v="1"/>
    <s v="120/89"/>
    <x v="1"/>
    <x v="0"/>
    <x v="1"/>
    <x v="0"/>
    <x v="0"/>
    <x v="0"/>
    <x v="1"/>
    <x v="1"/>
    <x v="0"/>
  </r>
  <r>
    <n v="250"/>
    <n v="25"/>
    <x v="0"/>
    <n v="178"/>
    <n v="63"/>
    <x v="244"/>
    <x v="0"/>
    <s v="143/70"/>
    <x v="0"/>
    <x v="1"/>
    <x v="1"/>
    <x v="1"/>
    <x v="1"/>
    <x v="1"/>
    <x v="1"/>
    <x v="0"/>
    <x v="2"/>
  </r>
  <r>
    <n v="518"/>
    <n v="72"/>
    <x v="1"/>
    <n v="173"/>
    <n v="74"/>
    <x v="245"/>
    <x v="2"/>
    <s v="142/89"/>
    <x v="1"/>
    <x v="0"/>
    <x v="2"/>
    <x v="1"/>
    <x v="1"/>
    <x v="1"/>
    <x v="1"/>
    <x v="0"/>
    <x v="2"/>
  </r>
  <r>
    <n v="581"/>
    <n v="72"/>
    <x v="1"/>
    <n v="178"/>
    <n v="59"/>
    <x v="246"/>
    <x v="0"/>
    <s v="122/90"/>
    <x v="2"/>
    <x v="0"/>
    <x v="2"/>
    <x v="2"/>
    <x v="1"/>
    <x v="1"/>
    <x v="1"/>
    <x v="1"/>
    <x v="0"/>
  </r>
  <r>
    <n v="596"/>
    <n v="72"/>
    <x v="1"/>
    <n v="175"/>
    <n v="70"/>
    <x v="247"/>
    <x v="0"/>
    <s v="144/95"/>
    <x v="2"/>
    <x v="1"/>
    <x v="2"/>
    <x v="2"/>
    <x v="1"/>
    <x v="1"/>
    <x v="1"/>
    <x v="0"/>
    <x v="1"/>
  </r>
  <r>
    <n v="251"/>
    <n v="44"/>
    <x v="0"/>
    <n v="179"/>
    <n v="96"/>
    <x v="248"/>
    <x v="2"/>
    <s v="133/93"/>
    <x v="1"/>
    <x v="1"/>
    <x v="1"/>
    <x v="2"/>
    <x v="0"/>
    <x v="1"/>
    <x v="0"/>
    <x v="0"/>
    <x v="1"/>
  </r>
  <r>
    <n v="681"/>
    <n v="72"/>
    <x v="1"/>
    <n v="164"/>
    <n v="73"/>
    <x v="249"/>
    <x v="1"/>
    <s v="138/75"/>
    <x v="2"/>
    <x v="1"/>
    <x v="2"/>
    <x v="1"/>
    <x v="0"/>
    <x v="1"/>
    <x v="1"/>
    <x v="0"/>
    <x v="2"/>
  </r>
  <r>
    <n v="764"/>
    <n v="72"/>
    <x v="0"/>
    <n v="162"/>
    <n v="77"/>
    <x v="250"/>
    <x v="0"/>
    <s v="122/97"/>
    <x v="1"/>
    <x v="1"/>
    <x v="2"/>
    <x v="1"/>
    <x v="0"/>
    <x v="1"/>
    <x v="1"/>
    <x v="0"/>
    <x v="1"/>
  </r>
  <r>
    <n v="252"/>
    <n v="26"/>
    <x v="0"/>
    <n v="161"/>
    <n v="57"/>
    <x v="251"/>
    <x v="1"/>
    <s v="118/91"/>
    <x v="1"/>
    <x v="0"/>
    <x v="1"/>
    <x v="0"/>
    <x v="1"/>
    <x v="0"/>
    <x v="1"/>
    <x v="0"/>
    <x v="0"/>
  </r>
  <r>
    <n v="253"/>
    <n v="79"/>
    <x v="1"/>
    <n v="184"/>
    <n v="64"/>
    <x v="252"/>
    <x v="2"/>
    <s v="121/86"/>
    <x v="2"/>
    <x v="0"/>
    <x v="0"/>
    <x v="3"/>
    <x v="0"/>
    <x v="1"/>
    <x v="0"/>
    <x v="0"/>
    <x v="1"/>
  </r>
  <r>
    <n v="255"/>
    <n v="50"/>
    <x v="1"/>
    <n v="170"/>
    <n v="62"/>
    <x v="253"/>
    <x v="2"/>
    <s v="124/99"/>
    <x v="1"/>
    <x v="1"/>
    <x v="1"/>
    <x v="0"/>
    <x v="0"/>
    <x v="1"/>
    <x v="1"/>
    <x v="1"/>
    <x v="2"/>
  </r>
  <r>
    <n v="259"/>
    <n v="41"/>
    <x v="0"/>
    <n v="186"/>
    <n v="55"/>
    <x v="254"/>
    <x v="1"/>
    <s v="155/100"/>
    <x v="2"/>
    <x v="0"/>
    <x v="1"/>
    <x v="3"/>
    <x v="1"/>
    <x v="0"/>
    <x v="0"/>
    <x v="0"/>
    <x v="2"/>
  </r>
  <r>
    <n v="1231"/>
    <n v="72"/>
    <x v="0"/>
    <n v="172"/>
    <n v="98"/>
    <x v="255"/>
    <x v="2"/>
    <s v="155/84"/>
    <x v="2"/>
    <x v="0"/>
    <x v="2"/>
    <x v="2"/>
    <x v="0"/>
    <x v="0"/>
    <x v="0"/>
    <x v="1"/>
    <x v="1"/>
  </r>
  <r>
    <n v="260"/>
    <n v="32"/>
    <x v="0"/>
    <n v="152"/>
    <n v="54"/>
    <x v="256"/>
    <x v="1"/>
    <s v="141/101"/>
    <x v="2"/>
    <x v="0"/>
    <x v="1"/>
    <x v="3"/>
    <x v="1"/>
    <x v="0"/>
    <x v="0"/>
    <x v="0"/>
    <x v="2"/>
  </r>
  <r>
    <n v="261"/>
    <n v="76"/>
    <x v="1"/>
    <n v="182"/>
    <n v="71"/>
    <x v="257"/>
    <x v="1"/>
    <s v="150/104"/>
    <x v="2"/>
    <x v="1"/>
    <x v="0"/>
    <x v="3"/>
    <x v="1"/>
    <x v="0"/>
    <x v="0"/>
    <x v="1"/>
    <x v="1"/>
  </r>
  <r>
    <n v="263"/>
    <n v="49"/>
    <x v="1"/>
    <n v="158"/>
    <n v="72"/>
    <x v="258"/>
    <x v="0"/>
    <s v="119/85"/>
    <x v="0"/>
    <x v="1"/>
    <x v="1"/>
    <x v="3"/>
    <x v="0"/>
    <x v="1"/>
    <x v="1"/>
    <x v="0"/>
    <x v="1"/>
  </r>
  <r>
    <n v="264"/>
    <n v="49"/>
    <x v="1"/>
    <n v="153"/>
    <n v="74"/>
    <x v="259"/>
    <x v="0"/>
    <s v="116/73"/>
    <x v="2"/>
    <x v="1"/>
    <x v="1"/>
    <x v="2"/>
    <x v="1"/>
    <x v="1"/>
    <x v="1"/>
    <x v="1"/>
    <x v="1"/>
  </r>
  <r>
    <n v="1439"/>
    <n v="72"/>
    <x v="0"/>
    <n v="172"/>
    <n v="94"/>
    <x v="260"/>
    <x v="2"/>
    <s v="149/84"/>
    <x v="2"/>
    <x v="1"/>
    <x v="2"/>
    <x v="3"/>
    <x v="1"/>
    <x v="1"/>
    <x v="0"/>
    <x v="1"/>
    <x v="1"/>
  </r>
  <r>
    <n v="1472"/>
    <n v="72"/>
    <x v="1"/>
    <n v="177"/>
    <n v="68"/>
    <x v="261"/>
    <x v="2"/>
    <s v="115/85"/>
    <x v="0"/>
    <x v="1"/>
    <x v="2"/>
    <x v="0"/>
    <x v="1"/>
    <x v="0"/>
    <x v="0"/>
    <x v="0"/>
    <x v="0"/>
  </r>
  <r>
    <n v="266"/>
    <n v="58"/>
    <x v="0"/>
    <n v="166"/>
    <n v="75"/>
    <x v="262"/>
    <x v="1"/>
    <s v="140/80"/>
    <x v="0"/>
    <x v="0"/>
    <x v="1"/>
    <x v="3"/>
    <x v="1"/>
    <x v="1"/>
    <x v="1"/>
    <x v="1"/>
    <x v="1"/>
  </r>
  <r>
    <n v="1676"/>
    <n v="72"/>
    <x v="0"/>
    <n v="169"/>
    <n v="72"/>
    <x v="263"/>
    <x v="0"/>
    <s v="140/92"/>
    <x v="2"/>
    <x v="1"/>
    <x v="2"/>
    <x v="3"/>
    <x v="1"/>
    <x v="1"/>
    <x v="0"/>
    <x v="0"/>
    <x v="2"/>
  </r>
  <r>
    <n v="1688"/>
    <n v="72"/>
    <x v="0"/>
    <n v="162"/>
    <n v="91"/>
    <x v="264"/>
    <x v="2"/>
    <s v="145/92"/>
    <x v="1"/>
    <x v="0"/>
    <x v="2"/>
    <x v="0"/>
    <x v="0"/>
    <x v="0"/>
    <x v="0"/>
    <x v="0"/>
    <x v="0"/>
  </r>
  <r>
    <n v="268"/>
    <n v="66"/>
    <x v="0"/>
    <n v="173"/>
    <n v="54"/>
    <x v="265"/>
    <x v="0"/>
    <s v="145/86"/>
    <x v="1"/>
    <x v="0"/>
    <x v="1"/>
    <x v="1"/>
    <x v="0"/>
    <x v="1"/>
    <x v="0"/>
    <x v="0"/>
    <x v="0"/>
  </r>
  <r>
    <n v="269"/>
    <n v="79"/>
    <x v="1"/>
    <n v="181"/>
    <n v="75"/>
    <x v="266"/>
    <x v="1"/>
    <s v="154/80"/>
    <x v="2"/>
    <x v="0"/>
    <x v="0"/>
    <x v="1"/>
    <x v="0"/>
    <x v="1"/>
    <x v="1"/>
    <x v="1"/>
    <x v="1"/>
  </r>
  <r>
    <n v="270"/>
    <n v="66"/>
    <x v="1"/>
    <n v="150"/>
    <n v="69"/>
    <x v="267"/>
    <x v="0"/>
    <s v="139/104"/>
    <x v="2"/>
    <x v="0"/>
    <x v="1"/>
    <x v="3"/>
    <x v="0"/>
    <x v="0"/>
    <x v="1"/>
    <x v="1"/>
    <x v="1"/>
  </r>
  <r>
    <n v="1871"/>
    <n v="72"/>
    <x v="0"/>
    <n v="180"/>
    <n v="82"/>
    <x v="268"/>
    <x v="0"/>
    <s v="151/96"/>
    <x v="2"/>
    <x v="0"/>
    <x v="2"/>
    <x v="0"/>
    <x v="0"/>
    <x v="1"/>
    <x v="1"/>
    <x v="1"/>
    <x v="1"/>
  </r>
  <r>
    <n v="271"/>
    <n v="75"/>
    <x v="0"/>
    <n v="157"/>
    <n v="55"/>
    <x v="269"/>
    <x v="1"/>
    <s v="150/107"/>
    <x v="0"/>
    <x v="1"/>
    <x v="0"/>
    <x v="1"/>
    <x v="1"/>
    <x v="1"/>
    <x v="1"/>
    <x v="0"/>
    <x v="0"/>
  </r>
  <r>
    <n v="272"/>
    <n v="69"/>
    <x v="1"/>
    <n v="172"/>
    <n v="55"/>
    <x v="270"/>
    <x v="2"/>
    <s v="131/96"/>
    <x v="2"/>
    <x v="1"/>
    <x v="1"/>
    <x v="0"/>
    <x v="0"/>
    <x v="0"/>
    <x v="1"/>
    <x v="1"/>
    <x v="1"/>
  </r>
  <r>
    <n v="274"/>
    <n v="79"/>
    <x v="0"/>
    <n v="161"/>
    <n v="67"/>
    <x v="271"/>
    <x v="1"/>
    <s v="113/85"/>
    <x v="2"/>
    <x v="1"/>
    <x v="0"/>
    <x v="1"/>
    <x v="0"/>
    <x v="0"/>
    <x v="0"/>
    <x v="1"/>
    <x v="2"/>
  </r>
  <r>
    <n v="262"/>
    <n v="71"/>
    <x v="1"/>
    <n v="158"/>
    <n v="98"/>
    <x v="272"/>
    <x v="2"/>
    <s v="155/90"/>
    <x v="1"/>
    <x v="1"/>
    <x v="2"/>
    <x v="1"/>
    <x v="0"/>
    <x v="0"/>
    <x v="1"/>
    <x v="0"/>
    <x v="0"/>
  </r>
  <r>
    <n v="275"/>
    <n v="56"/>
    <x v="0"/>
    <n v="161"/>
    <n v="53"/>
    <x v="273"/>
    <x v="1"/>
    <s v="125/90"/>
    <x v="2"/>
    <x v="1"/>
    <x v="1"/>
    <x v="2"/>
    <x v="1"/>
    <x v="1"/>
    <x v="0"/>
    <x v="0"/>
    <x v="2"/>
  </r>
  <r>
    <n v="385"/>
    <n v="71"/>
    <x v="0"/>
    <n v="163"/>
    <n v="66"/>
    <x v="274"/>
    <x v="2"/>
    <s v="154/95"/>
    <x v="1"/>
    <x v="1"/>
    <x v="2"/>
    <x v="3"/>
    <x v="0"/>
    <x v="0"/>
    <x v="1"/>
    <x v="1"/>
    <x v="0"/>
  </r>
  <r>
    <n v="276"/>
    <n v="19"/>
    <x v="0"/>
    <n v="164"/>
    <n v="66"/>
    <x v="275"/>
    <x v="1"/>
    <s v="135/105"/>
    <x v="2"/>
    <x v="1"/>
    <x v="1"/>
    <x v="3"/>
    <x v="0"/>
    <x v="1"/>
    <x v="1"/>
    <x v="1"/>
    <x v="1"/>
  </r>
  <r>
    <n v="441"/>
    <n v="71"/>
    <x v="1"/>
    <n v="153"/>
    <n v="70"/>
    <x v="276"/>
    <x v="0"/>
    <s v="150/74"/>
    <x v="2"/>
    <x v="0"/>
    <x v="2"/>
    <x v="1"/>
    <x v="1"/>
    <x v="0"/>
    <x v="1"/>
    <x v="0"/>
    <x v="1"/>
  </r>
  <r>
    <n v="492"/>
    <n v="71"/>
    <x v="1"/>
    <n v="186"/>
    <n v="78"/>
    <x v="277"/>
    <x v="1"/>
    <s v="111/79"/>
    <x v="2"/>
    <x v="0"/>
    <x v="2"/>
    <x v="2"/>
    <x v="0"/>
    <x v="0"/>
    <x v="1"/>
    <x v="1"/>
    <x v="2"/>
  </r>
  <r>
    <n v="277"/>
    <n v="20"/>
    <x v="1"/>
    <n v="168"/>
    <n v="63"/>
    <x v="278"/>
    <x v="2"/>
    <s v="128/86"/>
    <x v="1"/>
    <x v="1"/>
    <x v="1"/>
    <x v="3"/>
    <x v="1"/>
    <x v="0"/>
    <x v="1"/>
    <x v="1"/>
    <x v="2"/>
  </r>
  <r>
    <n v="278"/>
    <n v="66"/>
    <x v="0"/>
    <n v="175"/>
    <n v="63"/>
    <x v="279"/>
    <x v="1"/>
    <s v="154/95"/>
    <x v="0"/>
    <x v="1"/>
    <x v="1"/>
    <x v="2"/>
    <x v="1"/>
    <x v="1"/>
    <x v="1"/>
    <x v="1"/>
    <x v="2"/>
  </r>
  <r>
    <n v="614"/>
    <n v="71"/>
    <x v="1"/>
    <n v="150"/>
    <n v="51"/>
    <x v="280"/>
    <x v="2"/>
    <s v="123/104"/>
    <x v="2"/>
    <x v="1"/>
    <x v="2"/>
    <x v="0"/>
    <x v="1"/>
    <x v="1"/>
    <x v="1"/>
    <x v="0"/>
    <x v="2"/>
  </r>
  <r>
    <n v="279"/>
    <n v="54"/>
    <x v="1"/>
    <n v="178"/>
    <n v="62"/>
    <x v="281"/>
    <x v="1"/>
    <s v="131/97"/>
    <x v="0"/>
    <x v="0"/>
    <x v="1"/>
    <x v="2"/>
    <x v="0"/>
    <x v="0"/>
    <x v="0"/>
    <x v="0"/>
    <x v="0"/>
  </r>
  <r>
    <n v="280"/>
    <n v="66"/>
    <x v="1"/>
    <n v="171"/>
    <n v="56"/>
    <x v="282"/>
    <x v="0"/>
    <s v="110/105"/>
    <x v="1"/>
    <x v="1"/>
    <x v="1"/>
    <x v="1"/>
    <x v="1"/>
    <x v="0"/>
    <x v="1"/>
    <x v="0"/>
    <x v="2"/>
  </r>
  <r>
    <n v="283"/>
    <n v="76"/>
    <x v="0"/>
    <n v="187"/>
    <n v="68"/>
    <x v="283"/>
    <x v="0"/>
    <s v="149/107"/>
    <x v="0"/>
    <x v="0"/>
    <x v="0"/>
    <x v="3"/>
    <x v="0"/>
    <x v="1"/>
    <x v="0"/>
    <x v="1"/>
    <x v="0"/>
  </r>
  <r>
    <n v="285"/>
    <n v="19"/>
    <x v="1"/>
    <n v="178"/>
    <n v="96"/>
    <x v="284"/>
    <x v="2"/>
    <s v="122/80"/>
    <x v="1"/>
    <x v="1"/>
    <x v="1"/>
    <x v="1"/>
    <x v="0"/>
    <x v="1"/>
    <x v="0"/>
    <x v="0"/>
    <x v="0"/>
  </r>
  <r>
    <n v="933"/>
    <n v="71"/>
    <x v="1"/>
    <n v="155"/>
    <n v="74"/>
    <x v="285"/>
    <x v="2"/>
    <s v="135/82"/>
    <x v="2"/>
    <x v="0"/>
    <x v="2"/>
    <x v="0"/>
    <x v="0"/>
    <x v="0"/>
    <x v="0"/>
    <x v="0"/>
    <x v="0"/>
  </r>
  <r>
    <n v="964"/>
    <n v="71"/>
    <x v="0"/>
    <n v="188"/>
    <n v="50"/>
    <x v="286"/>
    <x v="1"/>
    <s v="125/85"/>
    <x v="2"/>
    <x v="1"/>
    <x v="2"/>
    <x v="2"/>
    <x v="1"/>
    <x v="1"/>
    <x v="0"/>
    <x v="0"/>
    <x v="0"/>
  </r>
  <r>
    <n v="995"/>
    <n v="71"/>
    <x v="1"/>
    <n v="150"/>
    <n v="90"/>
    <x v="287"/>
    <x v="0"/>
    <s v="138/75"/>
    <x v="1"/>
    <x v="0"/>
    <x v="2"/>
    <x v="2"/>
    <x v="1"/>
    <x v="0"/>
    <x v="1"/>
    <x v="0"/>
    <x v="1"/>
  </r>
  <r>
    <n v="287"/>
    <n v="45"/>
    <x v="0"/>
    <n v="156"/>
    <n v="84"/>
    <x v="288"/>
    <x v="1"/>
    <s v="111/77"/>
    <x v="1"/>
    <x v="0"/>
    <x v="1"/>
    <x v="3"/>
    <x v="0"/>
    <x v="0"/>
    <x v="1"/>
    <x v="1"/>
    <x v="1"/>
  </r>
  <r>
    <n v="1058"/>
    <n v="71"/>
    <x v="1"/>
    <n v="186"/>
    <n v="53"/>
    <x v="289"/>
    <x v="1"/>
    <s v="110/72"/>
    <x v="1"/>
    <x v="0"/>
    <x v="2"/>
    <x v="0"/>
    <x v="0"/>
    <x v="1"/>
    <x v="0"/>
    <x v="1"/>
    <x v="1"/>
  </r>
  <r>
    <n v="1064"/>
    <n v="71"/>
    <x v="1"/>
    <n v="185"/>
    <n v="51"/>
    <x v="290"/>
    <x v="0"/>
    <s v="133/86"/>
    <x v="0"/>
    <x v="1"/>
    <x v="2"/>
    <x v="2"/>
    <x v="0"/>
    <x v="0"/>
    <x v="0"/>
    <x v="0"/>
    <x v="1"/>
  </r>
  <r>
    <n v="1137"/>
    <n v="71"/>
    <x v="1"/>
    <n v="188"/>
    <n v="59"/>
    <x v="291"/>
    <x v="0"/>
    <s v="121/95"/>
    <x v="1"/>
    <x v="1"/>
    <x v="2"/>
    <x v="0"/>
    <x v="1"/>
    <x v="1"/>
    <x v="0"/>
    <x v="0"/>
    <x v="1"/>
  </r>
  <r>
    <n v="1314"/>
    <n v="71"/>
    <x v="0"/>
    <n v="150"/>
    <n v="87"/>
    <x v="292"/>
    <x v="1"/>
    <s v="117/72"/>
    <x v="1"/>
    <x v="0"/>
    <x v="2"/>
    <x v="0"/>
    <x v="0"/>
    <x v="0"/>
    <x v="1"/>
    <x v="0"/>
    <x v="2"/>
  </r>
  <r>
    <n v="288"/>
    <n v="71"/>
    <x v="1"/>
    <n v="177"/>
    <n v="66"/>
    <x v="293"/>
    <x v="2"/>
    <s v="152/82"/>
    <x v="2"/>
    <x v="0"/>
    <x v="0"/>
    <x v="2"/>
    <x v="1"/>
    <x v="1"/>
    <x v="0"/>
    <x v="1"/>
    <x v="2"/>
  </r>
  <r>
    <n v="290"/>
    <n v="54"/>
    <x v="1"/>
    <n v="153"/>
    <n v="68"/>
    <x v="294"/>
    <x v="1"/>
    <s v="133/72"/>
    <x v="1"/>
    <x v="1"/>
    <x v="1"/>
    <x v="1"/>
    <x v="0"/>
    <x v="0"/>
    <x v="0"/>
    <x v="1"/>
    <x v="0"/>
  </r>
  <r>
    <n v="292"/>
    <n v="50"/>
    <x v="1"/>
    <n v="161"/>
    <n v="85"/>
    <x v="295"/>
    <x v="2"/>
    <s v="128/76"/>
    <x v="1"/>
    <x v="0"/>
    <x v="1"/>
    <x v="1"/>
    <x v="1"/>
    <x v="1"/>
    <x v="1"/>
    <x v="0"/>
    <x v="0"/>
  </r>
  <r>
    <n v="1569"/>
    <n v="71"/>
    <x v="0"/>
    <n v="164"/>
    <n v="64"/>
    <x v="296"/>
    <x v="0"/>
    <s v="153/82"/>
    <x v="0"/>
    <x v="1"/>
    <x v="2"/>
    <x v="3"/>
    <x v="0"/>
    <x v="1"/>
    <x v="0"/>
    <x v="1"/>
    <x v="1"/>
  </r>
  <r>
    <n v="1573"/>
    <n v="71"/>
    <x v="0"/>
    <n v="158"/>
    <n v="64"/>
    <x v="297"/>
    <x v="0"/>
    <s v="155/87"/>
    <x v="1"/>
    <x v="0"/>
    <x v="2"/>
    <x v="3"/>
    <x v="1"/>
    <x v="1"/>
    <x v="0"/>
    <x v="1"/>
    <x v="0"/>
  </r>
  <r>
    <n v="293"/>
    <n v="18"/>
    <x v="1"/>
    <n v="152"/>
    <n v="84"/>
    <x v="298"/>
    <x v="1"/>
    <s v="118/88"/>
    <x v="2"/>
    <x v="1"/>
    <x v="1"/>
    <x v="1"/>
    <x v="0"/>
    <x v="0"/>
    <x v="0"/>
    <x v="1"/>
    <x v="2"/>
  </r>
  <r>
    <n v="294"/>
    <n v="36"/>
    <x v="0"/>
    <n v="171"/>
    <n v="81"/>
    <x v="299"/>
    <x v="1"/>
    <s v="154/109"/>
    <x v="0"/>
    <x v="0"/>
    <x v="1"/>
    <x v="3"/>
    <x v="1"/>
    <x v="0"/>
    <x v="1"/>
    <x v="0"/>
    <x v="1"/>
  </r>
  <r>
    <n v="295"/>
    <n v="79"/>
    <x v="1"/>
    <n v="151"/>
    <n v="97"/>
    <x v="300"/>
    <x v="0"/>
    <s v="131/87"/>
    <x v="0"/>
    <x v="1"/>
    <x v="0"/>
    <x v="0"/>
    <x v="1"/>
    <x v="0"/>
    <x v="1"/>
    <x v="0"/>
    <x v="0"/>
  </r>
  <r>
    <n v="297"/>
    <n v="70"/>
    <x v="0"/>
    <n v="183"/>
    <n v="89"/>
    <x v="301"/>
    <x v="2"/>
    <s v="159/80"/>
    <x v="0"/>
    <x v="0"/>
    <x v="0"/>
    <x v="3"/>
    <x v="0"/>
    <x v="0"/>
    <x v="0"/>
    <x v="0"/>
    <x v="2"/>
  </r>
  <r>
    <n v="300"/>
    <n v="49"/>
    <x v="0"/>
    <n v="157"/>
    <n v="56"/>
    <x v="302"/>
    <x v="1"/>
    <s v="120/102"/>
    <x v="1"/>
    <x v="1"/>
    <x v="1"/>
    <x v="0"/>
    <x v="0"/>
    <x v="0"/>
    <x v="1"/>
    <x v="1"/>
    <x v="2"/>
  </r>
  <r>
    <n v="1795"/>
    <n v="71"/>
    <x v="1"/>
    <n v="165"/>
    <n v="81"/>
    <x v="303"/>
    <x v="0"/>
    <s v="121/90"/>
    <x v="1"/>
    <x v="1"/>
    <x v="2"/>
    <x v="1"/>
    <x v="1"/>
    <x v="0"/>
    <x v="0"/>
    <x v="0"/>
    <x v="2"/>
  </r>
  <r>
    <n v="301"/>
    <n v="23"/>
    <x v="1"/>
    <n v="172"/>
    <n v="92"/>
    <x v="304"/>
    <x v="0"/>
    <s v="116/100"/>
    <x v="2"/>
    <x v="1"/>
    <x v="1"/>
    <x v="0"/>
    <x v="0"/>
    <x v="0"/>
    <x v="1"/>
    <x v="1"/>
    <x v="1"/>
  </r>
  <r>
    <n v="304"/>
    <n v="21"/>
    <x v="1"/>
    <n v="171"/>
    <n v="84"/>
    <x v="305"/>
    <x v="2"/>
    <s v="128/86"/>
    <x v="0"/>
    <x v="0"/>
    <x v="1"/>
    <x v="2"/>
    <x v="1"/>
    <x v="1"/>
    <x v="1"/>
    <x v="0"/>
    <x v="1"/>
  </r>
  <r>
    <n v="308"/>
    <n v="76"/>
    <x v="0"/>
    <n v="161"/>
    <n v="55"/>
    <x v="306"/>
    <x v="0"/>
    <s v="140/81"/>
    <x v="1"/>
    <x v="0"/>
    <x v="0"/>
    <x v="2"/>
    <x v="1"/>
    <x v="0"/>
    <x v="1"/>
    <x v="0"/>
    <x v="1"/>
  </r>
  <r>
    <n v="313"/>
    <n v="69"/>
    <x v="0"/>
    <n v="168"/>
    <n v="96"/>
    <x v="307"/>
    <x v="2"/>
    <s v="148/95"/>
    <x v="2"/>
    <x v="1"/>
    <x v="1"/>
    <x v="1"/>
    <x v="1"/>
    <x v="1"/>
    <x v="1"/>
    <x v="0"/>
    <x v="0"/>
  </r>
  <r>
    <n v="314"/>
    <n v="51"/>
    <x v="1"/>
    <n v="150"/>
    <n v="53"/>
    <x v="308"/>
    <x v="0"/>
    <s v="113/81"/>
    <x v="0"/>
    <x v="1"/>
    <x v="1"/>
    <x v="3"/>
    <x v="1"/>
    <x v="0"/>
    <x v="0"/>
    <x v="1"/>
    <x v="0"/>
  </r>
  <r>
    <n v="318"/>
    <n v="65"/>
    <x v="1"/>
    <n v="163"/>
    <n v="65"/>
    <x v="309"/>
    <x v="2"/>
    <s v="158/101"/>
    <x v="1"/>
    <x v="1"/>
    <x v="1"/>
    <x v="1"/>
    <x v="0"/>
    <x v="0"/>
    <x v="0"/>
    <x v="0"/>
    <x v="0"/>
  </r>
  <r>
    <n v="71"/>
    <n v="70"/>
    <x v="1"/>
    <n v="177"/>
    <n v="62"/>
    <x v="310"/>
    <x v="0"/>
    <s v="123/98"/>
    <x v="1"/>
    <x v="1"/>
    <x v="2"/>
    <x v="3"/>
    <x v="1"/>
    <x v="1"/>
    <x v="0"/>
    <x v="0"/>
    <x v="1"/>
  </r>
  <r>
    <n v="120"/>
    <n v="70"/>
    <x v="1"/>
    <n v="182"/>
    <n v="76"/>
    <x v="311"/>
    <x v="1"/>
    <s v="132/101"/>
    <x v="0"/>
    <x v="0"/>
    <x v="2"/>
    <x v="0"/>
    <x v="0"/>
    <x v="1"/>
    <x v="0"/>
    <x v="1"/>
    <x v="0"/>
  </r>
  <r>
    <n v="319"/>
    <n v="33"/>
    <x v="1"/>
    <n v="184"/>
    <n v="53"/>
    <x v="312"/>
    <x v="1"/>
    <s v="119/109"/>
    <x v="2"/>
    <x v="0"/>
    <x v="1"/>
    <x v="2"/>
    <x v="0"/>
    <x v="1"/>
    <x v="1"/>
    <x v="1"/>
    <x v="2"/>
  </r>
  <r>
    <n v="322"/>
    <n v="77"/>
    <x v="1"/>
    <n v="187"/>
    <n v="77"/>
    <x v="313"/>
    <x v="0"/>
    <s v="113/84"/>
    <x v="0"/>
    <x v="0"/>
    <x v="0"/>
    <x v="3"/>
    <x v="1"/>
    <x v="0"/>
    <x v="1"/>
    <x v="0"/>
    <x v="0"/>
  </r>
  <r>
    <n v="466"/>
    <n v="70"/>
    <x v="1"/>
    <n v="173"/>
    <n v="62"/>
    <x v="314"/>
    <x v="0"/>
    <s v="148/96"/>
    <x v="2"/>
    <x v="1"/>
    <x v="2"/>
    <x v="1"/>
    <x v="1"/>
    <x v="0"/>
    <x v="0"/>
    <x v="1"/>
    <x v="2"/>
  </r>
  <r>
    <n v="325"/>
    <n v="33"/>
    <x v="0"/>
    <n v="182"/>
    <n v="51"/>
    <x v="315"/>
    <x v="2"/>
    <s v="127/70"/>
    <x v="0"/>
    <x v="1"/>
    <x v="1"/>
    <x v="2"/>
    <x v="1"/>
    <x v="1"/>
    <x v="0"/>
    <x v="1"/>
    <x v="2"/>
  </r>
  <r>
    <n v="567"/>
    <n v="70"/>
    <x v="1"/>
    <n v="166"/>
    <n v="80"/>
    <x v="316"/>
    <x v="1"/>
    <s v="156/92"/>
    <x v="1"/>
    <x v="1"/>
    <x v="2"/>
    <x v="0"/>
    <x v="1"/>
    <x v="0"/>
    <x v="0"/>
    <x v="1"/>
    <x v="1"/>
  </r>
  <r>
    <n v="600"/>
    <n v="70"/>
    <x v="0"/>
    <n v="156"/>
    <n v="96"/>
    <x v="317"/>
    <x v="2"/>
    <s v="111/102"/>
    <x v="0"/>
    <x v="1"/>
    <x v="2"/>
    <x v="1"/>
    <x v="1"/>
    <x v="0"/>
    <x v="0"/>
    <x v="1"/>
    <x v="1"/>
  </r>
  <r>
    <n v="326"/>
    <n v="46"/>
    <x v="0"/>
    <n v="175"/>
    <n v="80"/>
    <x v="318"/>
    <x v="1"/>
    <s v="144/100"/>
    <x v="1"/>
    <x v="1"/>
    <x v="1"/>
    <x v="1"/>
    <x v="1"/>
    <x v="0"/>
    <x v="1"/>
    <x v="1"/>
    <x v="0"/>
  </r>
  <r>
    <n v="327"/>
    <n v="20"/>
    <x v="1"/>
    <n v="188"/>
    <n v="52"/>
    <x v="319"/>
    <x v="0"/>
    <s v="153/70"/>
    <x v="1"/>
    <x v="0"/>
    <x v="1"/>
    <x v="1"/>
    <x v="1"/>
    <x v="1"/>
    <x v="1"/>
    <x v="0"/>
    <x v="1"/>
  </r>
  <r>
    <n v="328"/>
    <n v="37"/>
    <x v="1"/>
    <n v="170"/>
    <n v="57"/>
    <x v="320"/>
    <x v="2"/>
    <s v="112/72"/>
    <x v="1"/>
    <x v="0"/>
    <x v="1"/>
    <x v="2"/>
    <x v="0"/>
    <x v="0"/>
    <x v="1"/>
    <x v="0"/>
    <x v="1"/>
  </r>
  <r>
    <n v="798"/>
    <n v="70"/>
    <x v="1"/>
    <n v="159"/>
    <n v="65"/>
    <x v="321"/>
    <x v="2"/>
    <s v="152/73"/>
    <x v="2"/>
    <x v="1"/>
    <x v="2"/>
    <x v="3"/>
    <x v="1"/>
    <x v="1"/>
    <x v="0"/>
    <x v="0"/>
    <x v="2"/>
  </r>
  <r>
    <n v="807"/>
    <n v="70"/>
    <x v="1"/>
    <n v="185"/>
    <n v="51"/>
    <x v="322"/>
    <x v="2"/>
    <s v="118/88"/>
    <x v="1"/>
    <x v="0"/>
    <x v="2"/>
    <x v="1"/>
    <x v="0"/>
    <x v="1"/>
    <x v="1"/>
    <x v="1"/>
    <x v="0"/>
  </r>
  <r>
    <n v="329"/>
    <n v="77"/>
    <x v="0"/>
    <n v="158"/>
    <n v="73"/>
    <x v="323"/>
    <x v="1"/>
    <s v="146/88"/>
    <x v="0"/>
    <x v="0"/>
    <x v="0"/>
    <x v="2"/>
    <x v="1"/>
    <x v="1"/>
    <x v="0"/>
    <x v="1"/>
    <x v="1"/>
  </r>
  <r>
    <n v="331"/>
    <n v="53"/>
    <x v="1"/>
    <n v="186"/>
    <n v="92"/>
    <x v="324"/>
    <x v="2"/>
    <s v="142/105"/>
    <x v="1"/>
    <x v="1"/>
    <x v="1"/>
    <x v="0"/>
    <x v="0"/>
    <x v="0"/>
    <x v="0"/>
    <x v="1"/>
    <x v="0"/>
  </r>
  <r>
    <n v="332"/>
    <n v="36"/>
    <x v="0"/>
    <n v="166"/>
    <n v="80"/>
    <x v="325"/>
    <x v="0"/>
    <s v="138/95"/>
    <x v="1"/>
    <x v="1"/>
    <x v="1"/>
    <x v="3"/>
    <x v="0"/>
    <x v="1"/>
    <x v="0"/>
    <x v="0"/>
    <x v="2"/>
  </r>
  <r>
    <n v="333"/>
    <n v="43"/>
    <x v="1"/>
    <n v="173"/>
    <n v="58"/>
    <x v="326"/>
    <x v="0"/>
    <s v="113/83"/>
    <x v="1"/>
    <x v="1"/>
    <x v="1"/>
    <x v="1"/>
    <x v="1"/>
    <x v="1"/>
    <x v="1"/>
    <x v="0"/>
    <x v="0"/>
  </r>
  <r>
    <n v="968"/>
    <n v="70"/>
    <x v="0"/>
    <n v="171"/>
    <n v="58"/>
    <x v="327"/>
    <x v="1"/>
    <s v="147/97"/>
    <x v="2"/>
    <x v="0"/>
    <x v="2"/>
    <x v="0"/>
    <x v="1"/>
    <x v="1"/>
    <x v="0"/>
    <x v="1"/>
    <x v="0"/>
  </r>
  <r>
    <n v="334"/>
    <n v="20"/>
    <x v="0"/>
    <n v="170"/>
    <n v="88"/>
    <x v="328"/>
    <x v="2"/>
    <s v="159/96"/>
    <x v="2"/>
    <x v="1"/>
    <x v="1"/>
    <x v="2"/>
    <x v="0"/>
    <x v="0"/>
    <x v="1"/>
    <x v="1"/>
    <x v="0"/>
  </r>
  <r>
    <n v="1029"/>
    <n v="70"/>
    <x v="0"/>
    <n v="178"/>
    <n v="86"/>
    <x v="329"/>
    <x v="0"/>
    <s v="144/93"/>
    <x v="0"/>
    <x v="0"/>
    <x v="2"/>
    <x v="0"/>
    <x v="0"/>
    <x v="0"/>
    <x v="1"/>
    <x v="0"/>
    <x v="2"/>
  </r>
  <r>
    <n v="1121"/>
    <n v="70"/>
    <x v="1"/>
    <n v="170"/>
    <n v="97"/>
    <x v="330"/>
    <x v="0"/>
    <s v="113/93"/>
    <x v="2"/>
    <x v="0"/>
    <x v="2"/>
    <x v="1"/>
    <x v="1"/>
    <x v="0"/>
    <x v="0"/>
    <x v="0"/>
    <x v="2"/>
  </r>
  <r>
    <n v="1280"/>
    <n v="70"/>
    <x v="1"/>
    <n v="171"/>
    <n v="73"/>
    <x v="331"/>
    <x v="2"/>
    <s v="142/89"/>
    <x v="0"/>
    <x v="1"/>
    <x v="2"/>
    <x v="0"/>
    <x v="0"/>
    <x v="1"/>
    <x v="1"/>
    <x v="1"/>
    <x v="0"/>
  </r>
  <r>
    <n v="335"/>
    <n v="36"/>
    <x v="0"/>
    <n v="188"/>
    <n v="94"/>
    <x v="332"/>
    <x v="0"/>
    <s v="142/91"/>
    <x v="0"/>
    <x v="1"/>
    <x v="1"/>
    <x v="1"/>
    <x v="1"/>
    <x v="0"/>
    <x v="0"/>
    <x v="1"/>
    <x v="0"/>
  </r>
  <r>
    <n v="1442"/>
    <n v="70"/>
    <x v="1"/>
    <n v="172"/>
    <n v="62"/>
    <x v="333"/>
    <x v="0"/>
    <s v="132/92"/>
    <x v="2"/>
    <x v="1"/>
    <x v="2"/>
    <x v="2"/>
    <x v="1"/>
    <x v="1"/>
    <x v="1"/>
    <x v="1"/>
    <x v="0"/>
  </r>
  <r>
    <n v="336"/>
    <n v="37"/>
    <x v="0"/>
    <n v="188"/>
    <n v="51"/>
    <x v="334"/>
    <x v="0"/>
    <s v="157/72"/>
    <x v="0"/>
    <x v="1"/>
    <x v="1"/>
    <x v="0"/>
    <x v="0"/>
    <x v="0"/>
    <x v="1"/>
    <x v="0"/>
    <x v="2"/>
  </r>
  <r>
    <n v="1586"/>
    <n v="70"/>
    <x v="1"/>
    <n v="155"/>
    <n v="81"/>
    <x v="335"/>
    <x v="2"/>
    <s v="119/84"/>
    <x v="1"/>
    <x v="0"/>
    <x v="2"/>
    <x v="1"/>
    <x v="0"/>
    <x v="1"/>
    <x v="0"/>
    <x v="0"/>
    <x v="1"/>
  </r>
  <r>
    <n v="1613"/>
    <n v="70"/>
    <x v="1"/>
    <n v="166"/>
    <n v="69"/>
    <x v="336"/>
    <x v="0"/>
    <s v="145/102"/>
    <x v="1"/>
    <x v="0"/>
    <x v="2"/>
    <x v="3"/>
    <x v="1"/>
    <x v="1"/>
    <x v="1"/>
    <x v="1"/>
    <x v="2"/>
  </r>
  <r>
    <n v="1767"/>
    <n v="70"/>
    <x v="1"/>
    <n v="179"/>
    <n v="50"/>
    <x v="337"/>
    <x v="2"/>
    <s v="137/82"/>
    <x v="2"/>
    <x v="0"/>
    <x v="2"/>
    <x v="3"/>
    <x v="1"/>
    <x v="0"/>
    <x v="0"/>
    <x v="1"/>
    <x v="2"/>
  </r>
  <r>
    <n v="1823"/>
    <n v="70"/>
    <x v="0"/>
    <n v="159"/>
    <n v="76"/>
    <x v="338"/>
    <x v="2"/>
    <s v="121/78"/>
    <x v="1"/>
    <x v="1"/>
    <x v="2"/>
    <x v="3"/>
    <x v="0"/>
    <x v="0"/>
    <x v="0"/>
    <x v="1"/>
    <x v="0"/>
  </r>
  <r>
    <n v="338"/>
    <n v="24"/>
    <x v="1"/>
    <n v="160"/>
    <n v="56"/>
    <x v="339"/>
    <x v="0"/>
    <s v="150/92"/>
    <x v="1"/>
    <x v="1"/>
    <x v="1"/>
    <x v="1"/>
    <x v="1"/>
    <x v="1"/>
    <x v="1"/>
    <x v="1"/>
    <x v="1"/>
  </r>
  <r>
    <n v="1854"/>
    <n v="70"/>
    <x v="1"/>
    <n v="172"/>
    <n v="67"/>
    <x v="340"/>
    <x v="0"/>
    <s v="119/71"/>
    <x v="1"/>
    <x v="1"/>
    <x v="2"/>
    <x v="3"/>
    <x v="0"/>
    <x v="1"/>
    <x v="1"/>
    <x v="1"/>
    <x v="0"/>
  </r>
  <r>
    <n v="341"/>
    <n v="50"/>
    <x v="1"/>
    <n v="162"/>
    <n v="91"/>
    <x v="341"/>
    <x v="1"/>
    <s v="130/95"/>
    <x v="0"/>
    <x v="1"/>
    <x v="1"/>
    <x v="1"/>
    <x v="0"/>
    <x v="0"/>
    <x v="0"/>
    <x v="0"/>
    <x v="0"/>
  </r>
  <r>
    <n v="342"/>
    <n v="57"/>
    <x v="0"/>
    <n v="150"/>
    <n v="65"/>
    <x v="342"/>
    <x v="1"/>
    <s v="150/104"/>
    <x v="0"/>
    <x v="0"/>
    <x v="1"/>
    <x v="0"/>
    <x v="0"/>
    <x v="1"/>
    <x v="1"/>
    <x v="0"/>
    <x v="2"/>
  </r>
  <r>
    <n v="346"/>
    <n v="18"/>
    <x v="1"/>
    <n v="157"/>
    <n v="87"/>
    <x v="343"/>
    <x v="0"/>
    <s v="110/88"/>
    <x v="2"/>
    <x v="0"/>
    <x v="1"/>
    <x v="1"/>
    <x v="1"/>
    <x v="1"/>
    <x v="0"/>
    <x v="0"/>
    <x v="0"/>
  </r>
  <r>
    <n v="348"/>
    <n v="45"/>
    <x v="1"/>
    <n v="161"/>
    <n v="99"/>
    <x v="344"/>
    <x v="2"/>
    <s v="123/83"/>
    <x v="1"/>
    <x v="1"/>
    <x v="1"/>
    <x v="3"/>
    <x v="0"/>
    <x v="1"/>
    <x v="0"/>
    <x v="0"/>
    <x v="0"/>
  </r>
  <r>
    <n v="349"/>
    <n v="74"/>
    <x v="1"/>
    <n v="182"/>
    <n v="54"/>
    <x v="345"/>
    <x v="1"/>
    <s v="153/85"/>
    <x v="0"/>
    <x v="1"/>
    <x v="0"/>
    <x v="0"/>
    <x v="1"/>
    <x v="0"/>
    <x v="1"/>
    <x v="0"/>
    <x v="2"/>
  </r>
  <r>
    <n v="244"/>
    <n v="69"/>
    <x v="0"/>
    <n v="153"/>
    <n v="97"/>
    <x v="346"/>
    <x v="0"/>
    <s v="126/106"/>
    <x v="0"/>
    <x v="0"/>
    <x v="2"/>
    <x v="0"/>
    <x v="0"/>
    <x v="1"/>
    <x v="0"/>
    <x v="0"/>
    <x v="0"/>
  </r>
  <r>
    <n v="267"/>
    <n v="69"/>
    <x v="1"/>
    <n v="183"/>
    <n v="96"/>
    <x v="347"/>
    <x v="0"/>
    <s v="157/89"/>
    <x v="1"/>
    <x v="1"/>
    <x v="2"/>
    <x v="3"/>
    <x v="0"/>
    <x v="0"/>
    <x v="1"/>
    <x v="1"/>
    <x v="2"/>
  </r>
  <r>
    <n v="351"/>
    <n v="67"/>
    <x v="1"/>
    <n v="188"/>
    <n v="88"/>
    <x v="348"/>
    <x v="1"/>
    <s v="147/81"/>
    <x v="1"/>
    <x v="1"/>
    <x v="1"/>
    <x v="3"/>
    <x v="0"/>
    <x v="1"/>
    <x v="0"/>
    <x v="0"/>
    <x v="2"/>
  </r>
  <r>
    <n v="352"/>
    <n v="40"/>
    <x v="0"/>
    <n v="177"/>
    <n v="83"/>
    <x v="349"/>
    <x v="1"/>
    <s v="147/108"/>
    <x v="2"/>
    <x v="1"/>
    <x v="1"/>
    <x v="2"/>
    <x v="1"/>
    <x v="1"/>
    <x v="1"/>
    <x v="0"/>
    <x v="1"/>
  </r>
  <r>
    <n v="339"/>
    <n v="69"/>
    <x v="0"/>
    <n v="168"/>
    <n v="93"/>
    <x v="350"/>
    <x v="2"/>
    <s v="113/90"/>
    <x v="1"/>
    <x v="1"/>
    <x v="2"/>
    <x v="3"/>
    <x v="0"/>
    <x v="1"/>
    <x v="0"/>
    <x v="0"/>
    <x v="1"/>
  </r>
  <r>
    <n v="363"/>
    <n v="69"/>
    <x v="1"/>
    <n v="151"/>
    <n v="72"/>
    <x v="351"/>
    <x v="0"/>
    <s v="158/97"/>
    <x v="0"/>
    <x v="0"/>
    <x v="2"/>
    <x v="3"/>
    <x v="1"/>
    <x v="1"/>
    <x v="1"/>
    <x v="1"/>
    <x v="0"/>
  </r>
  <r>
    <n v="389"/>
    <n v="69"/>
    <x v="0"/>
    <n v="177"/>
    <n v="81"/>
    <x v="352"/>
    <x v="2"/>
    <s v="112/95"/>
    <x v="0"/>
    <x v="0"/>
    <x v="2"/>
    <x v="3"/>
    <x v="1"/>
    <x v="1"/>
    <x v="0"/>
    <x v="0"/>
    <x v="0"/>
  </r>
  <r>
    <n v="355"/>
    <n v="59"/>
    <x v="0"/>
    <n v="174"/>
    <n v="72"/>
    <x v="353"/>
    <x v="0"/>
    <s v="115/100"/>
    <x v="2"/>
    <x v="1"/>
    <x v="1"/>
    <x v="2"/>
    <x v="0"/>
    <x v="0"/>
    <x v="1"/>
    <x v="0"/>
    <x v="2"/>
  </r>
  <r>
    <n v="557"/>
    <n v="69"/>
    <x v="1"/>
    <n v="166"/>
    <n v="86"/>
    <x v="354"/>
    <x v="2"/>
    <s v="150/97"/>
    <x v="2"/>
    <x v="0"/>
    <x v="2"/>
    <x v="1"/>
    <x v="1"/>
    <x v="1"/>
    <x v="1"/>
    <x v="0"/>
    <x v="2"/>
  </r>
  <r>
    <n v="577"/>
    <n v="69"/>
    <x v="0"/>
    <n v="180"/>
    <n v="68"/>
    <x v="355"/>
    <x v="2"/>
    <s v="145/94"/>
    <x v="0"/>
    <x v="0"/>
    <x v="2"/>
    <x v="3"/>
    <x v="0"/>
    <x v="0"/>
    <x v="1"/>
    <x v="0"/>
    <x v="0"/>
  </r>
  <r>
    <n v="357"/>
    <n v="24"/>
    <x v="0"/>
    <n v="172"/>
    <n v="79"/>
    <x v="356"/>
    <x v="2"/>
    <s v="134/102"/>
    <x v="0"/>
    <x v="1"/>
    <x v="1"/>
    <x v="1"/>
    <x v="1"/>
    <x v="1"/>
    <x v="0"/>
    <x v="1"/>
    <x v="1"/>
  </r>
  <r>
    <n v="362"/>
    <n v="74"/>
    <x v="1"/>
    <n v="167"/>
    <n v="78"/>
    <x v="357"/>
    <x v="2"/>
    <s v="159/103"/>
    <x v="2"/>
    <x v="1"/>
    <x v="0"/>
    <x v="0"/>
    <x v="1"/>
    <x v="1"/>
    <x v="1"/>
    <x v="1"/>
    <x v="0"/>
  </r>
  <r>
    <n v="364"/>
    <n v="77"/>
    <x v="1"/>
    <n v="153"/>
    <n v="55"/>
    <x v="358"/>
    <x v="1"/>
    <s v="128/92"/>
    <x v="1"/>
    <x v="1"/>
    <x v="0"/>
    <x v="2"/>
    <x v="1"/>
    <x v="1"/>
    <x v="1"/>
    <x v="0"/>
    <x v="0"/>
  </r>
  <r>
    <n v="365"/>
    <n v="66"/>
    <x v="0"/>
    <n v="179"/>
    <n v="81"/>
    <x v="359"/>
    <x v="0"/>
    <s v="154/101"/>
    <x v="0"/>
    <x v="0"/>
    <x v="1"/>
    <x v="2"/>
    <x v="1"/>
    <x v="1"/>
    <x v="0"/>
    <x v="0"/>
    <x v="2"/>
  </r>
  <r>
    <n v="371"/>
    <n v="22"/>
    <x v="0"/>
    <n v="177"/>
    <n v="58"/>
    <x v="360"/>
    <x v="0"/>
    <s v="139/87"/>
    <x v="0"/>
    <x v="1"/>
    <x v="1"/>
    <x v="1"/>
    <x v="0"/>
    <x v="1"/>
    <x v="1"/>
    <x v="0"/>
    <x v="2"/>
  </r>
  <r>
    <n v="373"/>
    <n v="49"/>
    <x v="1"/>
    <n v="169"/>
    <n v="59"/>
    <x v="361"/>
    <x v="1"/>
    <s v="142/74"/>
    <x v="1"/>
    <x v="0"/>
    <x v="1"/>
    <x v="0"/>
    <x v="0"/>
    <x v="1"/>
    <x v="1"/>
    <x v="1"/>
    <x v="1"/>
  </r>
  <r>
    <n v="374"/>
    <n v="76"/>
    <x v="1"/>
    <n v="182"/>
    <n v="69"/>
    <x v="362"/>
    <x v="1"/>
    <s v="158/97"/>
    <x v="2"/>
    <x v="1"/>
    <x v="0"/>
    <x v="0"/>
    <x v="0"/>
    <x v="0"/>
    <x v="0"/>
    <x v="0"/>
    <x v="1"/>
  </r>
  <r>
    <n v="1197"/>
    <n v="69"/>
    <x v="1"/>
    <n v="152"/>
    <n v="67"/>
    <x v="363"/>
    <x v="0"/>
    <s v="129/81"/>
    <x v="2"/>
    <x v="1"/>
    <x v="2"/>
    <x v="0"/>
    <x v="1"/>
    <x v="0"/>
    <x v="1"/>
    <x v="1"/>
    <x v="1"/>
  </r>
  <r>
    <n v="375"/>
    <n v="72"/>
    <x v="1"/>
    <n v="161"/>
    <n v="55"/>
    <x v="364"/>
    <x v="0"/>
    <s v="117/84"/>
    <x v="1"/>
    <x v="1"/>
    <x v="0"/>
    <x v="0"/>
    <x v="0"/>
    <x v="1"/>
    <x v="1"/>
    <x v="0"/>
    <x v="1"/>
  </r>
  <r>
    <n v="376"/>
    <n v="26"/>
    <x v="1"/>
    <n v="164"/>
    <n v="97"/>
    <x v="365"/>
    <x v="0"/>
    <s v="113/103"/>
    <x v="1"/>
    <x v="0"/>
    <x v="1"/>
    <x v="1"/>
    <x v="1"/>
    <x v="1"/>
    <x v="0"/>
    <x v="1"/>
    <x v="0"/>
  </r>
  <r>
    <n v="1460"/>
    <n v="69"/>
    <x v="1"/>
    <n v="167"/>
    <n v="53"/>
    <x v="366"/>
    <x v="1"/>
    <s v="122/74"/>
    <x v="1"/>
    <x v="1"/>
    <x v="2"/>
    <x v="0"/>
    <x v="1"/>
    <x v="1"/>
    <x v="1"/>
    <x v="0"/>
    <x v="1"/>
  </r>
  <r>
    <n v="379"/>
    <n v="36"/>
    <x v="0"/>
    <n v="178"/>
    <n v="60"/>
    <x v="367"/>
    <x v="2"/>
    <s v="143/95"/>
    <x v="0"/>
    <x v="1"/>
    <x v="1"/>
    <x v="2"/>
    <x v="0"/>
    <x v="0"/>
    <x v="0"/>
    <x v="1"/>
    <x v="2"/>
  </r>
  <r>
    <n v="1584"/>
    <n v="69"/>
    <x v="1"/>
    <n v="158"/>
    <n v="89"/>
    <x v="368"/>
    <x v="1"/>
    <s v="132/98"/>
    <x v="0"/>
    <x v="1"/>
    <x v="2"/>
    <x v="3"/>
    <x v="1"/>
    <x v="1"/>
    <x v="1"/>
    <x v="1"/>
    <x v="2"/>
  </r>
  <r>
    <n v="1590"/>
    <n v="69"/>
    <x v="1"/>
    <n v="172"/>
    <n v="50"/>
    <x v="369"/>
    <x v="0"/>
    <s v="114/83"/>
    <x v="1"/>
    <x v="0"/>
    <x v="2"/>
    <x v="2"/>
    <x v="0"/>
    <x v="1"/>
    <x v="0"/>
    <x v="0"/>
    <x v="1"/>
  </r>
  <r>
    <n v="380"/>
    <n v="65"/>
    <x v="1"/>
    <n v="159"/>
    <n v="92"/>
    <x v="370"/>
    <x v="2"/>
    <s v="110/73"/>
    <x v="2"/>
    <x v="1"/>
    <x v="1"/>
    <x v="3"/>
    <x v="1"/>
    <x v="1"/>
    <x v="0"/>
    <x v="1"/>
    <x v="2"/>
  </r>
  <r>
    <n v="1725"/>
    <n v="69"/>
    <x v="0"/>
    <n v="154"/>
    <n v="98"/>
    <x v="371"/>
    <x v="1"/>
    <s v="113/78"/>
    <x v="2"/>
    <x v="0"/>
    <x v="2"/>
    <x v="0"/>
    <x v="1"/>
    <x v="0"/>
    <x v="0"/>
    <x v="1"/>
    <x v="0"/>
  </r>
  <r>
    <n v="382"/>
    <n v="20"/>
    <x v="0"/>
    <n v="160"/>
    <n v="81"/>
    <x v="372"/>
    <x v="1"/>
    <s v="142/102"/>
    <x v="1"/>
    <x v="1"/>
    <x v="1"/>
    <x v="0"/>
    <x v="1"/>
    <x v="1"/>
    <x v="1"/>
    <x v="0"/>
    <x v="1"/>
  </r>
  <r>
    <n v="1885"/>
    <n v="69"/>
    <x v="0"/>
    <n v="162"/>
    <n v="51"/>
    <x v="373"/>
    <x v="2"/>
    <s v="122/72"/>
    <x v="2"/>
    <x v="1"/>
    <x v="2"/>
    <x v="0"/>
    <x v="0"/>
    <x v="0"/>
    <x v="0"/>
    <x v="0"/>
    <x v="1"/>
  </r>
  <r>
    <n v="384"/>
    <n v="41"/>
    <x v="1"/>
    <n v="159"/>
    <n v="53"/>
    <x v="374"/>
    <x v="0"/>
    <s v="125/90"/>
    <x v="1"/>
    <x v="0"/>
    <x v="1"/>
    <x v="1"/>
    <x v="0"/>
    <x v="0"/>
    <x v="1"/>
    <x v="0"/>
    <x v="1"/>
  </r>
  <r>
    <n v="50"/>
    <n v="68"/>
    <x v="0"/>
    <n v="176"/>
    <n v="98"/>
    <x v="375"/>
    <x v="0"/>
    <s v="150/80"/>
    <x v="1"/>
    <x v="0"/>
    <x v="2"/>
    <x v="0"/>
    <x v="0"/>
    <x v="1"/>
    <x v="1"/>
    <x v="1"/>
    <x v="1"/>
  </r>
  <r>
    <n v="386"/>
    <n v="73"/>
    <x v="0"/>
    <n v="167"/>
    <n v="90"/>
    <x v="376"/>
    <x v="2"/>
    <s v="132/87"/>
    <x v="1"/>
    <x v="0"/>
    <x v="0"/>
    <x v="1"/>
    <x v="1"/>
    <x v="0"/>
    <x v="0"/>
    <x v="1"/>
    <x v="2"/>
  </r>
  <r>
    <n v="142"/>
    <n v="68"/>
    <x v="0"/>
    <n v="161"/>
    <n v="74"/>
    <x v="377"/>
    <x v="0"/>
    <s v="123/97"/>
    <x v="0"/>
    <x v="0"/>
    <x v="2"/>
    <x v="0"/>
    <x v="1"/>
    <x v="0"/>
    <x v="1"/>
    <x v="0"/>
    <x v="1"/>
  </r>
  <r>
    <n v="387"/>
    <n v="50"/>
    <x v="0"/>
    <n v="158"/>
    <n v="68"/>
    <x v="378"/>
    <x v="0"/>
    <s v="140/81"/>
    <x v="2"/>
    <x v="0"/>
    <x v="1"/>
    <x v="2"/>
    <x v="0"/>
    <x v="1"/>
    <x v="1"/>
    <x v="0"/>
    <x v="0"/>
  </r>
  <r>
    <n v="214"/>
    <n v="68"/>
    <x v="1"/>
    <n v="163"/>
    <n v="83"/>
    <x v="379"/>
    <x v="2"/>
    <s v="131/106"/>
    <x v="2"/>
    <x v="0"/>
    <x v="2"/>
    <x v="2"/>
    <x v="1"/>
    <x v="0"/>
    <x v="1"/>
    <x v="1"/>
    <x v="0"/>
  </r>
  <r>
    <n v="256"/>
    <n v="68"/>
    <x v="0"/>
    <n v="170"/>
    <n v="98"/>
    <x v="380"/>
    <x v="0"/>
    <s v="136/91"/>
    <x v="1"/>
    <x v="0"/>
    <x v="2"/>
    <x v="2"/>
    <x v="1"/>
    <x v="1"/>
    <x v="0"/>
    <x v="0"/>
    <x v="0"/>
  </r>
  <r>
    <n v="388"/>
    <n v="41"/>
    <x v="0"/>
    <n v="188"/>
    <n v="54"/>
    <x v="381"/>
    <x v="0"/>
    <s v="110/78"/>
    <x v="0"/>
    <x v="1"/>
    <x v="1"/>
    <x v="0"/>
    <x v="0"/>
    <x v="1"/>
    <x v="1"/>
    <x v="0"/>
    <x v="0"/>
  </r>
  <r>
    <n v="392"/>
    <n v="25"/>
    <x v="1"/>
    <n v="155"/>
    <n v="84"/>
    <x v="382"/>
    <x v="0"/>
    <s v="112/103"/>
    <x v="0"/>
    <x v="0"/>
    <x v="1"/>
    <x v="0"/>
    <x v="0"/>
    <x v="1"/>
    <x v="1"/>
    <x v="1"/>
    <x v="0"/>
  </r>
  <r>
    <n v="538"/>
    <n v="68"/>
    <x v="1"/>
    <n v="154"/>
    <n v="96"/>
    <x v="383"/>
    <x v="0"/>
    <s v="157/98"/>
    <x v="0"/>
    <x v="0"/>
    <x v="2"/>
    <x v="0"/>
    <x v="0"/>
    <x v="1"/>
    <x v="1"/>
    <x v="1"/>
    <x v="2"/>
  </r>
  <r>
    <n v="547"/>
    <n v="68"/>
    <x v="1"/>
    <n v="155"/>
    <n v="69"/>
    <x v="384"/>
    <x v="0"/>
    <s v="130/95"/>
    <x v="2"/>
    <x v="1"/>
    <x v="2"/>
    <x v="1"/>
    <x v="1"/>
    <x v="0"/>
    <x v="0"/>
    <x v="0"/>
    <x v="2"/>
  </r>
  <r>
    <n v="632"/>
    <n v="68"/>
    <x v="0"/>
    <n v="162"/>
    <n v="98"/>
    <x v="385"/>
    <x v="1"/>
    <s v="152/76"/>
    <x v="2"/>
    <x v="1"/>
    <x v="2"/>
    <x v="0"/>
    <x v="0"/>
    <x v="1"/>
    <x v="0"/>
    <x v="0"/>
    <x v="0"/>
  </r>
  <r>
    <n v="393"/>
    <n v="53"/>
    <x v="1"/>
    <n v="176"/>
    <n v="71"/>
    <x v="386"/>
    <x v="1"/>
    <s v="142/93"/>
    <x v="0"/>
    <x v="0"/>
    <x v="1"/>
    <x v="0"/>
    <x v="1"/>
    <x v="1"/>
    <x v="1"/>
    <x v="0"/>
    <x v="2"/>
  </r>
  <r>
    <n v="394"/>
    <n v="55"/>
    <x v="0"/>
    <n v="151"/>
    <n v="50"/>
    <x v="387"/>
    <x v="2"/>
    <s v="118/82"/>
    <x v="1"/>
    <x v="1"/>
    <x v="1"/>
    <x v="0"/>
    <x v="1"/>
    <x v="1"/>
    <x v="1"/>
    <x v="1"/>
    <x v="1"/>
  </r>
  <r>
    <n v="395"/>
    <n v="57"/>
    <x v="1"/>
    <n v="178"/>
    <n v="69"/>
    <x v="388"/>
    <x v="2"/>
    <s v="111/76"/>
    <x v="2"/>
    <x v="1"/>
    <x v="1"/>
    <x v="2"/>
    <x v="0"/>
    <x v="0"/>
    <x v="1"/>
    <x v="0"/>
    <x v="0"/>
  </r>
  <r>
    <n v="980"/>
    <n v="68"/>
    <x v="0"/>
    <n v="189"/>
    <n v="77"/>
    <x v="389"/>
    <x v="2"/>
    <s v="132/81"/>
    <x v="2"/>
    <x v="0"/>
    <x v="2"/>
    <x v="1"/>
    <x v="1"/>
    <x v="1"/>
    <x v="1"/>
    <x v="0"/>
    <x v="0"/>
  </r>
  <r>
    <n v="396"/>
    <n v="37"/>
    <x v="0"/>
    <n v="187"/>
    <n v="71"/>
    <x v="390"/>
    <x v="2"/>
    <s v="157/90"/>
    <x v="1"/>
    <x v="1"/>
    <x v="1"/>
    <x v="2"/>
    <x v="1"/>
    <x v="1"/>
    <x v="0"/>
    <x v="1"/>
    <x v="2"/>
  </r>
  <r>
    <n v="1081"/>
    <n v="68"/>
    <x v="0"/>
    <n v="188"/>
    <n v="81"/>
    <x v="391"/>
    <x v="2"/>
    <s v="151/97"/>
    <x v="0"/>
    <x v="1"/>
    <x v="2"/>
    <x v="0"/>
    <x v="1"/>
    <x v="1"/>
    <x v="0"/>
    <x v="1"/>
    <x v="2"/>
  </r>
  <r>
    <n v="397"/>
    <n v="79"/>
    <x v="0"/>
    <n v="152"/>
    <n v="97"/>
    <x v="392"/>
    <x v="0"/>
    <s v="128/94"/>
    <x v="0"/>
    <x v="0"/>
    <x v="0"/>
    <x v="2"/>
    <x v="0"/>
    <x v="0"/>
    <x v="1"/>
    <x v="0"/>
    <x v="0"/>
  </r>
  <r>
    <n v="1105"/>
    <n v="68"/>
    <x v="1"/>
    <n v="170"/>
    <n v="78"/>
    <x v="393"/>
    <x v="1"/>
    <s v="113/71"/>
    <x v="0"/>
    <x v="1"/>
    <x v="2"/>
    <x v="2"/>
    <x v="1"/>
    <x v="0"/>
    <x v="1"/>
    <x v="1"/>
    <x v="0"/>
  </r>
  <r>
    <n v="401"/>
    <n v="42"/>
    <x v="1"/>
    <n v="151"/>
    <n v="52"/>
    <x v="394"/>
    <x v="0"/>
    <s v="148/89"/>
    <x v="1"/>
    <x v="0"/>
    <x v="1"/>
    <x v="2"/>
    <x v="1"/>
    <x v="0"/>
    <x v="0"/>
    <x v="0"/>
    <x v="0"/>
  </r>
  <r>
    <n v="403"/>
    <n v="42"/>
    <x v="1"/>
    <n v="161"/>
    <n v="61"/>
    <x v="395"/>
    <x v="2"/>
    <s v="118/94"/>
    <x v="1"/>
    <x v="1"/>
    <x v="1"/>
    <x v="1"/>
    <x v="1"/>
    <x v="0"/>
    <x v="0"/>
    <x v="1"/>
    <x v="1"/>
  </r>
  <r>
    <n v="1214"/>
    <n v="68"/>
    <x v="0"/>
    <n v="163"/>
    <n v="63"/>
    <x v="396"/>
    <x v="0"/>
    <s v="133/90"/>
    <x v="1"/>
    <x v="0"/>
    <x v="2"/>
    <x v="0"/>
    <x v="0"/>
    <x v="0"/>
    <x v="0"/>
    <x v="0"/>
    <x v="0"/>
  </r>
  <r>
    <n v="404"/>
    <n v="46"/>
    <x v="0"/>
    <n v="184"/>
    <n v="72"/>
    <x v="397"/>
    <x v="1"/>
    <s v="134/102"/>
    <x v="2"/>
    <x v="0"/>
    <x v="1"/>
    <x v="0"/>
    <x v="0"/>
    <x v="1"/>
    <x v="1"/>
    <x v="1"/>
    <x v="1"/>
  </r>
  <r>
    <n v="406"/>
    <n v="63"/>
    <x v="1"/>
    <n v="164"/>
    <n v="82"/>
    <x v="398"/>
    <x v="0"/>
    <s v="155/89"/>
    <x v="0"/>
    <x v="1"/>
    <x v="1"/>
    <x v="0"/>
    <x v="1"/>
    <x v="0"/>
    <x v="1"/>
    <x v="1"/>
    <x v="0"/>
  </r>
  <r>
    <n v="407"/>
    <n v="35"/>
    <x v="0"/>
    <n v="175"/>
    <n v="67"/>
    <x v="399"/>
    <x v="1"/>
    <s v="151/98"/>
    <x v="0"/>
    <x v="0"/>
    <x v="1"/>
    <x v="1"/>
    <x v="1"/>
    <x v="1"/>
    <x v="1"/>
    <x v="1"/>
    <x v="1"/>
  </r>
  <r>
    <n v="408"/>
    <n v="19"/>
    <x v="1"/>
    <n v="186"/>
    <n v="98"/>
    <x v="400"/>
    <x v="2"/>
    <s v="115/86"/>
    <x v="0"/>
    <x v="0"/>
    <x v="1"/>
    <x v="2"/>
    <x v="0"/>
    <x v="0"/>
    <x v="1"/>
    <x v="0"/>
    <x v="1"/>
  </r>
  <r>
    <n v="1428"/>
    <n v="68"/>
    <x v="1"/>
    <n v="185"/>
    <n v="78"/>
    <x v="401"/>
    <x v="0"/>
    <s v="119/70"/>
    <x v="0"/>
    <x v="1"/>
    <x v="2"/>
    <x v="3"/>
    <x v="1"/>
    <x v="1"/>
    <x v="1"/>
    <x v="0"/>
    <x v="0"/>
  </r>
  <r>
    <n v="1445"/>
    <n v="68"/>
    <x v="1"/>
    <n v="179"/>
    <n v="91"/>
    <x v="402"/>
    <x v="1"/>
    <s v="137/85"/>
    <x v="1"/>
    <x v="1"/>
    <x v="2"/>
    <x v="0"/>
    <x v="0"/>
    <x v="1"/>
    <x v="1"/>
    <x v="0"/>
    <x v="0"/>
  </r>
  <r>
    <n v="409"/>
    <n v="71"/>
    <x v="1"/>
    <n v="170"/>
    <n v="90"/>
    <x v="403"/>
    <x v="1"/>
    <s v="134/107"/>
    <x v="2"/>
    <x v="0"/>
    <x v="0"/>
    <x v="0"/>
    <x v="0"/>
    <x v="0"/>
    <x v="0"/>
    <x v="0"/>
    <x v="1"/>
  </r>
  <r>
    <n v="410"/>
    <n v="52"/>
    <x v="1"/>
    <n v="180"/>
    <n v="58"/>
    <x v="404"/>
    <x v="2"/>
    <s v="113/99"/>
    <x v="1"/>
    <x v="1"/>
    <x v="1"/>
    <x v="3"/>
    <x v="0"/>
    <x v="1"/>
    <x v="1"/>
    <x v="0"/>
    <x v="0"/>
  </r>
  <r>
    <n v="413"/>
    <n v="58"/>
    <x v="0"/>
    <n v="173"/>
    <n v="68"/>
    <x v="405"/>
    <x v="2"/>
    <s v="135/105"/>
    <x v="1"/>
    <x v="1"/>
    <x v="1"/>
    <x v="1"/>
    <x v="1"/>
    <x v="1"/>
    <x v="0"/>
    <x v="0"/>
    <x v="0"/>
  </r>
  <r>
    <n v="1506"/>
    <n v="68"/>
    <x v="0"/>
    <n v="156"/>
    <n v="77"/>
    <x v="406"/>
    <x v="1"/>
    <s v="142/73"/>
    <x v="0"/>
    <x v="1"/>
    <x v="2"/>
    <x v="3"/>
    <x v="1"/>
    <x v="0"/>
    <x v="0"/>
    <x v="0"/>
    <x v="0"/>
  </r>
  <r>
    <n v="1554"/>
    <n v="68"/>
    <x v="1"/>
    <n v="168"/>
    <n v="81"/>
    <x v="407"/>
    <x v="1"/>
    <s v="122/105"/>
    <x v="0"/>
    <x v="1"/>
    <x v="2"/>
    <x v="2"/>
    <x v="1"/>
    <x v="1"/>
    <x v="1"/>
    <x v="0"/>
    <x v="2"/>
  </r>
  <r>
    <n v="1575"/>
    <n v="68"/>
    <x v="1"/>
    <n v="188"/>
    <n v="85"/>
    <x v="408"/>
    <x v="1"/>
    <s v="130/83"/>
    <x v="0"/>
    <x v="0"/>
    <x v="2"/>
    <x v="1"/>
    <x v="0"/>
    <x v="1"/>
    <x v="1"/>
    <x v="1"/>
    <x v="2"/>
  </r>
  <r>
    <n v="414"/>
    <n v="53"/>
    <x v="0"/>
    <n v="187"/>
    <n v="96"/>
    <x v="409"/>
    <x v="0"/>
    <s v="117/86"/>
    <x v="2"/>
    <x v="1"/>
    <x v="1"/>
    <x v="1"/>
    <x v="0"/>
    <x v="1"/>
    <x v="0"/>
    <x v="1"/>
    <x v="1"/>
  </r>
  <r>
    <n v="418"/>
    <n v="31"/>
    <x v="1"/>
    <n v="185"/>
    <n v="79"/>
    <x v="410"/>
    <x v="2"/>
    <s v="131/95"/>
    <x v="1"/>
    <x v="0"/>
    <x v="1"/>
    <x v="3"/>
    <x v="1"/>
    <x v="0"/>
    <x v="0"/>
    <x v="1"/>
    <x v="2"/>
  </r>
  <r>
    <n v="421"/>
    <n v="37"/>
    <x v="0"/>
    <n v="187"/>
    <n v="83"/>
    <x v="411"/>
    <x v="1"/>
    <s v="146/101"/>
    <x v="2"/>
    <x v="0"/>
    <x v="1"/>
    <x v="3"/>
    <x v="1"/>
    <x v="0"/>
    <x v="1"/>
    <x v="0"/>
    <x v="0"/>
  </r>
  <r>
    <n v="1671"/>
    <n v="68"/>
    <x v="1"/>
    <n v="157"/>
    <n v="90"/>
    <x v="412"/>
    <x v="2"/>
    <s v="116/77"/>
    <x v="1"/>
    <x v="0"/>
    <x v="2"/>
    <x v="3"/>
    <x v="1"/>
    <x v="1"/>
    <x v="0"/>
    <x v="0"/>
    <x v="0"/>
  </r>
  <r>
    <n v="422"/>
    <n v="73"/>
    <x v="0"/>
    <n v="179"/>
    <n v="94"/>
    <x v="413"/>
    <x v="0"/>
    <s v="116/102"/>
    <x v="0"/>
    <x v="1"/>
    <x v="0"/>
    <x v="1"/>
    <x v="1"/>
    <x v="1"/>
    <x v="0"/>
    <x v="0"/>
    <x v="2"/>
  </r>
  <r>
    <n v="424"/>
    <n v="24"/>
    <x v="1"/>
    <n v="181"/>
    <n v="96"/>
    <x v="414"/>
    <x v="0"/>
    <s v="120/93"/>
    <x v="2"/>
    <x v="0"/>
    <x v="1"/>
    <x v="3"/>
    <x v="1"/>
    <x v="1"/>
    <x v="0"/>
    <x v="0"/>
    <x v="0"/>
  </r>
  <r>
    <n v="1853"/>
    <n v="68"/>
    <x v="0"/>
    <n v="173"/>
    <n v="80"/>
    <x v="415"/>
    <x v="0"/>
    <s v="126/109"/>
    <x v="2"/>
    <x v="1"/>
    <x v="2"/>
    <x v="1"/>
    <x v="1"/>
    <x v="1"/>
    <x v="0"/>
    <x v="1"/>
    <x v="1"/>
  </r>
  <r>
    <n v="1856"/>
    <n v="68"/>
    <x v="1"/>
    <n v="151"/>
    <n v="56"/>
    <x v="416"/>
    <x v="0"/>
    <s v="115/71"/>
    <x v="1"/>
    <x v="1"/>
    <x v="2"/>
    <x v="1"/>
    <x v="0"/>
    <x v="0"/>
    <x v="1"/>
    <x v="1"/>
    <x v="0"/>
  </r>
  <r>
    <n v="1915"/>
    <n v="68"/>
    <x v="1"/>
    <n v="162"/>
    <n v="58"/>
    <x v="417"/>
    <x v="1"/>
    <s v="133/109"/>
    <x v="2"/>
    <x v="0"/>
    <x v="2"/>
    <x v="3"/>
    <x v="0"/>
    <x v="1"/>
    <x v="1"/>
    <x v="1"/>
    <x v="0"/>
  </r>
  <r>
    <n v="1975"/>
    <n v="68"/>
    <x v="1"/>
    <n v="186"/>
    <n v="93"/>
    <x v="418"/>
    <x v="0"/>
    <s v="117/101"/>
    <x v="0"/>
    <x v="1"/>
    <x v="2"/>
    <x v="1"/>
    <x v="0"/>
    <x v="0"/>
    <x v="0"/>
    <x v="0"/>
    <x v="2"/>
  </r>
  <r>
    <n v="427"/>
    <n v="50"/>
    <x v="1"/>
    <n v="177"/>
    <n v="63"/>
    <x v="419"/>
    <x v="0"/>
    <s v="143/88"/>
    <x v="0"/>
    <x v="0"/>
    <x v="1"/>
    <x v="3"/>
    <x v="1"/>
    <x v="0"/>
    <x v="1"/>
    <x v="0"/>
    <x v="1"/>
  </r>
  <r>
    <n v="428"/>
    <n v="65"/>
    <x v="1"/>
    <n v="164"/>
    <n v="91"/>
    <x v="420"/>
    <x v="0"/>
    <s v="129/83"/>
    <x v="0"/>
    <x v="1"/>
    <x v="1"/>
    <x v="1"/>
    <x v="0"/>
    <x v="1"/>
    <x v="1"/>
    <x v="1"/>
    <x v="2"/>
  </r>
  <r>
    <n v="430"/>
    <n v="76"/>
    <x v="0"/>
    <n v="189"/>
    <n v="79"/>
    <x v="421"/>
    <x v="1"/>
    <s v="125/73"/>
    <x v="2"/>
    <x v="0"/>
    <x v="0"/>
    <x v="0"/>
    <x v="0"/>
    <x v="0"/>
    <x v="0"/>
    <x v="0"/>
    <x v="2"/>
  </r>
  <r>
    <n v="431"/>
    <n v="68"/>
    <x v="1"/>
    <n v="160"/>
    <n v="90"/>
    <x v="422"/>
    <x v="1"/>
    <s v="136/97"/>
    <x v="2"/>
    <x v="0"/>
    <x v="1"/>
    <x v="3"/>
    <x v="1"/>
    <x v="0"/>
    <x v="0"/>
    <x v="0"/>
    <x v="1"/>
  </r>
  <r>
    <n v="432"/>
    <n v="39"/>
    <x v="1"/>
    <n v="181"/>
    <n v="74"/>
    <x v="423"/>
    <x v="2"/>
    <s v="152/85"/>
    <x v="0"/>
    <x v="0"/>
    <x v="1"/>
    <x v="0"/>
    <x v="1"/>
    <x v="0"/>
    <x v="0"/>
    <x v="0"/>
    <x v="0"/>
  </r>
  <r>
    <n v="433"/>
    <n v="72"/>
    <x v="0"/>
    <n v="185"/>
    <n v="63"/>
    <x v="424"/>
    <x v="1"/>
    <s v="142/88"/>
    <x v="1"/>
    <x v="0"/>
    <x v="0"/>
    <x v="3"/>
    <x v="1"/>
    <x v="0"/>
    <x v="0"/>
    <x v="0"/>
    <x v="2"/>
  </r>
  <r>
    <n v="690"/>
    <n v="67"/>
    <x v="1"/>
    <n v="180"/>
    <n v="86"/>
    <x v="425"/>
    <x v="0"/>
    <s v="128/76"/>
    <x v="0"/>
    <x v="0"/>
    <x v="2"/>
    <x v="0"/>
    <x v="0"/>
    <x v="0"/>
    <x v="0"/>
    <x v="1"/>
    <x v="2"/>
  </r>
  <r>
    <n v="434"/>
    <n v="39"/>
    <x v="0"/>
    <n v="182"/>
    <n v="84"/>
    <x v="426"/>
    <x v="2"/>
    <s v="130/91"/>
    <x v="1"/>
    <x v="1"/>
    <x v="1"/>
    <x v="2"/>
    <x v="0"/>
    <x v="1"/>
    <x v="1"/>
    <x v="0"/>
    <x v="2"/>
  </r>
  <r>
    <n v="435"/>
    <n v="63"/>
    <x v="1"/>
    <n v="173"/>
    <n v="97"/>
    <x v="427"/>
    <x v="0"/>
    <s v="118/78"/>
    <x v="2"/>
    <x v="0"/>
    <x v="1"/>
    <x v="3"/>
    <x v="1"/>
    <x v="1"/>
    <x v="0"/>
    <x v="0"/>
    <x v="2"/>
  </r>
  <r>
    <n v="842"/>
    <n v="67"/>
    <x v="1"/>
    <n v="165"/>
    <n v="57"/>
    <x v="428"/>
    <x v="2"/>
    <s v="117/102"/>
    <x v="0"/>
    <x v="0"/>
    <x v="2"/>
    <x v="2"/>
    <x v="1"/>
    <x v="0"/>
    <x v="1"/>
    <x v="0"/>
    <x v="2"/>
  </r>
  <r>
    <n v="436"/>
    <n v="47"/>
    <x v="1"/>
    <n v="188"/>
    <n v="83"/>
    <x v="429"/>
    <x v="1"/>
    <s v="118/96"/>
    <x v="0"/>
    <x v="1"/>
    <x v="1"/>
    <x v="1"/>
    <x v="1"/>
    <x v="0"/>
    <x v="0"/>
    <x v="0"/>
    <x v="1"/>
  </r>
  <r>
    <n v="438"/>
    <n v="55"/>
    <x v="0"/>
    <n v="177"/>
    <n v="84"/>
    <x v="430"/>
    <x v="1"/>
    <s v="125/87"/>
    <x v="0"/>
    <x v="1"/>
    <x v="1"/>
    <x v="2"/>
    <x v="0"/>
    <x v="1"/>
    <x v="1"/>
    <x v="1"/>
    <x v="1"/>
  </r>
  <r>
    <n v="988"/>
    <n v="67"/>
    <x v="0"/>
    <n v="152"/>
    <n v="66"/>
    <x v="431"/>
    <x v="2"/>
    <s v="128/105"/>
    <x v="0"/>
    <x v="0"/>
    <x v="2"/>
    <x v="0"/>
    <x v="0"/>
    <x v="1"/>
    <x v="1"/>
    <x v="1"/>
    <x v="2"/>
  </r>
  <r>
    <n v="1061"/>
    <n v="67"/>
    <x v="1"/>
    <n v="173"/>
    <n v="78"/>
    <x v="432"/>
    <x v="0"/>
    <s v="119/98"/>
    <x v="0"/>
    <x v="0"/>
    <x v="2"/>
    <x v="1"/>
    <x v="1"/>
    <x v="0"/>
    <x v="0"/>
    <x v="1"/>
    <x v="2"/>
  </r>
  <r>
    <n v="440"/>
    <n v="68"/>
    <x v="1"/>
    <n v="156"/>
    <n v="60"/>
    <x v="433"/>
    <x v="0"/>
    <s v="121/75"/>
    <x v="2"/>
    <x v="1"/>
    <x v="1"/>
    <x v="0"/>
    <x v="1"/>
    <x v="0"/>
    <x v="0"/>
    <x v="1"/>
    <x v="0"/>
  </r>
  <r>
    <n v="1151"/>
    <n v="67"/>
    <x v="1"/>
    <n v="152"/>
    <n v="63"/>
    <x v="434"/>
    <x v="1"/>
    <s v="136/84"/>
    <x v="2"/>
    <x v="0"/>
    <x v="2"/>
    <x v="0"/>
    <x v="1"/>
    <x v="1"/>
    <x v="0"/>
    <x v="1"/>
    <x v="0"/>
  </r>
  <r>
    <n v="1355"/>
    <n v="67"/>
    <x v="0"/>
    <n v="167"/>
    <n v="89"/>
    <x v="435"/>
    <x v="0"/>
    <s v="148/103"/>
    <x v="1"/>
    <x v="1"/>
    <x v="2"/>
    <x v="1"/>
    <x v="1"/>
    <x v="1"/>
    <x v="0"/>
    <x v="0"/>
    <x v="1"/>
  </r>
  <r>
    <n v="442"/>
    <n v="25"/>
    <x v="1"/>
    <n v="186"/>
    <n v="70"/>
    <x v="436"/>
    <x v="1"/>
    <s v="125/87"/>
    <x v="2"/>
    <x v="0"/>
    <x v="1"/>
    <x v="3"/>
    <x v="1"/>
    <x v="0"/>
    <x v="0"/>
    <x v="1"/>
    <x v="0"/>
  </r>
  <r>
    <n v="444"/>
    <n v="44"/>
    <x v="1"/>
    <n v="150"/>
    <n v="94"/>
    <x v="437"/>
    <x v="2"/>
    <s v="110/88"/>
    <x v="2"/>
    <x v="0"/>
    <x v="1"/>
    <x v="3"/>
    <x v="0"/>
    <x v="0"/>
    <x v="0"/>
    <x v="0"/>
    <x v="0"/>
  </r>
  <r>
    <n v="446"/>
    <n v="38"/>
    <x v="0"/>
    <n v="168"/>
    <n v="66"/>
    <x v="438"/>
    <x v="2"/>
    <s v="134/74"/>
    <x v="0"/>
    <x v="1"/>
    <x v="1"/>
    <x v="1"/>
    <x v="1"/>
    <x v="0"/>
    <x v="0"/>
    <x v="1"/>
    <x v="1"/>
  </r>
  <r>
    <n v="1668"/>
    <n v="67"/>
    <x v="0"/>
    <n v="187"/>
    <n v="82"/>
    <x v="439"/>
    <x v="1"/>
    <s v="118/108"/>
    <x v="2"/>
    <x v="1"/>
    <x v="2"/>
    <x v="1"/>
    <x v="1"/>
    <x v="0"/>
    <x v="0"/>
    <x v="1"/>
    <x v="2"/>
  </r>
  <r>
    <n v="447"/>
    <n v="47"/>
    <x v="1"/>
    <n v="178"/>
    <n v="51"/>
    <x v="440"/>
    <x v="2"/>
    <s v="149/88"/>
    <x v="1"/>
    <x v="0"/>
    <x v="1"/>
    <x v="1"/>
    <x v="0"/>
    <x v="0"/>
    <x v="0"/>
    <x v="1"/>
    <x v="2"/>
  </r>
  <r>
    <n v="450"/>
    <n v="64"/>
    <x v="1"/>
    <n v="177"/>
    <n v="67"/>
    <x v="441"/>
    <x v="2"/>
    <s v="148/85"/>
    <x v="1"/>
    <x v="0"/>
    <x v="1"/>
    <x v="3"/>
    <x v="1"/>
    <x v="0"/>
    <x v="1"/>
    <x v="0"/>
    <x v="0"/>
  </r>
  <r>
    <n v="453"/>
    <n v="77"/>
    <x v="1"/>
    <n v="176"/>
    <n v="98"/>
    <x v="442"/>
    <x v="0"/>
    <s v="123/94"/>
    <x v="2"/>
    <x v="1"/>
    <x v="0"/>
    <x v="2"/>
    <x v="0"/>
    <x v="1"/>
    <x v="0"/>
    <x v="1"/>
    <x v="0"/>
  </r>
  <r>
    <n v="1978"/>
    <n v="67"/>
    <x v="1"/>
    <n v="165"/>
    <n v="98"/>
    <x v="443"/>
    <x v="0"/>
    <s v="121/94"/>
    <x v="1"/>
    <x v="0"/>
    <x v="2"/>
    <x v="0"/>
    <x v="0"/>
    <x v="1"/>
    <x v="0"/>
    <x v="0"/>
    <x v="2"/>
  </r>
  <r>
    <n v="38"/>
    <n v="66"/>
    <x v="0"/>
    <n v="170"/>
    <n v="55"/>
    <x v="444"/>
    <x v="1"/>
    <s v="130/85"/>
    <x v="2"/>
    <x v="1"/>
    <x v="2"/>
    <x v="1"/>
    <x v="1"/>
    <x v="1"/>
    <x v="1"/>
    <x v="0"/>
    <x v="1"/>
  </r>
  <r>
    <n v="455"/>
    <n v="65"/>
    <x v="1"/>
    <n v="187"/>
    <n v="84"/>
    <x v="445"/>
    <x v="1"/>
    <s v="131/85"/>
    <x v="0"/>
    <x v="0"/>
    <x v="1"/>
    <x v="0"/>
    <x v="1"/>
    <x v="0"/>
    <x v="1"/>
    <x v="1"/>
    <x v="1"/>
  </r>
  <r>
    <n v="457"/>
    <n v="21"/>
    <x v="1"/>
    <n v="157"/>
    <n v="65"/>
    <x v="446"/>
    <x v="2"/>
    <s v="121/86"/>
    <x v="0"/>
    <x v="0"/>
    <x v="1"/>
    <x v="2"/>
    <x v="1"/>
    <x v="1"/>
    <x v="0"/>
    <x v="0"/>
    <x v="2"/>
  </r>
  <r>
    <n v="459"/>
    <n v="66"/>
    <x v="0"/>
    <n v="161"/>
    <n v="93"/>
    <x v="447"/>
    <x v="0"/>
    <s v="134/82"/>
    <x v="2"/>
    <x v="0"/>
    <x v="1"/>
    <x v="3"/>
    <x v="0"/>
    <x v="1"/>
    <x v="0"/>
    <x v="1"/>
    <x v="1"/>
  </r>
  <r>
    <n v="460"/>
    <n v="34"/>
    <x v="1"/>
    <n v="187"/>
    <n v="92"/>
    <x v="448"/>
    <x v="0"/>
    <s v="117/74"/>
    <x v="2"/>
    <x v="0"/>
    <x v="1"/>
    <x v="1"/>
    <x v="0"/>
    <x v="1"/>
    <x v="1"/>
    <x v="1"/>
    <x v="2"/>
  </r>
  <r>
    <n v="463"/>
    <n v="47"/>
    <x v="1"/>
    <n v="153"/>
    <n v="97"/>
    <x v="449"/>
    <x v="1"/>
    <s v="131/78"/>
    <x v="0"/>
    <x v="1"/>
    <x v="1"/>
    <x v="3"/>
    <x v="1"/>
    <x v="0"/>
    <x v="1"/>
    <x v="0"/>
    <x v="2"/>
  </r>
  <r>
    <n v="284"/>
    <n v="66"/>
    <x v="0"/>
    <n v="169"/>
    <n v="92"/>
    <x v="450"/>
    <x v="0"/>
    <s v="130/78"/>
    <x v="2"/>
    <x v="0"/>
    <x v="2"/>
    <x v="0"/>
    <x v="0"/>
    <x v="1"/>
    <x v="1"/>
    <x v="0"/>
    <x v="1"/>
  </r>
  <r>
    <n v="464"/>
    <n v="46"/>
    <x v="1"/>
    <n v="154"/>
    <n v="91"/>
    <x v="451"/>
    <x v="0"/>
    <s v="150/87"/>
    <x v="1"/>
    <x v="0"/>
    <x v="1"/>
    <x v="0"/>
    <x v="0"/>
    <x v="0"/>
    <x v="1"/>
    <x v="0"/>
    <x v="0"/>
  </r>
  <r>
    <n v="391"/>
    <n v="66"/>
    <x v="1"/>
    <n v="169"/>
    <n v="55"/>
    <x v="452"/>
    <x v="0"/>
    <s v="133/83"/>
    <x v="2"/>
    <x v="1"/>
    <x v="2"/>
    <x v="2"/>
    <x v="1"/>
    <x v="1"/>
    <x v="1"/>
    <x v="0"/>
    <x v="0"/>
  </r>
  <r>
    <n v="471"/>
    <n v="54"/>
    <x v="0"/>
    <n v="176"/>
    <n v="76"/>
    <x v="453"/>
    <x v="2"/>
    <s v="148/99"/>
    <x v="1"/>
    <x v="1"/>
    <x v="1"/>
    <x v="3"/>
    <x v="0"/>
    <x v="0"/>
    <x v="0"/>
    <x v="0"/>
    <x v="1"/>
  </r>
  <r>
    <n v="474"/>
    <n v="66"/>
    <x v="0"/>
    <n v="164"/>
    <n v="57"/>
    <x v="454"/>
    <x v="2"/>
    <s v="134/82"/>
    <x v="1"/>
    <x v="0"/>
    <x v="2"/>
    <x v="1"/>
    <x v="1"/>
    <x v="0"/>
    <x v="1"/>
    <x v="0"/>
    <x v="1"/>
  </r>
  <r>
    <n v="556"/>
    <n v="66"/>
    <x v="1"/>
    <n v="160"/>
    <n v="60"/>
    <x v="455"/>
    <x v="2"/>
    <s v="118/105"/>
    <x v="1"/>
    <x v="1"/>
    <x v="2"/>
    <x v="1"/>
    <x v="0"/>
    <x v="1"/>
    <x v="0"/>
    <x v="0"/>
    <x v="0"/>
  </r>
  <r>
    <n v="476"/>
    <n v="70"/>
    <x v="1"/>
    <n v="186"/>
    <n v="96"/>
    <x v="456"/>
    <x v="0"/>
    <s v="146/91"/>
    <x v="0"/>
    <x v="1"/>
    <x v="0"/>
    <x v="0"/>
    <x v="1"/>
    <x v="0"/>
    <x v="1"/>
    <x v="0"/>
    <x v="1"/>
  </r>
  <r>
    <n v="477"/>
    <n v="48"/>
    <x v="0"/>
    <n v="186"/>
    <n v="95"/>
    <x v="457"/>
    <x v="1"/>
    <s v="126/92"/>
    <x v="2"/>
    <x v="0"/>
    <x v="1"/>
    <x v="3"/>
    <x v="0"/>
    <x v="0"/>
    <x v="1"/>
    <x v="0"/>
    <x v="0"/>
  </r>
  <r>
    <n v="749"/>
    <n v="66"/>
    <x v="0"/>
    <n v="170"/>
    <n v="96"/>
    <x v="458"/>
    <x v="2"/>
    <s v="151/98"/>
    <x v="1"/>
    <x v="1"/>
    <x v="2"/>
    <x v="1"/>
    <x v="1"/>
    <x v="0"/>
    <x v="1"/>
    <x v="1"/>
    <x v="2"/>
  </r>
  <r>
    <n v="478"/>
    <n v="52"/>
    <x v="1"/>
    <n v="186"/>
    <n v="89"/>
    <x v="459"/>
    <x v="0"/>
    <s v="145/78"/>
    <x v="1"/>
    <x v="0"/>
    <x v="1"/>
    <x v="1"/>
    <x v="0"/>
    <x v="0"/>
    <x v="0"/>
    <x v="1"/>
    <x v="2"/>
  </r>
  <r>
    <n v="479"/>
    <n v="77"/>
    <x v="0"/>
    <n v="184"/>
    <n v="61"/>
    <x v="460"/>
    <x v="1"/>
    <s v="111/101"/>
    <x v="0"/>
    <x v="0"/>
    <x v="0"/>
    <x v="1"/>
    <x v="0"/>
    <x v="1"/>
    <x v="0"/>
    <x v="1"/>
    <x v="0"/>
  </r>
  <r>
    <n v="772"/>
    <n v="66"/>
    <x v="0"/>
    <n v="158"/>
    <n v="84"/>
    <x v="461"/>
    <x v="0"/>
    <s v="146/71"/>
    <x v="0"/>
    <x v="0"/>
    <x v="2"/>
    <x v="2"/>
    <x v="0"/>
    <x v="1"/>
    <x v="0"/>
    <x v="1"/>
    <x v="2"/>
  </r>
  <r>
    <n v="781"/>
    <n v="66"/>
    <x v="1"/>
    <n v="158"/>
    <n v="94"/>
    <x v="462"/>
    <x v="1"/>
    <s v="119/84"/>
    <x v="2"/>
    <x v="1"/>
    <x v="2"/>
    <x v="2"/>
    <x v="1"/>
    <x v="1"/>
    <x v="0"/>
    <x v="1"/>
    <x v="2"/>
  </r>
  <r>
    <n v="481"/>
    <n v="69"/>
    <x v="0"/>
    <n v="155"/>
    <n v="92"/>
    <x v="463"/>
    <x v="0"/>
    <s v="152/82"/>
    <x v="1"/>
    <x v="1"/>
    <x v="1"/>
    <x v="2"/>
    <x v="0"/>
    <x v="1"/>
    <x v="1"/>
    <x v="0"/>
    <x v="2"/>
  </r>
  <r>
    <n v="484"/>
    <n v="49"/>
    <x v="0"/>
    <n v="158"/>
    <n v="85"/>
    <x v="464"/>
    <x v="2"/>
    <s v="113/82"/>
    <x v="1"/>
    <x v="0"/>
    <x v="1"/>
    <x v="3"/>
    <x v="0"/>
    <x v="0"/>
    <x v="1"/>
    <x v="0"/>
    <x v="2"/>
  </r>
  <r>
    <n v="1000"/>
    <n v="66"/>
    <x v="1"/>
    <n v="152"/>
    <n v="60"/>
    <x v="465"/>
    <x v="1"/>
    <s v="153/104"/>
    <x v="0"/>
    <x v="0"/>
    <x v="2"/>
    <x v="0"/>
    <x v="1"/>
    <x v="0"/>
    <x v="1"/>
    <x v="1"/>
    <x v="0"/>
  </r>
  <r>
    <n v="485"/>
    <n v="40"/>
    <x v="1"/>
    <n v="178"/>
    <n v="70"/>
    <x v="466"/>
    <x v="1"/>
    <s v="140/76"/>
    <x v="2"/>
    <x v="0"/>
    <x v="1"/>
    <x v="1"/>
    <x v="0"/>
    <x v="1"/>
    <x v="1"/>
    <x v="0"/>
    <x v="2"/>
  </r>
  <r>
    <n v="1046"/>
    <n v="66"/>
    <x v="1"/>
    <n v="172"/>
    <n v="56"/>
    <x v="467"/>
    <x v="0"/>
    <s v="124/105"/>
    <x v="1"/>
    <x v="0"/>
    <x v="2"/>
    <x v="2"/>
    <x v="0"/>
    <x v="1"/>
    <x v="0"/>
    <x v="0"/>
    <x v="2"/>
  </r>
  <r>
    <n v="1172"/>
    <n v="66"/>
    <x v="1"/>
    <n v="189"/>
    <n v="89"/>
    <x v="468"/>
    <x v="0"/>
    <s v="155/88"/>
    <x v="1"/>
    <x v="0"/>
    <x v="2"/>
    <x v="1"/>
    <x v="1"/>
    <x v="0"/>
    <x v="0"/>
    <x v="0"/>
    <x v="2"/>
  </r>
  <r>
    <n v="1194"/>
    <n v="66"/>
    <x v="0"/>
    <n v="157"/>
    <n v="69"/>
    <x v="469"/>
    <x v="2"/>
    <s v="126/95"/>
    <x v="2"/>
    <x v="1"/>
    <x v="2"/>
    <x v="3"/>
    <x v="0"/>
    <x v="0"/>
    <x v="0"/>
    <x v="0"/>
    <x v="2"/>
  </r>
  <r>
    <n v="487"/>
    <n v="20"/>
    <x v="1"/>
    <n v="166"/>
    <n v="54"/>
    <x v="470"/>
    <x v="0"/>
    <s v="114/74"/>
    <x v="2"/>
    <x v="1"/>
    <x v="1"/>
    <x v="0"/>
    <x v="0"/>
    <x v="1"/>
    <x v="1"/>
    <x v="1"/>
    <x v="1"/>
  </r>
  <r>
    <n v="488"/>
    <n v="35"/>
    <x v="1"/>
    <n v="181"/>
    <n v="75"/>
    <x v="471"/>
    <x v="2"/>
    <s v="126/99"/>
    <x v="0"/>
    <x v="0"/>
    <x v="1"/>
    <x v="1"/>
    <x v="1"/>
    <x v="0"/>
    <x v="1"/>
    <x v="0"/>
    <x v="1"/>
  </r>
  <r>
    <n v="1339"/>
    <n v="66"/>
    <x v="1"/>
    <n v="189"/>
    <n v="65"/>
    <x v="472"/>
    <x v="2"/>
    <s v="117/81"/>
    <x v="2"/>
    <x v="1"/>
    <x v="2"/>
    <x v="0"/>
    <x v="1"/>
    <x v="0"/>
    <x v="1"/>
    <x v="0"/>
    <x v="1"/>
  </r>
  <r>
    <n v="1380"/>
    <n v="66"/>
    <x v="1"/>
    <n v="185"/>
    <n v="94"/>
    <x v="473"/>
    <x v="2"/>
    <s v="158/73"/>
    <x v="0"/>
    <x v="0"/>
    <x v="2"/>
    <x v="1"/>
    <x v="1"/>
    <x v="1"/>
    <x v="1"/>
    <x v="1"/>
    <x v="0"/>
  </r>
  <r>
    <n v="494"/>
    <n v="20"/>
    <x v="1"/>
    <n v="183"/>
    <n v="61"/>
    <x v="474"/>
    <x v="0"/>
    <s v="124/82"/>
    <x v="2"/>
    <x v="1"/>
    <x v="1"/>
    <x v="2"/>
    <x v="1"/>
    <x v="0"/>
    <x v="1"/>
    <x v="1"/>
    <x v="1"/>
  </r>
  <r>
    <n v="1616"/>
    <n v="66"/>
    <x v="1"/>
    <n v="161"/>
    <n v="84"/>
    <x v="475"/>
    <x v="0"/>
    <s v="117/106"/>
    <x v="1"/>
    <x v="0"/>
    <x v="2"/>
    <x v="3"/>
    <x v="1"/>
    <x v="0"/>
    <x v="0"/>
    <x v="1"/>
    <x v="0"/>
  </r>
  <r>
    <n v="498"/>
    <n v="67"/>
    <x v="1"/>
    <n v="183"/>
    <n v="65"/>
    <x v="476"/>
    <x v="1"/>
    <s v="145/95"/>
    <x v="1"/>
    <x v="0"/>
    <x v="1"/>
    <x v="2"/>
    <x v="1"/>
    <x v="0"/>
    <x v="1"/>
    <x v="0"/>
    <x v="2"/>
  </r>
  <r>
    <n v="1629"/>
    <n v="66"/>
    <x v="0"/>
    <n v="177"/>
    <n v="79"/>
    <x v="477"/>
    <x v="1"/>
    <s v="111/74"/>
    <x v="1"/>
    <x v="1"/>
    <x v="2"/>
    <x v="1"/>
    <x v="1"/>
    <x v="1"/>
    <x v="0"/>
    <x v="1"/>
    <x v="2"/>
  </r>
  <r>
    <n v="501"/>
    <n v="39"/>
    <x v="0"/>
    <n v="170"/>
    <n v="56"/>
    <x v="478"/>
    <x v="0"/>
    <s v="114/82"/>
    <x v="0"/>
    <x v="1"/>
    <x v="1"/>
    <x v="1"/>
    <x v="0"/>
    <x v="1"/>
    <x v="0"/>
    <x v="0"/>
    <x v="0"/>
  </r>
  <r>
    <n v="505"/>
    <n v="59"/>
    <x v="0"/>
    <n v="150"/>
    <n v="52"/>
    <x v="479"/>
    <x v="2"/>
    <s v="145/104"/>
    <x v="1"/>
    <x v="1"/>
    <x v="1"/>
    <x v="0"/>
    <x v="1"/>
    <x v="0"/>
    <x v="1"/>
    <x v="1"/>
    <x v="1"/>
  </r>
  <r>
    <n v="1667"/>
    <n v="66"/>
    <x v="1"/>
    <n v="162"/>
    <n v="81"/>
    <x v="480"/>
    <x v="1"/>
    <s v="158/96"/>
    <x v="2"/>
    <x v="1"/>
    <x v="2"/>
    <x v="1"/>
    <x v="1"/>
    <x v="0"/>
    <x v="1"/>
    <x v="0"/>
    <x v="1"/>
  </r>
  <r>
    <n v="1864"/>
    <n v="66"/>
    <x v="0"/>
    <n v="189"/>
    <n v="56"/>
    <x v="481"/>
    <x v="2"/>
    <s v="135/108"/>
    <x v="2"/>
    <x v="1"/>
    <x v="2"/>
    <x v="2"/>
    <x v="1"/>
    <x v="0"/>
    <x v="1"/>
    <x v="0"/>
    <x v="1"/>
  </r>
  <r>
    <n v="1925"/>
    <n v="66"/>
    <x v="0"/>
    <n v="187"/>
    <n v="70"/>
    <x v="482"/>
    <x v="2"/>
    <s v="113/81"/>
    <x v="1"/>
    <x v="1"/>
    <x v="2"/>
    <x v="3"/>
    <x v="1"/>
    <x v="1"/>
    <x v="1"/>
    <x v="1"/>
    <x v="2"/>
  </r>
  <r>
    <n v="1931"/>
    <n v="66"/>
    <x v="1"/>
    <n v="152"/>
    <n v="66"/>
    <x v="483"/>
    <x v="0"/>
    <s v="159/73"/>
    <x v="1"/>
    <x v="1"/>
    <x v="2"/>
    <x v="2"/>
    <x v="1"/>
    <x v="0"/>
    <x v="0"/>
    <x v="0"/>
    <x v="2"/>
  </r>
  <r>
    <n v="106"/>
    <n v="65"/>
    <x v="0"/>
    <n v="165"/>
    <n v="83"/>
    <x v="484"/>
    <x v="2"/>
    <s v="159/84"/>
    <x v="0"/>
    <x v="1"/>
    <x v="2"/>
    <x v="1"/>
    <x v="0"/>
    <x v="1"/>
    <x v="1"/>
    <x v="0"/>
    <x v="1"/>
  </r>
  <r>
    <n v="161"/>
    <n v="65"/>
    <x v="1"/>
    <n v="164"/>
    <n v="54"/>
    <x v="485"/>
    <x v="1"/>
    <s v="110/108"/>
    <x v="0"/>
    <x v="1"/>
    <x v="2"/>
    <x v="3"/>
    <x v="0"/>
    <x v="0"/>
    <x v="1"/>
    <x v="0"/>
    <x v="0"/>
  </r>
  <r>
    <n v="506"/>
    <n v="19"/>
    <x v="0"/>
    <n v="177"/>
    <n v="64"/>
    <x v="486"/>
    <x v="0"/>
    <s v="124/109"/>
    <x v="0"/>
    <x v="1"/>
    <x v="1"/>
    <x v="2"/>
    <x v="1"/>
    <x v="1"/>
    <x v="1"/>
    <x v="0"/>
    <x v="2"/>
  </r>
  <r>
    <n v="361"/>
    <n v="65"/>
    <x v="0"/>
    <n v="167"/>
    <n v="53"/>
    <x v="487"/>
    <x v="0"/>
    <s v="122/72"/>
    <x v="2"/>
    <x v="0"/>
    <x v="2"/>
    <x v="3"/>
    <x v="0"/>
    <x v="0"/>
    <x v="1"/>
    <x v="1"/>
    <x v="0"/>
  </r>
  <r>
    <n v="368"/>
    <n v="65"/>
    <x v="1"/>
    <n v="167"/>
    <n v="64"/>
    <x v="488"/>
    <x v="2"/>
    <s v="114/72"/>
    <x v="2"/>
    <x v="0"/>
    <x v="2"/>
    <x v="0"/>
    <x v="1"/>
    <x v="0"/>
    <x v="0"/>
    <x v="0"/>
    <x v="0"/>
  </r>
  <r>
    <n v="510"/>
    <n v="50"/>
    <x v="1"/>
    <n v="183"/>
    <n v="68"/>
    <x v="489"/>
    <x v="1"/>
    <s v="152/107"/>
    <x v="1"/>
    <x v="0"/>
    <x v="1"/>
    <x v="2"/>
    <x v="1"/>
    <x v="0"/>
    <x v="0"/>
    <x v="0"/>
    <x v="1"/>
  </r>
  <r>
    <n v="399"/>
    <n v="65"/>
    <x v="0"/>
    <n v="179"/>
    <n v="62"/>
    <x v="490"/>
    <x v="1"/>
    <s v="120/102"/>
    <x v="1"/>
    <x v="0"/>
    <x v="2"/>
    <x v="3"/>
    <x v="0"/>
    <x v="1"/>
    <x v="1"/>
    <x v="1"/>
    <x v="1"/>
  </r>
  <r>
    <n v="420"/>
    <n v="65"/>
    <x v="1"/>
    <n v="158"/>
    <n v="77"/>
    <x v="491"/>
    <x v="2"/>
    <s v="155/104"/>
    <x v="0"/>
    <x v="0"/>
    <x v="2"/>
    <x v="1"/>
    <x v="0"/>
    <x v="0"/>
    <x v="0"/>
    <x v="1"/>
    <x v="0"/>
  </r>
  <r>
    <n v="511"/>
    <n v="26"/>
    <x v="1"/>
    <n v="160"/>
    <n v="62"/>
    <x v="492"/>
    <x v="2"/>
    <s v="149/70"/>
    <x v="1"/>
    <x v="0"/>
    <x v="1"/>
    <x v="2"/>
    <x v="1"/>
    <x v="0"/>
    <x v="0"/>
    <x v="0"/>
    <x v="2"/>
  </r>
  <r>
    <n v="512"/>
    <n v="60"/>
    <x v="1"/>
    <n v="185"/>
    <n v="91"/>
    <x v="493"/>
    <x v="2"/>
    <s v="138/79"/>
    <x v="2"/>
    <x v="1"/>
    <x v="1"/>
    <x v="0"/>
    <x v="0"/>
    <x v="0"/>
    <x v="1"/>
    <x v="0"/>
    <x v="1"/>
  </r>
  <r>
    <n v="513"/>
    <n v="71"/>
    <x v="0"/>
    <n v="166"/>
    <n v="70"/>
    <x v="494"/>
    <x v="2"/>
    <s v="137/100"/>
    <x v="2"/>
    <x v="0"/>
    <x v="0"/>
    <x v="0"/>
    <x v="0"/>
    <x v="0"/>
    <x v="0"/>
    <x v="1"/>
    <x v="1"/>
  </r>
  <r>
    <n v="514"/>
    <n v="65"/>
    <x v="1"/>
    <n v="184"/>
    <n v="86"/>
    <x v="495"/>
    <x v="0"/>
    <s v="128/72"/>
    <x v="1"/>
    <x v="1"/>
    <x v="1"/>
    <x v="3"/>
    <x v="0"/>
    <x v="1"/>
    <x v="0"/>
    <x v="1"/>
    <x v="0"/>
  </r>
  <r>
    <n v="515"/>
    <n v="56"/>
    <x v="1"/>
    <n v="167"/>
    <n v="76"/>
    <x v="496"/>
    <x v="1"/>
    <s v="145/84"/>
    <x v="2"/>
    <x v="1"/>
    <x v="1"/>
    <x v="1"/>
    <x v="1"/>
    <x v="0"/>
    <x v="1"/>
    <x v="1"/>
    <x v="2"/>
  </r>
  <r>
    <n v="517"/>
    <n v="59"/>
    <x v="1"/>
    <n v="171"/>
    <n v="69"/>
    <x v="497"/>
    <x v="0"/>
    <s v="125/105"/>
    <x v="1"/>
    <x v="1"/>
    <x v="1"/>
    <x v="0"/>
    <x v="0"/>
    <x v="0"/>
    <x v="1"/>
    <x v="1"/>
    <x v="2"/>
  </r>
  <r>
    <n v="519"/>
    <n v="43"/>
    <x v="1"/>
    <n v="168"/>
    <n v="55"/>
    <x v="498"/>
    <x v="0"/>
    <s v="122/102"/>
    <x v="0"/>
    <x v="1"/>
    <x v="1"/>
    <x v="3"/>
    <x v="0"/>
    <x v="1"/>
    <x v="1"/>
    <x v="0"/>
    <x v="2"/>
  </r>
  <r>
    <n v="852"/>
    <n v="65"/>
    <x v="0"/>
    <n v="182"/>
    <n v="69"/>
    <x v="499"/>
    <x v="2"/>
    <s v="127/95"/>
    <x v="0"/>
    <x v="1"/>
    <x v="2"/>
    <x v="1"/>
    <x v="0"/>
    <x v="0"/>
    <x v="0"/>
    <x v="1"/>
    <x v="0"/>
  </r>
  <r>
    <n v="521"/>
    <n v="67"/>
    <x v="0"/>
    <n v="188"/>
    <n v="51"/>
    <x v="500"/>
    <x v="0"/>
    <s v="123/96"/>
    <x v="2"/>
    <x v="0"/>
    <x v="1"/>
    <x v="2"/>
    <x v="0"/>
    <x v="1"/>
    <x v="0"/>
    <x v="1"/>
    <x v="0"/>
  </r>
  <r>
    <n v="1016"/>
    <n v="65"/>
    <x v="1"/>
    <n v="153"/>
    <n v="93"/>
    <x v="501"/>
    <x v="0"/>
    <s v="137/83"/>
    <x v="2"/>
    <x v="1"/>
    <x v="2"/>
    <x v="2"/>
    <x v="1"/>
    <x v="1"/>
    <x v="1"/>
    <x v="1"/>
    <x v="2"/>
  </r>
  <r>
    <n v="1072"/>
    <n v="65"/>
    <x v="1"/>
    <n v="172"/>
    <n v="63"/>
    <x v="502"/>
    <x v="0"/>
    <s v="146/75"/>
    <x v="0"/>
    <x v="0"/>
    <x v="2"/>
    <x v="1"/>
    <x v="1"/>
    <x v="0"/>
    <x v="1"/>
    <x v="0"/>
    <x v="2"/>
  </r>
  <r>
    <n v="525"/>
    <n v="77"/>
    <x v="1"/>
    <n v="154"/>
    <n v="67"/>
    <x v="503"/>
    <x v="2"/>
    <s v="156/73"/>
    <x v="0"/>
    <x v="0"/>
    <x v="0"/>
    <x v="2"/>
    <x v="1"/>
    <x v="1"/>
    <x v="1"/>
    <x v="1"/>
    <x v="2"/>
  </r>
  <r>
    <n v="526"/>
    <n v="75"/>
    <x v="0"/>
    <n v="166"/>
    <n v="54"/>
    <x v="504"/>
    <x v="0"/>
    <s v="139/88"/>
    <x v="2"/>
    <x v="0"/>
    <x v="0"/>
    <x v="2"/>
    <x v="1"/>
    <x v="0"/>
    <x v="1"/>
    <x v="0"/>
    <x v="0"/>
  </r>
  <r>
    <n v="527"/>
    <n v="24"/>
    <x v="1"/>
    <n v="186"/>
    <n v="85"/>
    <x v="505"/>
    <x v="1"/>
    <s v="140/100"/>
    <x v="2"/>
    <x v="1"/>
    <x v="1"/>
    <x v="2"/>
    <x v="1"/>
    <x v="1"/>
    <x v="0"/>
    <x v="1"/>
    <x v="1"/>
  </r>
  <r>
    <n v="1541"/>
    <n v="65"/>
    <x v="1"/>
    <n v="161"/>
    <n v="90"/>
    <x v="506"/>
    <x v="0"/>
    <s v="157/83"/>
    <x v="2"/>
    <x v="0"/>
    <x v="2"/>
    <x v="0"/>
    <x v="0"/>
    <x v="0"/>
    <x v="1"/>
    <x v="0"/>
    <x v="2"/>
  </r>
  <r>
    <n v="531"/>
    <n v="37"/>
    <x v="0"/>
    <n v="183"/>
    <n v="72"/>
    <x v="507"/>
    <x v="0"/>
    <s v="146/92"/>
    <x v="1"/>
    <x v="0"/>
    <x v="1"/>
    <x v="2"/>
    <x v="0"/>
    <x v="1"/>
    <x v="1"/>
    <x v="0"/>
    <x v="1"/>
  </r>
  <r>
    <n v="532"/>
    <n v="18"/>
    <x v="1"/>
    <n v="160"/>
    <n v="83"/>
    <x v="508"/>
    <x v="1"/>
    <s v="136/75"/>
    <x v="1"/>
    <x v="1"/>
    <x v="1"/>
    <x v="1"/>
    <x v="1"/>
    <x v="0"/>
    <x v="1"/>
    <x v="1"/>
    <x v="0"/>
  </r>
  <r>
    <n v="1976"/>
    <n v="65"/>
    <x v="0"/>
    <n v="177"/>
    <n v="82"/>
    <x v="509"/>
    <x v="0"/>
    <s v="136/106"/>
    <x v="0"/>
    <x v="0"/>
    <x v="2"/>
    <x v="1"/>
    <x v="0"/>
    <x v="1"/>
    <x v="0"/>
    <x v="1"/>
    <x v="1"/>
  </r>
  <r>
    <n v="534"/>
    <n v="63"/>
    <x v="1"/>
    <n v="170"/>
    <n v="92"/>
    <x v="510"/>
    <x v="2"/>
    <s v="154/82"/>
    <x v="1"/>
    <x v="0"/>
    <x v="1"/>
    <x v="3"/>
    <x v="1"/>
    <x v="0"/>
    <x v="1"/>
    <x v="0"/>
    <x v="1"/>
  </r>
  <r>
    <n v="75"/>
    <n v="64"/>
    <x v="0"/>
    <n v="157"/>
    <n v="85"/>
    <x v="511"/>
    <x v="0"/>
    <s v="136/79"/>
    <x v="0"/>
    <x v="0"/>
    <x v="2"/>
    <x v="1"/>
    <x v="0"/>
    <x v="0"/>
    <x v="0"/>
    <x v="0"/>
    <x v="1"/>
  </r>
  <r>
    <n v="535"/>
    <n v="33"/>
    <x v="0"/>
    <n v="160"/>
    <n v="78"/>
    <x v="512"/>
    <x v="0"/>
    <s v="159/88"/>
    <x v="2"/>
    <x v="1"/>
    <x v="1"/>
    <x v="0"/>
    <x v="0"/>
    <x v="0"/>
    <x v="0"/>
    <x v="0"/>
    <x v="1"/>
  </r>
  <r>
    <n v="119"/>
    <n v="64"/>
    <x v="1"/>
    <n v="152"/>
    <n v="52"/>
    <x v="513"/>
    <x v="2"/>
    <s v="139/108"/>
    <x v="0"/>
    <x v="1"/>
    <x v="2"/>
    <x v="2"/>
    <x v="1"/>
    <x v="0"/>
    <x v="1"/>
    <x v="0"/>
    <x v="2"/>
  </r>
  <r>
    <n v="536"/>
    <n v="31"/>
    <x v="0"/>
    <n v="188"/>
    <n v="85"/>
    <x v="514"/>
    <x v="2"/>
    <s v="110/109"/>
    <x v="2"/>
    <x v="0"/>
    <x v="1"/>
    <x v="2"/>
    <x v="0"/>
    <x v="0"/>
    <x v="1"/>
    <x v="0"/>
    <x v="0"/>
  </r>
  <r>
    <n v="537"/>
    <n v="29"/>
    <x v="0"/>
    <n v="177"/>
    <n v="71"/>
    <x v="515"/>
    <x v="1"/>
    <s v="141/91"/>
    <x v="2"/>
    <x v="0"/>
    <x v="1"/>
    <x v="3"/>
    <x v="0"/>
    <x v="0"/>
    <x v="1"/>
    <x v="0"/>
    <x v="0"/>
  </r>
  <r>
    <n v="500"/>
    <n v="64"/>
    <x v="1"/>
    <n v="170"/>
    <n v="59"/>
    <x v="516"/>
    <x v="0"/>
    <s v="142/98"/>
    <x v="1"/>
    <x v="1"/>
    <x v="2"/>
    <x v="0"/>
    <x v="1"/>
    <x v="0"/>
    <x v="0"/>
    <x v="1"/>
    <x v="2"/>
  </r>
  <r>
    <n v="579"/>
    <n v="64"/>
    <x v="0"/>
    <n v="181"/>
    <n v="81"/>
    <x v="517"/>
    <x v="0"/>
    <s v="116/92"/>
    <x v="2"/>
    <x v="0"/>
    <x v="2"/>
    <x v="0"/>
    <x v="1"/>
    <x v="0"/>
    <x v="0"/>
    <x v="0"/>
    <x v="2"/>
  </r>
  <r>
    <n v="539"/>
    <n v="40"/>
    <x v="0"/>
    <n v="166"/>
    <n v="85"/>
    <x v="518"/>
    <x v="1"/>
    <s v="111/109"/>
    <x v="2"/>
    <x v="1"/>
    <x v="1"/>
    <x v="1"/>
    <x v="0"/>
    <x v="0"/>
    <x v="1"/>
    <x v="1"/>
    <x v="1"/>
  </r>
  <r>
    <n v="540"/>
    <n v="32"/>
    <x v="1"/>
    <n v="169"/>
    <n v="58"/>
    <x v="519"/>
    <x v="0"/>
    <s v="147/80"/>
    <x v="2"/>
    <x v="0"/>
    <x v="1"/>
    <x v="2"/>
    <x v="0"/>
    <x v="0"/>
    <x v="1"/>
    <x v="1"/>
    <x v="1"/>
  </r>
  <r>
    <n v="796"/>
    <n v="64"/>
    <x v="1"/>
    <n v="184"/>
    <n v="78"/>
    <x v="520"/>
    <x v="2"/>
    <s v="121/83"/>
    <x v="0"/>
    <x v="0"/>
    <x v="2"/>
    <x v="3"/>
    <x v="0"/>
    <x v="0"/>
    <x v="1"/>
    <x v="1"/>
    <x v="2"/>
  </r>
  <r>
    <n v="543"/>
    <n v="19"/>
    <x v="1"/>
    <n v="166"/>
    <n v="87"/>
    <x v="521"/>
    <x v="1"/>
    <s v="120/77"/>
    <x v="2"/>
    <x v="1"/>
    <x v="1"/>
    <x v="3"/>
    <x v="1"/>
    <x v="1"/>
    <x v="0"/>
    <x v="0"/>
    <x v="2"/>
  </r>
  <r>
    <n v="910"/>
    <n v="64"/>
    <x v="0"/>
    <n v="170"/>
    <n v="77"/>
    <x v="522"/>
    <x v="1"/>
    <s v="154/102"/>
    <x v="1"/>
    <x v="0"/>
    <x v="2"/>
    <x v="0"/>
    <x v="0"/>
    <x v="0"/>
    <x v="0"/>
    <x v="0"/>
    <x v="2"/>
  </r>
  <r>
    <n v="544"/>
    <n v="49"/>
    <x v="1"/>
    <n v="168"/>
    <n v="55"/>
    <x v="523"/>
    <x v="1"/>
    <s v="118/95"/>
    <x v="1"/>
    <x v="0"/>
    <x v="1"/>
    <x v="3"/>
    <x v="0"/>
    <x v="0"/>
    <x v="0"/>
    <x v="1"/>
    <x v="2"/>
  </r>
  <r>
    <n v="545"/>
    <n v="40"/>
    <x v="1"/>
    <n v="175"/>
    <n v="96"/>
    <x v="524"/>
    <x v="1"/>
    <s v="111/85"/>
    <x v="0"/>
    <x v="0"/>
    <x v="1"/>
    <x v="2"/>
    <x v="0"/>
    <x v="0"/>
    <x v="0"/>
    <x v="0"/>
    <x v="0"/>
  </r>
  <r>
    <n v="999"/>
    <n v="64"/>
    <x v="0"/>
    <n v="156"/>
    <n v="71"/>
    <x v="525"/>
    <x v="0"/>
    <s v="110/73"/>
    <x v="2"/>
    <x v="0"/>
    <x v="2"/>
    <x v="1"/>
    <x v="0"/>
    <x v="0"/>
    <x v="0"/>
    <x v="1"/>
    <x v="1"/>
  </r>
  <r>
    <n v="546"/>
    <n v="39"/>
    <x v="1"/>
    <n v="181"/>
    <n v="64"/>
    <x v="526"/>
    <x v="0"/>
    <s v="140/75"/>
    <x v="2"/>
    <x v="0"/>
    <x v="1"/>
    <x v="2"/>
    <x v="1"/>
    <x v="0"/>
    <x v="1"/>
    <x v="1"/>
    <x v="1"/>
  </r>
  <r>
    <n v="1130"/>
    <n v="64"/>
    <x v="0"/>
    <n v="189"/>
    <n v="90"/>
    <x v="527"/>
    <x v="1"/>
    <s v="153/94"/>
    <x v="2"/>
    <x v="0"/>
    <x v="2"/>
    <x v="0"/>
    <x v="0"/>
    <x v="0"/>
    <x v="1"/>
    <x v="1"/>
    <x v="1"/>
  </r>
  <r>
    <n v="550"/>
    <n v="79"/>
    <x v="0"/>
    <n v="160"/>
    <n v="53"/>
    <x v="528"/>
    <x v="0"/>
    <s v="133/106"/>
    <x v="1"/>
    <x v="1"/>
    <x v="0"/>
    <x v="0"/>
    <x v="0"/>
    <x v="1"/>
    <x v="1"/>
    <x v="1"/>
    <x v="0"/>
  </r>
  <r>
    <n v="1183"/>
    <n v="64"/>
    <x v="0"/>
    <n v="161"/>
    <n v="57"/>
    <x v="529"/>
    <x v="1"/>
    <s v="152/80"/>
    <x v="1"/>
    <x v="1"/>
    <x v="2"/>
    <x v="3"/>
    <x v="1"/>
    <x v="0"/>
    <x v="0"/>
    <x v="1"/>
    <x v="1"/>
  </r>
  <r>
    <n v="1199"/>
    <n v="64"/>
    <x v="0"/>
    <n v="168"/>
    <n v="59"/>
    <x v="530"/>
    <x v="0"/>
    <s v="137/79"/>
    <x v="2"/>
    <x v="0"/>
    <x v="2"/>
    <x v="2"/>
    <x v="0"/>
    <x v="1"/>
    <x v="1"/>
    <x v="0"/>
    <x v="0"/>
  </r>
  <r>
    <n v="1217"/>
    <n v="64"/>
    <x v="1"/>
    <n v="168"/>
    <n v="73"/>
    <x v="531"/>
    <x v="0"/>
    <s v="139/81"/>
    <x v="1"/>
    <x v="1"/>
    <x v="2"/>
    <x v="0"/>
    <x v="1"/>
    <x v="0"/>
    <x v="0"/>
    <x v="0"/>
    <x v="1"/>
  </r>
  <r>
    <n v="551"/>
    <n v="78"/>
    <x v="0"/>
    <n v="182"/>
    <n v="99"/>
    <x v="532"/>
    <x v="1"/>
    <s v="135/100"/>
    <x v="1"/>
    <x v="0"/>
    <x v="0"/>
    <x v="1"/>
    <x v="1"/>
    <x v="0"/>
    <x v="1"/>
    <x v="0"/>
    <x v="1"/>
  </r>
  <r>
    <n v="553"/>
    <n v="75"/>
    <x v="0"/>
    <n v="172"/>
    <n v="54"/>
    <x v="533"/>
    <x v="0"/>
    <s v="134/71"/>
    <x v="1"/>
    <x v="1"/>
    <x v="0"/>
    <x v="0"/>
    <x v="1"/>
    <x v="0"/>
    <x v="1"/>
    <x v="1"/>
    <x v="0"/>
  </r>
  <r>
    <n v="1256"/>
    <n v="64"/>
    <x v="0"/>
    <n v="159"/>
    <n v="74"/>
    <x v="534"/>
    <x v="0"/>
    <s v="123/99"/>
    <x v="0"/>
    <x v="1"/>
    <x v="2"/>
    <x v="2"/>
    <x v="1"/>
    <x v="1"/>
    <x v="1"/>
    <x v="0"/>
    <x v="0"/>
  </r>
  <r>
    <n v="1259"/>
    <n v="64"/>
    <x v="0"/>
    <n v="184"/>
    <n v="55"/>
    <x v="535"/>
    <x v="2"/>
    <s v="132/104"/>
    <x v="2"/>
    <x v="1"/>
    <x v="2"/>
    <x v="1"/>
    <x v="0"/>
    <x v="1"/>
    <x v="1"/>
    <x v="0"/>
    <x v="1"/>
  </r>
  <r>
    <n v="561"/>
    <n v="71"/>
    <x v="0"/>
    <n v="177"/>
    <n v="93"/>
    <x v="536"/>
    <x v="2"/>
    <s v="115/87"/>
    <x v="1"/>
    <x v="1"/>
    <x v="0"/>
    <x v="3"/>
    <x v="1"/>
    <x v="0"/>
    <x v="1"/>
    <x v="1"/>
    <x v="0"/>
  </r>
  <r>
    <n v="1438"/>
    <n v="64"/>
    <x v="1"/>
    <n v="154"/>
    <n v="66"/>
    <x v="537"/>
    <x v="2"/>
    <s v="157/83"/>
    <x v="1"/>
    <x v="1"/>
    <x v="2"/>
    <x v="1"/>
    <x v="0"/>
    <x v="0"/>
    <x v="1"/>
    <x v="1"/>
    <x v="2"/>
  </r>
  <r>
    <n v="1457"/>
    <n v="64"/>
    <x v="0"/>
    <n v="151"/>
    <n v="65"/>
    <x v="538"/>
    <x v="2"/>
    <s v="132/107"/>
    <x v="0"/>
    <x v="1"/>
    <x v="2"/>
    <x v="1"/>
    <x v="0"/>
    <x v="0"/>
    <x v="1"/>
    <x v="0"/>
    <x v="1"/>
  </r>
  <r>
    <n v="564"/>
    <n v="54"/>
    <x v="0"/>
    <n v="184"/>
    <n v="91"/>
    <x v="539"/>
    <x v="1"/>
    <s v="122/76"/>
    <x v="2"/>
    <x v="1"/>
    <x v="1"/>
    <x v="0"/>
    <x v="1"/>
    <x v="1"/>
    <x v="1"/>
    <x v="0"/>
    <x v="2"/>
  </r>
  <r>
    <n v="1498"/>
    <n v="64"/>
    <x v="0"/>
    <n v="173"/>
    <n v="78"/>
    <x v="540"/>
    <x v="0"/>
    <s v="151/74"/>
    <x v="2"/>
    <x v="0"/>
    <x v="2"/>
    <x v="3"/>
    <x v="1"/>
    <x v="1"/>
    <x v="1"/>
    <x v="0"/>
    <x v="1"/>
  </r>
  <r>
    <n v="566"/>
    <n v="25"/>
    <x v="1"/>
    <n v="157"/>
    <n v="91"/>
    <x v="541"/>
    <x v="1"/>
    <s v="131/82"/>
    <x v="1"/>
    <x v="1"/>
    <x v="1"/>
    <x v="1"/>
    <x v="1"/>
    <x v="0"/>
    <x v="1"/>
    <x v="0"/>
    <x v="2"/>
  </r>
  <r>
    <n v="1534"/>
    <n v="64"/>
    <x v="0"/>
    <n v="189"/>
    <n v="50"/>
    <x v="542"/>
    <x v="2"/>
    <s v="137/75"/>
    <x v="2"/>
    <x v="1"/>
    <x v="2"/>
    <x v="0"/>
    <x v="1"/>
    <x v="0"/>
    <x v="1"/>
    <x v="1"/>
    <x v="2"/>
  </r>
  <r>
    <n v="568"/>
    <n v="77"/>
    <x v="0"/>
    <n v="166"/>
    <n v="56"/>
    <x v="543"/>
    <x v="1"/>
    <s v="138/91"/>
    <x v="0"/>
    <x v="0"/>
    <x v="0"/>
    <x v="1"/>
    <x v="0"/>
    <x v="1"/>
    <x v="1"/>
    <x v="1"/>
    <x v="1"/>
  </r>
  <r>
    <n v="569"/>
    <n v="61"/>
    <x v="1"/>
    <n v="182"/>
    <n v="53"/>
    <x v="544"/>
    <x v="1"/>
    <s v="110/98"/>
    <x v="2"/>
    <x v="1"/>
    <x v="1"/>
    <x v="2"/>
    <x v="1"/>
    <x v="0"/>
    <x v="1"/>
    <x v="1"/>
    <x v="0"/>
  </r>
  <r>
    <n v="570"/>
    <n v="61"/>
    <x v="1"/>
    <n v="181"/>
    <n v="68"/>
    <x v="545"/>
    <x v="0"/>
    <s v="157/74"/>
    <x v="1"/>
    <x v="0"/>
    <x v="1"/>
    <x v="0"/>
    <x v="0"/>
    <x v="1"/>
    <x v="0"/>
    <x v="0"/>
    <x v="1"/>
  </r>
  <r>
    <n v="1712"/>
    <n v="64"/>
    <x v="1"/>
    <n v="153"/>
    <n v="75"/>
    <x v="546"/>
    <x v="2"/>
    <s v="156/101"/>
    <x v="2"/>
    <x v="1"/>
    <x v="2"/>
    <x v="1"/>
    <x v="1"/>
    <x v="1"/>
    <x v="1"/>
    <x v="1"/>
    <x v="2"/>
  </r>
  <r>
    <n v="1750"/>
    <n v="64"/>
    <x v="0"/>
    <n v="156"/>
    <n v="72"/>
    <x v="547"/>
    <x v="2"/>
    <s v="146/87"/>
    <x v="0"/>
    <x v="1"/>
    <x v="2"/>
    <x v="2"/>
    <x v="1"/>
    <x v="0"/>
    <x v="1"/>
    <x v="1"/>
    <x v="2"/>
  </r>
  <r>
    <n v="572"/>
    <n v="56"/>
    <x v="0"/>
    <n v="168"/>
    <n v="79"/>
    <x v="548"/>
    <x v="0"/>
    <s v="128/106"/>
    <x v="0"/>
    <x v="0"/>
    <x v="1"/>
    <x v="0"/>
    <x v="0"/>
    <x v="1"/>
    <x v="0"/>
    <x v="0"/>
    <x v="0"/>
  </r>
  <r>
    <n v="1881"/>
    <n v="64"/>
    <x v="0"/>
    <n v="164"/>
    <n v="77"/>
    <x v="549"/>
    <x v="0"/>
    <s v="129/100"/>
    <x v="1"/>
    <x v="0"/>
    <x v="2"/>
    <x v="1"/>
    <x v="0"/>
    <x v="0"/>
    <x v="1"/>
    <x v="1"/>
    <x v="0"/>
  </r>
  <r>
    <n v="1932"/>
    <n v="64"/>
    <x v="1"/>
    <n v="183"/>
    <n v="67"/>
    <x v="550"/>
    <x v="0"/>
    <s v="111/104"/>
    <x v="2"/>
    <x v="1"/>
    <x v="2"/>
    <x v="0"/>
    <x v="1"/>
    <x v="1"/>
    <x v="0"/>
    <x v="0"/>
    <x v="0"/>
  </r>
  <r>
    <n v="1958"/>
    <n v="64"/>
    <x v="0"/>
    <n v="162"/>
    <n v="68"/>
    <x v="551"/>
    <x v="0"/>
    <s v="126/78"/>
    <x v="2"/>
    <x v="1"/>
    <x v="2"/>
    <x v="1"/>
    <x v="0"/>
    <x v="0"/>
    <x v="1"/>
    <x v="1"/>
    <x v="2"/>
  </r>
  <r>
    <n v="580"/>
    <n v="52"/>
    <x v="0"/>
    <n v="171"/>
    <n v="51"/>
    <x v="552"/>
    <x v="0"/>
    <s v="128/91"/>
    <x v="2"/>
    <x v="1"/>
    <x v="1"/>
    <x v="3"/>
    <x v="1"/>
    <x v="1"/>
    <x v="0"/>
    <x v="1"/>
    <x v="1"/>
  </r>
  <r>
    <n v="583"/>
    <n v="69"/>
    <x v="0"/>
    <n v="152"/>
    <n v="51"/>
    <x v="553"/>
    <x v="1"/>
    <s v="142/73"/>
    <x v="0"/>
    <x v="1"/>
    <x v="1"/>
    <x v="3"/>
    <x v="1"/>
    <x v="1"/>
    <x v="1"/>
    <x v="1"/>
    <x v="0"/>
  </r>
  <r>
    <n v="465"/>
    <n v="63"/>
    <x v="1"/>
    <n v="179"/>
    <n v="61"/>
    <x v="554"/>
    <x v="0"/>
    <s v="159/98"/>
    <x v="1"/>
    <x v="0"/>
    <x v="2"/>
    <x v="2"/>
    <x v="1"/>
    <x v="1"/>
    <x v="1"/>
    <x v="0"/>
    <x v="0"/>
  </r>
  <r>
    <n v="475"/>
    <n v="63"/>
    <x v="1"/>
    <n v="179"/>
    <n v="56"/>
    <x v="555"/>
    <x v="1"/>
    <s v="125/103"/>
    <x v="1"/>
    <x v="0"/>
    <x v="2"/>
    <x v="3"/>
    <x v="0"/>
    <x v="0"/>
    <x v="1"/>
    <x v="0"/>
    <x v="1"/>
  </r>
  <r>
    <n v="496"/>
    <n v="63"/>
    <x v="1"/>
    <n v="172"/>
    <n v="79"/>
    <x v="556"/>
    <x v="0"/>
    <s v="154/77"/>
    <x v="2"/>
    <x v="0"/>
    <x v="2"/>
    <x v="0"/>
    <x v="0"/>
    <x v="1"/>
    <x v="0"/>
    <x v="1"/>
    <x v="2"/>
  </r>
  <r>
    <n v="585"/>
    <n v="30"/>
    <x v="0"/>
    <n v="170"/>
    <n v="66"/>
    <x v="557"/>
    <x v="0"/>
    <s v="136/104"/>
    <x v="0"/>
    <x v="0"/>
    <x v="1"/>
    <x v="1"/>
    <x v="1"/>
    <x v="1"/>
    <x v="0"/>
    <x v="1"/>
    <x v="1"/>
  </r>
  <r>
    <n v="643"/>
    <n v="63"/>
    <x v="0"/>
    <n v="187"/>
    <n v="59"/>
    <x v="558"/>
    <x v="1"/>
    <s v="140/82"/>
    <x v="0"/>
    <x v="1"/>
    <x v="2"/>
    <x v="0"/>
    <x v="0"/>
    <x v="1"/>
    <x v="1"/>
    <x v="1"/>
    <x v="0"/>
  </r>
  <r>
    <n v="586"/>
    <n v="67"/>
    <x v="0"/>
    <n v="165"/>
    <n v="81"/>
    <x v="559"/>
    <x v="1"/>
    <s v="137/75"/>
    <x v="1"/>
    <x v="0"/>
    <x v="1"/>
    <x v="1"/>
    <x v="0"/>
    <x v="1"/>
    <x v="0"/>
    <x v="0"/>
    <x v="2"/>
  </r>
  <r>
    <n v="837"/>
    <n v="63"/>
    <x v="0"/>
    <n v="181"/>
    <n v="94"/>
    <x v="560"/>
    <x v="2"/>
    <s v="138/70"/>
    <x v="0"/>
    <x v="1"/>
    <x v="2"/>
    <x v="2"/>
    <x v="1"/>
    <x v="1"/>
    <x v="0"/>
    <x v="1"/>
    <x v="0"/>
  </r>
  <r>
    <n v="975"/>
    <n v="63"/>
    <x v="0"/>
    <n v="186"/>
    <n v="92"/>
    <x v="561"/>
    <x v="0"/>
    <s v="143/80"/>
    <x v="1"/>
    <x v="0"/>
    <x v="2"/>
    <x v="3"/>
    <x v="0"/>
    <x v="0"/>
    <x v="1"/>
    <x v="0"/>
    <x v="2"/>
  </r>
  <r>
    <n v="1038"/>
    <n v="63"/>
    <x v="1"/>
    <n v="156"/>
    <n v="82"/>
    <x v="562"/>
    <x v="1"/>
    <s v="125/81"/>
    <x v="1"/>
    <x v="1"/>
    <x v="2"/>
    <x v="1"/>
    <x v="0"/>
    <x v="1"/>
    <x v="0"/>
    <x v="1"/>
    <x v="0"/>
  </r>
  <r>
    <n v="1170"/>
    <n v="63"/>
    <x v="1"/>
    <n v="155"/>
    <n v="96"/>
    <x v="563"/>
    <x v="2"/>
    <s v="124/92"/>
    <x v="2"/>
    <x v="1"/>
    <x v="2"/>
    <x v="0"/>
    <x v="1"/>
    <x v="1"/>
    <x v="1"/>
    <x v="1"/>
    <x v="2"/>
  </r>
  <r>
    <n v="589"/>
    <n v="47"/>
    <x v="1"/>
    <n v="173"/>
    <n v="95"/>
    <x v="564"/>
    <x v="1"/>
    <s v="133/74"/>
    <x v="0"/>
    <x v="1"/>
    <x v="1"/>
    <x v="0"/>
    <x v="0"/>
    <x v="1"/>
    <x v="1"/>
    <x v="1"/>
    <x v="0"/>
  </r>
  <r>
    <n v="1524"/>
    <n v="63"/>
    <x v="0"/>
    <n v="156"/>
    <n v="50"/>
    <x v="565"/>
    <x v="0"/>
    <s v="157/77"/>
    <x v="1"/>
    <x v="0"/>
    <x v="2"/>
    <x v="2"/>
    <x v="1"/>
    <x v="1"/>
    <x v="1"/>
    <x v="1"/>
    <x v="2"/>
  </r>
  <r>
    <n v="591"/>
    <n v="34"/>
    <x v="1"/>
    <n v="179"/>
    <n v="80"/>
    <x v="566"/>
    <x v="0"/>
    <s v="156/81"/>
    <x v="1"/>
    <x v="0"/>
    <x v="1"/>
    <x v="0"/>
    <x v="0"/>
    <x v="1"/>
    <x v="1"/>
    <x v="1"/>
    <x v="0"/>
  </r>
  <r>
    <n v="592"/>
    <n v="73"/>
    <x v="1"/>
    <n v="179"/>
    <n v="92"/>
    <x v="567"/>
    <x v="0"/>
    <s v="114/106"/>
    <x v="1"/>
    <x v="0"/>
    <x v="0"/>
    <x v="1"/>
    <x v="1"/>
    <x v="1"/>
    <x v="1"/>
    <x v="0"/>
    <x v="0"/>
  </r>
  <r>
    <n v="594"/>
    <n v="45"/>
    <x v="1"/>
    <n v="168"/>
    <n v="50"/>
    <x v="568"/>
    <x v="0"/>
    <s v="137/99"/>
    <x v="2"/>
    <x v="0"/>
    <x v="1"/>
    <x v="0"/>
    <x v="0"/>
    <x v="1"/>
    <x v="0"/>
    <x v="0"/>
    <x v="1"/>
  </r>
  <r>
    <n v="597"/>
    <n v="43"/>
    <x v="0"/>
    <n v="189"/>
    <n v="53"/>
    <x v="569"/>
    <x v="2"/>
    <s v="148/87"/>
    <x v="2"/>
    <x v="0"/>
    <x v="1"/>
    <x v="0"/>
    <x v="1"/>
    <x v="1"/>
    <x v="0"/>
    <x v="0"/>
    <x v="0"/>
  </r>
  <r>
    <n v="598"/>
    <n v="54"/>
    <x v="1"/>
    <n v="156"/>
    <n v="56"/>
    <x v="570"/>
    <x v="1"/>
    <s v="142/94"/>
    <x v="2"/>
    <x v="1"/>
    <x v="1"/>
    <x v="2"/>
    <x v="1"/>
    <x v="0"/>
    <x v="1"/>
    <x v="0"/>
    <x v="1"/>
  </r>
  <r>
    <n v="602"/>
    <n v="40"/>
    <x v="0"/>
    <n v="150"/>
    <n v="61"/>
    <x v="571"/>
    <x v="2"/>
    <s v="127/86"/>
    <x v="1"/>
    <x v="1"/>
    <x v="1"/>
    <x v="3"/>
    <x v="0"/>
    <x v="1"/>
    <x v="1"/>
    <x v="0"/>
    <x v="1"/>
  </r>
  <r>
    <n v="1847"/>
    <n v="63"/>
    <x v="1"/>
    <n v="175"/>
    <n v="90"/>
    <x v="572"/>
    <x v="0"/>
    <s v="119/72"/>
    <x v="0"/>
    <x v="0"/>
    <x v="2"/>
    <x v="0"/>
    <x v="1"/>
    <x v="1"/>
    <x v="0"/>
    <x v="1"/>
    <x v="1"/>
  </r>
  <r>
    <n v="604"/>
    <n v="29"/>
    <x v="1"/>
    <n v="174"/>
    <n v="66"/>
    <x v="573"/>
    <x v="1"/>
    <s v="116/104"/>
    <x v="2"/>
    <x v="1"/>
    <x v="1"/>
    <x v="1"/>
    <x v="0"/>
    <x v="0"/>
    <x v="1"/>
    <x v="0"/>
    <x v="0"/>
  </r>
  <r>
    <n v="605"/>
    <n v="70"/>
    <x v="0"/>
    <n v="186"/>
    <n v="82"/>
    <x v="574"/>
    <x v="0"/>
    <s v="139/81"/>
    <x v="0"/>
    <x v="1"/>
    <x v="0"/>
    <x v="1"/>
    <x v="1"/>
    <x v="0"/>
    <x v="0"/>
    <x v="1"/>
    <x v="2"/>
  </r>
  <r>
    <n v="131"/>
    <n v="62"/>
    <x v="0"/>
    <n v="187"/>
    <n v="72"/>
    <x v="575"/>
    <x v="2"/>
    <s v="128/102"/>
    <x v="0"/>
    <x v="0"/>
    <x v="2"/>
    <x v="1"/>
    <x v="0"/>
    <x v="0"/>
    <x v="1"/>
    <x v="0"/>
    <x v="2"/>
  </r>
  <r>
    <n v="205"/>
    <n v="62"/>
    <x v="1"/>
    <n v="157"/>
    <n v="62"/>
    <x v="576"/>
    <x v="1"/>
    <s v="120/79"/>
    <x v="2"/>
    <x v="0"/>
    <x v="2"/>
    <x v="1"/>
    <x v="1"/>
    <x v="0"/>
    <x v="1"/>
    <x v="0"/>
    <x v="2"/>
  </r>
  <r>
    <n v="219"/>
    <n v="62"/>
    <x v="0"/>
    <n v="168"/>
    <n v="71"/>
    <x v="577"/>
    <x v="1"/>
    <s v="143/76"/>
    <x v="0"/>
    <x v="0"/>
    <x v="2"/>
    <x v="3"/>
    <x v="0"/>
    <x v="0"/>
    <x v="1"/>
    <x v="0"/>
    <x v="1"/>
  </r>
  <r>
    <n v="439"/>
    <n v="62"/>
    <x v="1"/>
    <n v="186"/>
    <n v="60"/>
    <x v="578"/>
    <x v="2"/>
    <s v="142/70"/>
    <x v="1"/>
    <x v="1"/>
    <x v="2"/>
    <x v="0"/>
    <x v="0"/>
    <x v="1"/>
    <x v="1"/>
    <x v="0"/>
    <x v="0"/>
  </r>
  <r>
    <n v="530"/>
    <n v="62"/>
    <x v="0"/>
    <n v="176"/>
    <n v="68"/>
    <x v="579"/>
    <x v="2"/>
    <s v="157/100"/>
    <x v="0"/>
    <x v="1"/>
    <x v="2"/>
    <x v="2"/>
    <x v="0"/>
    <x v="1"/>
    <x v="0"/>
    <x v="1"/>
    <x v="1"/>
  </r>
  <r>
    <n v="575"/>
    <n v="62"/>
    <x v="0"/>
    <n v="154"/>
    <n v="70"/>
    <x v="580"/>
    <x v="1"/>
    <s v="119/71"/>
    <x v="2"/>
    <x v="0"/>
    <x v="2"/>
    <x v="1"/>
    <x v="0"/>
    <x v="1"/>
    <x v="1"/>
    <x v="0"/>
    <x v="1"/>
  </r>
  <r>
    <n v="606"/>
    <n v="18"/>
    <x v="0"/>
    <n v="150"/>
    <n v="60"/>
    <x v="581"/>
    <x v="2"/>
    <s v="144/80"/>
    <x v="0"/>
    <x v="0"/>
    <x v="1"/>
    <x v="0"/>
    <x v="1"/>
    <x v="1"/>
    <x v="1"/>
    <x v="0"/>
    <x v="0"/>
  </r>
  <r>
    <n v="676"/>
    <n v="62"/>
    <x v="0"/>
    <n v="169"/>
    <n v="69"/>
    <x v="582"/>
    <x v="1"/>
    <s v="123/105"/>
    <x v="2"/>
    <x v="1"/>
    <x v="2"/>
    <x v="1"/>
    <x v="0"/>
    <x v="0"/>
    <x v="0"/>
    <x v="0"/>
    <x v="1"/>
  </r>
  <r>
    <n v="608"/>
    <n v="75"/>
    <x v="0"/>
    <n v="186"/>
    <n v="81"/>
    <x v="583"/>
    <x v="0"/>
    <s v="134/101"/>
    <x v="0"/>
    <x v="0"/>
    <x v="0"/>
    <x v="1"/>
    <x v="1"/>
    <x v="0"/>
    <x v="1"/>
    <x v="0"/>
    <x v="0"/>
  </r>
  <r>
    <n v="610"/>
    <n v="64"/>
    <x v="0"/>
    <n v="189"/>
    <n v="96"/>
    <x v="584"/>
    <x v="0"/>
    <s v="113/107"/>
    <x v="0"/>
    <x v="0"/>
    <x v="1"/>
    <x v="2"/>
    <x v="1"/>
    <x v="1"/>
    <x v="0"/>
    <x v="1"/>
    <x v="1"/>
  </r>
  <r>
    <n v="853"/>
    <n v="62"/>
    <x v="1"/>
    <n v="172"/>
    <n v="68"/>
    <x v="585"/>
    <x v="1"/>
    <s v="158/85"/>
    <x v="1"/>
    <x v="1"/>
    <x v="2"/>
    <x v="3"/>
    <x v="0"/>
    <x v="0"/>
    <x v="1"/>
    <x v="1"/>
    <x v="1"/>
  </r>
  <r>
    <n v="860"/>
    <n v="62"/>
    <x v="1"/>
    <n v="178"/>
    <n v="60"/>
    <x v="586"/>
    <x v="0"/>
    <s v="127/106"/>
    <x v="0"/>
    <x v="0"/>
    <x v="2"/>
    <x v="2"/>
    <x v="0"/>
    <x v="0"/>
    <x v="0"/>
    <x v="1"/>
    <x v="0"/>
  </r>
  <r>
    <n v="613"/>
    <n v="79"/>
    <x v="0"/>
    <n v="158"/>
    <n v="56"/>
    <x v="587"/>
    <x v="2"/>
    <s v="131/86"/>
    <x v="0"/>
    <x v="0"/>
    <x v="0"/>
    <x v="2"/>
    <x v="1"/>
    <x v="0"/>
    <x v="1"/>
    <x v="0"/>
    <x v="2"/>
  </r>
  <r>
    <n v="615"/>
    <n v="65"/>
    <x v="0"/>
    <n v="185"/>
    <n v="91"/>
    <x v="588"/>
    <x v="2"/>
    <s v="122/104"/>
    <x v="2"/>
    <x v="1"/>
    <x v="1"/>
    <x v="0"/>
    <x v="0"/>
    <x v="1"/>
    <x v="1"/>
    <x v="1"/>
    <x v="1"/>
  </r>
  <r>
    <n v="908"/>
    <n v="62"/>
    <x v="1"/>
    <n v="164"/>
    <n v="72"/>
    <x v="589"/>
    <x v="1"/>
    <s v="128/100"/>
    <x v="0"/>
    <x v="0"/>
    <x v="2"/>
    <x v="2"/>
    <x v="0"/>
    <x v="1"/>
    <x v="0"/>
    <x v="0"/>
    <x v="1"/>
  </r>
  <r>
    <n v="616"/>
    <n v="42"/>
    <x v="1"/>
    <n v="184"/>
    <n v="73"/>
    <x v="590"/>
    <x v="0"/>
    <s v="152/71"/>
    <x v="1"/>
    <x v="1"/>
    <x v="1"/>
    <x v="3"/>
    <x v="1"/>
    <x v="1"/>
    <x v="1"/>
    <x v="0"/>
    <x v="0"/>
  </r>
  <r>
    <n v="617"/>
    <n v="57"/>
    <x v="0"/>
    <n v="151"/>
    <n v="53"/>
    <x v="591"/>
    <x v="2"/>
    <s v="156/82"/>
    <x v="0"/>
    <x v="0"/>
    <x v="1"/>
    <x v="2"/>
    <x v="0"/>
    <x v="1"/>
    <x v="0"/>
    <x v="1"/>
    <x v="2"/>
  </r>
  <r>
    <n v="1175"/>
    <n v="62"/>
    <x v="1"/>
    <n v="154"/>
    <n v="77"/>
    <x v="592"/>
    <x v="0"/>
    <s v="111/72"/>
    <x v="0"/>
    <x v="1"/>
    <x v="2"/>
    <x v="3"/>
    <x v="0"/>
    <x v="1"/>
    <x v="1"/>
    <x v="0"/>
    <x v="1"/>
  </r>
  <r>
    <n v="618"/>
    <n v="62"/>
    <x v="0"/>
    <n v="189"/>
    <n v="93"/>
    <x v="593"/>
    <x v="1"/>
    <s v="125/87"/>
    <x v="1"/>
    <x v="0"/>
    <x v="1"/>
    <x v="3"/>
    <x v="0"/>
    <x v="1"/>
    <x v="0"/>
    <x v="1"/>
    <x v="1"/>
  </r>
  <r>
    <n v="619"/>
    <n v="70"/>
    <x v="1"/>
    <n v="172"/>
    <n v="68"/>
    <x v="594"/>
    <x v="1"/>
    <s v="116/105"/>
    <x v="2"/>
    <x v="0"/>
    <x v="0"/>
    <x v="0"/>
    <x v="0"/>
    <x v="0"/>
    <x v="1"/>
    <x v="0"/>
    <x v="1"/>
  </r>
  <r>
    <n v="620"/>
    <n v="18"/>
    <x v="0"/>
    <n v="158"/>
    <n v="75"/>
    <x v="595"/>
    <x v="0"/>
    <s v="150/99"/>
    <x v="0"/>
    <x v="1"/>
    <x v="1"/>
    <x v="1"/>
    <x v="0"/>
    <x v="1"/>
    <x v="0"/>
    <x v="0"/>
    <x v="0"/>
  </r>
  <r>
    <n v="621"/>
    <n v="33"/>
    <x v="1"/>
    <n v="183"/>
    <n v="60"/>
    <x v="596"/>
    <x v="1"/>
    <s v="151/76"/>
    <x v="2"/>
    <x v="1"/>
    <x v="1"/>
    <x v="3"/>
    <x v="0"/>
    <x v="1"/>
    <x v="0"/>
    <x v="1"/>
    <x v="0"/>
  </r>
  <r>
    <n v="623"/>
    <n v="56"/>
    <x v="0"/>
    <n v="153"/>
    <n v="99"/>
    <x v="597"/>
    <x v="2"/>
    <s v="128/106"/>
    <x v="0"/>
    <x v="0"/>
    <x v="1"/>
    <x v="0"/>
    <x v="0"/>
    <x v="0"/>
    <x v="0"/>
    <x v="0"/>
    <x v="0"/>
  </r>
  <r>
    <n v="1418"/>
    <n v="62"/>
    <x v="1"/>
    <n v="161"/>
    <n v="59"/>
    <x v="598"/>
    <x v="2"/>
    <s v="151/96"/>
    <x v="1"/>
    <x v="1"/>
    <x v="2"/>
    <x v="2"/>
    <x v="1"/>
    <x v="1"/>
    <x v="0"/>
    <x v="1"/>
    <x v="2"/>
  </r>
  <r>
    <n v="1489"/>
    <n v="62"/>
    <x v="0"/>
    <n v="178"/>
    <n v="59"/>
    <x v="599"/>
    <x v="1"/>
    <s v="129/86"/>
    <x v="1"/>
    <x v="1"/>
    <x v="2"/>
    <x v="2"/>
    <x v="1"/>
    <x v="1"/>
    <x v="0"/>
    <x v="1"/>
    <x v="2"/>
  </r>
  <r>
    <n v="624"/>
    <n v="22"/>
    <x v="1"/>
    <n v="179"/>
    <n v="92"/>
    <x v="600"/>
    <x v="1"/>
    <s v="111/82"/>
    <x v="0"/>
    <x v="0"/>
    <x v="1"/>
    <x v="1"/>
    <x v="1"/>
    <x v="0"/>
    <x v="0"/>
    <x v="1"/>
    <x v="0"/>
  </r>
  <r>
    <n v="1652"/>
    <n v="62"/>
    <x v="0"/>
    <n v="150"/>
    <n v="78"/>
    <x v="601"/>
    <x v="1"/>
    <s v="117/96"/>
    <x v="1"/>
    <x v="0"/>
    <x v="2"/>
    <x v="0"/>
    <x v="1"/>
    <x v="0"/>
    <x v="1"/>
    <x v="0"/>
    <x v="0"/>
  </r>
  <r>
    <n v="627"/>
    <n v="72"/>
    <x v="1"/>
    <n v="160"/>
    <n v="52"/>
    <x v="602"/>
    <x v="2"/>
    <s v="137/101"/>
    <x v="1"/>
    <x v="0"/>
    <x v="0"/>
    <x v="3"/>
    <x v="0"/>
    <x v="1"/>
    <x v="1"/>
    <x v="1"/>
    <x v="2"/>
  </r>
  <r>
    <n v="628"/>
    <n v="20"/>
    <x v="1"/>
    <n v="184"/>
    <n v="61"/>
    <x v="603"/>
    <x v="2"/>
    <s v="153/79"/>
    <x v="2"/>
    <x v="0"/>
    <x v="1"/>
    <x v="1"/>
    <x v="1"/>
    <x v="0"/>
    <x v="1"/>
    <x v="1"/>
    <x v="1"/>
  </r>
  <r>
    <n v="629"/>
    <n v="29"/>
    <x v="1"/>
    <n v="157"/>
    <n v="52"/>
    <x v="604"/>
    <x v="1"/>
    <s v="159/87"/>
    <x v="0"/>
    <x v="0"/>
    <x v="1"/>
    <x v="2"/>
    <x v="0"/>
    <x v="1"/>
    <x v="0"/>
    <x v="1"/>
    <x v="2"/>
  </r>
  <r>
    <n v="631"/>
    <n v="33"/>
    <x v="1"/>
    <n v="163"/>
    <n v="76"/>
    <x v="605"/>
    <x v="1"/>
    <s v="116/77"/>
    <x v="2"/>
    <x v="1"/>
    <x v="1"/>
    <x v="2"/>
    <x v="1"/>
    <x v="1"/>
    <x v="0"/>
    <x v="0"/>
    <x v="1"/>
  </r>
  <r>
    <n v="633"/>
    <n v="54"/>
    <x v="0"/>
    <n v="181"/>
    <n v="51"/>
    <x v="606"/>
    <x v="2"/>
    <s v="150/109"/>
    <x v="2"/>
    <x v="0"/>
    <x v="1"/>
    <x v="2"/>
    <x v="0"/>
    <x v="1"/>
    <x v="1"/>
    <x v="0"/>
    <x v="2"/>
  </r>
  <r>
    <n v="634"/>
    <n v="39"/>
    <x v="1"/>
    <n v="183"/>
    <n v="98"/>
    <x v="607"/>
    <x v="1"/>
    <s v="112/86"/>
    <x v="2"/>
    <x v="0"/>
    <x v="1"/>
    <x v="0"/>
    <x v="1"/>
    <x v="0"/>
    <x v="0"/>
    <x v="0"/>
    <x v="1"/>
  </r>
  <r>
    <n v="636"/>
    <n v="46"/>
    <x v="1"/>
    <n v="187"/>
    <n v="51"/>
    <x v="608"/>
    <x v="1"/>
    <s v="155/98"/>
    <x v="1"/>
    <x v="1"/>
    <x v="1"/>
    <x v="1"/>
    <x v="1"/>
    <x v="1"/>
    <x v="0"/>
    <x v="0"/>
    <x v="2"/>
  </r>
  <r>
    <n v="25"/>
    <n v="61"/>
    <x v="1"/>
    <n v="159"/>
    <n v="91"/>
    <x v="609"/>
    <x v="2"/>
    <s v="158/108"/>
    <x v="1"/>
    <x v="1"/>
    <x v="2"/>
    <x v="3"/>
    <x v="1"/>
    <x v="0"/>
    <x v="1"/>
    <x v="1"/>
    <x v="1"/>
  </r>
  <r>
    <n v="36"/>
    <n v="61"/>
    <x v="1"/>
    <n v="181"/>
    <n v="89"/>
    <x v="610"/>
    <x v="1"/>
    <s v="135/71"/>
    <x v="2"/>
    <x v="1"/>
    <x v="2"/>
    <x v="1"/>
    <x v="1"/>
    <x v="1"/>
    <x v="0"/>
    <x v="1"/>
    <x v="1"/>
  </r>
  <r>
    <n v="637"/>
    <n v="31"/>
    <x v="1"/>
    <n v="165"/>
    <n v="79"/>
    <x v="611"/>
    <x v="0"/>
    <s v="159/91"/>
    <x v="0"/>
    <x v="0"/>
    <x v="1"/>
    <x v="2"/>
    <x v="0"/>
    <x v="1"/>
    <x v="1"/>
    <x v="0"/>
    <x v="2"/>
  </r>
  <r>
    <n v="638"/>
    <n v="45"/>
    <x v="0"/>
    <n v="151"/>
    <n v="69"/>
    <x v="612"/>
    <x v="2"/>
    <s v="113/75"/>
    <x v="0"/>
    <x v="1"/>
    <x v="1"/>
    <x v="1"/>
    <x v="0"/>
    <x v="0"/>
    <x v="0"/>
    <x v="0"/>
    <x v="1"/>
  </r>
  <r>
    <n v="99"/>
    <n v="61"/>
    <x v="0"/>
    <n v="179"/>
    <n v="65"/>
    <x v="613"/>
    <x v="1"/>
    <s v="123/79"/>
    <x v="2"/>
    <x v="0"/>
    <x v="2"/>
    <x v="1"/>
    <x v="0"/>
    <x v="1"/>
    <x v="1"/>
    <x v="0"/>
    <x v="1"/>
  </r>
  <r>
    <n v="138"/>
    <n v="61"/>
    <x v="0"/>
    <n v="173"/>
    <n v="72"/>
    <x v="614"/>
    <x v="0"/>
    <s v="143/107"/>
    <x v="0"/>
    <x v="1"/>
    <x v="2"/>
    <x v="2"/>
    <x v="1"/>
    <x v="0"/>
    <x v="0"/>
    <x v="0"/>
    <x v="1"/>
  </r>
  <r>
    <n v="168"/>
    <n v="61"/>
    <x v="0"/>
    <n v="151"/>
    <n v="72"/>
    <x v="615"/>
    <x v="1"/>
    <s v="147/83"/>
    <x v="1"/>
    <x v="0"/>
    <x v="2"/>
    <x v="0"/>
    <x v="1"/>
    <x v="1"/>
    <x v="1"/>
    <x v="0"/>
    <x v="1"/>
  </r>
  <r>
    <n v="640"/>
    <n v="64"/>
    <x v="1"/>
    <n v="166"/>
    <n v="77"/>
    <x v="616"/>
    <x v="1"/>
    <s v="120/95"/>
    <x v="1"/>
    <x v="0"/>
    <x v="1"/>
    <x v="3"/>
    <x v="1"/>
    <x v="1"/>
    <x v="1"/>
    <x v="1"/>
    <x v="2"/>
  </r>
  <r>
    <n v="227"/>
    <n v="61"/>
    <x v="1"/>
    <n v="158"/>
    <n v="70"/>
    <x v="617"/>
    <x v="0"/>
    <s v="137/102"/>
    <x v="2"/>
    <x v="0"/>
    <x v="2"/>
    <x v="3"/>
    <x v="0"/>
    <x v="0"/>
    <x v="0"/>
    <x v="1"/>
    <x v="1"/>
  </r>
  <r>
    <n v="258"/>
    <n v="61"/>
    <x v="1"/>
    <n v="169"/>
    <n v="84"/>
    <x v="618"/>
    <x v="2"/>
    <s v="136/81"/>
    <x v="0"/>
    <x v="0"/>
    <x v="2"/>
    <x v="3"/>
    <x v="1"/>
    <x v="1"/>
    <x v="1"/>
    <x v="0"/>
    <x v="0"/>
  </r>
  <r>
    <n v="298"/>
    <n v="61"/>
    <x v="1"/>
    <n v="176"/>
    <n v="73"/>
    <x v="619"/>
    <x v="0"/>
    <s v="140/102"/>
    <x v="0"/>
    <x v="0"/>
    <x v="2"/>
    <x v="2"/>
    <x v="1"/>
    <x v="0"/>
    <x v="0"/>
    <x v="0"/>
    <x v="2"/>
  </r>
  <r>
    <n v="461"/>
    <n v="61"/>
    <x v="0"/>
    <n v="150"/>
    <n v="96"/>
    <x v="620"/>
    <x v="0"/>
    <s v="121/72"/>
    <x v="2"/>
    <x v="0"/>
    <x v="2"/>
    <x v="1"/>
    <x v="1"/>
    <x v="0"/>
    <x v="0"/>
    <x v="0"/>
    <x v="2"/>
  </r>
  <r>
    <n v="641"/>
    <n v="66"/>
    <x v="1"/>
    <n v="183"/>
    <n v="74"/>
    <x v="621"/>
    <x v="0"/>
    <s v="126/93"/>
    <x v="1"/>
    <x v="1"/>
    <x v="1"/>
    <x v="0"/>
    <x v="1"/>
    <x v="1"/>
    <x v="0"/>
    <x v="0"/>
    <x v="1"/>
  </r>
  <r>
    <n v="644"/>
    <n v="79"/>
    <x v="1"/>
    <n v="151"/>
    <n v="91"/>
    <x v="622"/>
    <x v="2"/>
    <s v="144/85"/>
    <x v="1"/>
    <x v="1"/>
    <x v="0"/>
    <x v="1"/>
    <x v="1"/>
    <x v="0"/>
    <x v="1"/>
    <x v="1"/>
    <x v="2"/>
  </r>
  <r>
    <n v="645"/>
    <n v="69"/>
    <x v="1"/>
    <n v="151"/>
    <n v="89"/>
    <x v="623"/>
    <x v="0"/>
    <s v="124/87"/>
    <x v="2"/>
    <x v="0"/>
    <x v="1"/>
    <x v="2"/>
    <x v="1"/>
    <x v="0"/>
    <x v="1"/>
    <x v="1"/>
    <x v="1"/>
  </r>
  <r>
    <n v="832"/>
    <n v="61"/>
    <x v="1"/>
    <n v="183"/>
    <n v="62"/>
    <x v="624"/>
    <x v="2"/>
    <s v="134/100"/>
    <x v="0"/>
    <x v="1"/>
    <x v="2"/>
    <x v="3"/>
    <x v="1"/>
    <x v="0"/>
    <x v="0"/>
    <x v="0"/>
    <x v="2"/>
  </r>
  <r>
    <n v="647"/>
    <n v="29"/>
    <x v="0"/>
    <n v="162"/>
    <n v="62"/>
    <x v="625"/>
    <x v="0"/>
    <s v="157/96"/>
    <x v="0"/>
    <x v="1"/>
    <x v="1"/>
    <x v="2"/>
    <x v="0"/>
    <x v="1"/>
    <x v="1"/>
    <x v="1"/>
    <x v="2"/>
  </r>
  <r>
    <n v="648"/>
    <n v="33"/>
    <x v="1"/>
    <n v="180"/>
    <n v="90"/>
    <x v="626"/>
    <x v="1"/>
    <s v="144/104"/>
    <x v="0"/>
    <x v="0"/>
    <x v="1"/>
    <x v="2"/>
    <x v="0"/>
    <x v="1"/>
    <x v="0"/>
    <x v="1"/>
    <x v="2"/>
  </r>
  <r>
    <n v="650"/>
    <n v="43"/>
    <x v="0"/>
    <n v="188"/>
    <n v="96"/>
    <x v="627"/>
    <x v="1"/>
    <s v="147/78"/>
    <x v="1"/>
    <x v="0"/>
    <x v="1"/>
    <x v="2"/>
    <x v="1"/>
    <x v="0"/>
    <x v="0"/>
    <x v="0"/>
    <x v="2"/>
  </r>
  <r>
    <n v="1242"/>
    <n v="61"/>
    <x v="0"/>
    <n v="159"/>
    <n v="71"/>
    <x v="628"/>
    <x v="2"/>
    <s v="157/108"/>
    <x v="1"/>
    <x v="0"/>
    <x v="2"/>
    <x v="2"/>
    <x v="0"/>
    <x v="1"/>
    <x v="0"/>
    <x v="1"/>
    <x v="2"/>
  </r>
  <r>
    <n v="1263"/>
    <n v="61"/>
    <x v="1"/>
    <n v="159"/>
    <n v="92"/>
    <x v="629"/>
    <x v="0"/>
    <s v="141/107"/>
    <x v="1"/>
    <x v="0"/>
    <x v="2"/>
    <x v="0"/>
    <x v="0"/>
    <x v="1"/>
    <x v="0"/>
    <x v="0"/>
    <x v="2"/>
  </r>
  <r>
    <n v="651"/>
    <n v="65"/>
    <x v="1"/>
    <n v="152"/>
    <n v="86"/>
    <x v="630"/>
    <x v="2"/>
    <s v="121/84"/>
    <x v="1"/>
    <x v="0"/>
    <x v="1"/>
    <x v="1"/>
    <x v="1"/>
    <x v="0"/>
    <x v="1"/>
    <x v="1"/>
    <x v="1"/>
  </r>
  <r>
    <n v="653"/>
    <n v="56"/>
    <x v="0"/>
    <n v="172"/>
    <n v="94"/>
    <x v="631"/>
    <x v="1"/>
    <s v="151/102"/>
    <x v="0"/>
    <x v="1"/>
    <x v="1"/>
    <x v="3"/>
    <x v="1"/>
    <x v="1"/>
    <x v="1"/>
    <x v="1"/>
    <x v="2"/>
  </r>
  <r>
    <n v="1384"/>
    <n v="61"/>
    <x v="1"/>
    <n v="167"/>
    <n v="66"/>
    <x v="632"/>
    <x v="0"/>
    <s v="142/105"/>
    <x v="2"/>
    <x v="0"/>
    <x v="2"/>
    <x v="0"/>
    <x v="0"/>
    <x v="0"/>
    <x v="0"/>
    <x v="0"/>
    <x v="2"/>
  </r>
  <r>
    <n v="654"/>
    <n v="53"/>
    <x v="1"/>
    <n v="163"/>
    <n v="71"/>
    <x v="633"/>
    <x v="1"/>
    <s v="128/92"/>
    <x v="0"/>
    <x v="1"/>
    <x v="1"/>
    <x v="2"/>
    <x v="1"/>
    <x v="0"/>
    <x v="0"/>
    <x v="1"/>
    <x v="2"/>
  </r>
  <r>
    <n v="1604"/>
    <n v="61"/>
    <x v="0"/>
    <n v="189"/>
    <n v="57"/>
    <x v="634"/>
    <x v="2"/>
    <s v="113/105"/>
    <x v="2"/>
    <x v="0"/>
    <x v="2"/>
    <x v="1"/>
    <x v="1"/>
    <x v="0"/>
    <x v="0"/>
    <x v="1"/>
    <x v="2"/>
  </r>
  <r>
    <n v="1768"/>
    <n v="61"/>
    <x v="0"/>
    <n v="187"/>
    <n v="76"/>
    <x v="635"/>
    <x v="1"/>
    <s v="121/97"/>
    <x v="2"/>
    <x v="1"/>
    <x v="2"/>
    <x v="3"/>
    <x v="0"/>
    <x v="1"/>
    <x v="1"/>
    <x v="1"/>
    <x v="1"/>
  </r>
  <r>
    <n v="1773"/>
    <n v="61"/>
    <x v="0"/>
    <n v="162"/>
    <n v="75"/>
    <x v="636"/>
    <x v="2"/>
    <s v="157/102"/>
    <x v="2"/>
    <x v="1"/>
    <x v="2"/>
    <x v="2"/>
    <x v="1"/>
    <x v="1"/>
    <x v="0"/>
    <x v="1"/>
    <x v="2"/>
  </r>
  <r>
    <n v="1913"/>
    <n v="61"/>
    <x v="0"/>
    <n v="155"/>
    <n v="81"/>
    <x v="637"/>
    <x v="1"/>
    <s v="119/74"/>
    <x v="2"/>
    <x v="1"/>
    <x v="2"/>
    <x v="2"/>
    <x v="0"/>
    <x v="0"/>
    <x v="0"/>
    <x v="1"/>
    <x v="2"/>
  </r>
  <r>
    <n v="1914"/>
    <n v="61"/>
    <x v="1"/>
    <n v="168"/>
    <n v="73"/>
    <x v="638"/>
    <x v="2"/>
    <s v="117/74"/>
    <x v="1"/>
    <x v="0"/>
    <x v="2"/>
    <x v="2"/>
    <x v="0"/>
    <x v="0"/>
    <x v="1"/>
    <x v="1"/>
    <x v="1"/>
  </r>
  <r>
    <n v="655"/>
    <n v="50"/>
    <x v="0"/>
    <n v="176"/>
    <n v="69"/>
    <x v="639"/>
    <x v="0"/>
    <s v="122/70"/>
    <x v="1"/>
    <x v="1"/>
    <x v="1"/>
    <x v="3"/>
    <x v="1"/>
    <x v="0"/>
    <x v="0"/>
    <x v="0"/>
    <x v="0"/>
  </r>
  <r>
    <n v="657"/>
    <n v="47"/>
    <x v="1"/>
    <n v="188"/>
    <n v="92"/>
    <x v="640"/>
    <x v="2"/>
    <s v="125/94"/>
    <x v="1"/>
    <x v="0"/>
    <x v="1"/>
    <x v="0"/>
    <x v="0"/>
    <x v="0"/>
    <x v="0"/>
    <x v="1"/>
    <x v="2"/>
  </r>
  <r>
    <n v="660"/>
    <n v="75"/>
    <x v="0"/>
    <n v="166"/>
    <n v="65"/>
    <x v="641"/>
    <x v="2"/>
    <s v="152/107"/>
    <x v="0"/>
    <x v="1"/>
    <x v="0"/>
    <x v="0"/>
    <x v="1"/>
    <x v="0"/>
    <x v="0"/>
    <x v="0"/>
    <x v="0"/>
  </r>
  <r>
    <n v="207"/>
    <n v="60"/>
    <x v="0"/>
    <n v="168"/>
    <n v="77"/>
    <x v="642"/>
    <x v="0"/>
    <s v="156/95"/>
    <x v="2"/>
    <x v="1"/>
    <x v="2"/>
    <x v="3"/>
    <x v="0"/>
    <x v="0"/>
    <x v="0"/>
    <x v="0"/>
    <x v="0"/>
  </r>
  <r>
    <n v="662"/>
    <n v="71"/>
    <x v="0"/>
    <n v="162"/>
    <n v="81"/>
    <x v="643"/>
    <x v="0"/>
    <s v="124/70"/>
    <x v="0"/>
    <x v="1"/>
    <x v="0"/>
    <x v="3"/>
    <x v="1"/>
    <x v="0"/>
    <x v="1"/>
    <x v="1"/>
    <x v="2"/>
  </r>
  <r>
    <n v="562"/>
    <n v="60"/>
    <x v="0"/>
    <n v="153"/>
    <n v="83"/>
    <x v="644"/>
    <x v="2"/>
    <s v="125/84"/>
    <x v="1"/>
    <x v="0"/>
    <x v="2"/>
    <x v="2"/>
    <x v="1"/>
    <x v="0"/>
    <x v="1"/>
    <x v="1"/>
    <x v="1"/>
  </r>
  <r>
    <n v="663"/>
    <n v="22"/>
    <x v="1"/>
    <n v="170"/>
    <n v="75"/>
    <x v="645"/>
    <x v="1"/>
    <s v="116/70"/>
    <x v="0"/>
    <x v="1"/>
    <x v="1"/>
    <x v="3"/>
    <x v="1"/>
    <x v="0"/>
    <x v="1"/>
    <x v="0"/>
    <x v="0"/>
  </r>
  <r>
    <n v="664"/>
    <n v="53"/>
    <x v="1"/>
    <n v="168"/>
    <n v="74"/>
    <x v="646"/>
    <x v="0"/>
    <s v="158/101"/>
    <x v="2"/>
    <x v="1"/>
    <x v="1"/>
    <x v="1"/>
    <x v="0"/>
    <x v="0"/>
    <x v="1"/>
    <x v="1"/>
    <x v="0"/>
  </r>
  <r>
    <n v="824"/>
    <n v="60"/>
    <x v="1"/>
    <n v="177"/>
    <n v="58"/>
    <x v="647"/>
    <x v="0"/>
    <s v="115/74"/>
    <x v="1"/>
    <x v="1"/>
    <x v="2"/>
    <x v="2"/>
    <x v="1"/>
    <x v="1"/>
    <x v="0"/>
    <x v="0"/>
    <x v="2"/>
  </r>
  <r>
    <n v="1125"/>
    <n v="60"/>
    <x v="0"/>
    <n v="174"/>
    <n v="56"/>
    <x v="648"/>
    <x v="1"/>
    <s v="110/72"/>
    <x v="1"/>
    <x v="1"/>
    <x v="2"/>
    <x v="2"/>
    <x v="0"/>
    <x v="0"/>
    <x v="0"/>
    <x v="0"/>
    <x v="0"/>
  </r>
  <r>
    <n v="666"/>
    <n v="69"/>
    <x v="1"/>
    <n v="174"/>
    <n v="61"/>
    <x v="649"/>
    <x v="2"/>
    <s v="135/92"/>
    <x v="2"/>
    <x v="1"/>
    <x v="1"/>
    <x v="0"/>
    <x v="1"/>
    <x v="0"/>
    <x v="0"/>
    <x v="1"/>
    <x v="0"/>
  </r>
  <r>
    <n v="667"/>
    <n v="48"/>
    <x v="1"/>
    <n v="171"/>
    <n v="89"/>
    <x v="650"/>
    <x v="2"/>
    <s v="154/98"/>
    <x v="0"/>
    <x v="0"/>
    <x v="1"/>
    <x v="3"/>
    <x v="0"/>
    <x v="1"/>
    <x v="1"/>
    <x v="1"/>
    <x v="1"/>
  </r>
  <r>
    <n v="668"/>
    <n v="27"/>
    <x v="0"/>
    <n v="180"/>
    <n v="58"/>
    <x v="651"/>
    <x v="2"/>
    <s v="147/102"/>
    <x v="1"/>
    <x v="1"/>
    <x v="1"/>
    <x v="1"/>
    <x v="1"/>
    <x v="0"/>
    <x v="0"/>
    <x v="1"/>
    <x v="1"/>
  </r>
  <r>
    <n v="1351"/>
    <n v="60"/>
    <x v="0"/>
    <n v="165"/>
    <n v="82"/>
    <x v="652"/>
    <x v="0"/>
    <s v="123/75"/>
    <x v="0"/>
    <x v="1"/>
    <x v="2"/>
    <x v="0"/>
    <x v="1"/>
    <x v="0"/>
    <x v="0"/>
    <x v="0"/>
    <x v="1"/>
  </r>
  <r>
    <n v="671"/>
    <n v="75"/>
    <x v="1"/>
    <n v="181"/>
    <n v="58"/>
    <x v="653"/>
    <x v="1"/>
    <s v="129/86"/>
    <x v="2"/>
    <x v="0"/>
    <x v="0"/>
    <x v="1"/>
    <x v="1"/>
    <x v="0"/>
    <x v="1"/>
    <x v="1"/>
    <x v="1"/>
  </r>
  <r>
    <n v="672"/>
    <n v="49"/>
    <x v="1"/>
    <n v="159"/>
    <n v="59"/>
    <x v="654"/>
    <x v="0"/>
    <s v="145/72"/>
    <x v="0"/>
    <x v="1"/>
    <x v="1"/>
    <x v="3"/>
    <x v="1"/>
    <x v="0"/>
    <x v="1"/>
    <x v="0"/>
    <x v="0"/>
  </r>
  <r>
    <n v="1537"/>
    <n v="60"/>
    <x v="0"/>
    <n v="181"/>
    <n v="87"/>
    <x v="655"/>
    <x v="1"/>
    <s v="155/102"/>
    <x v="0"/>
    <x v="0"/>
    <x v="2"/>
    <x v="0"/>
    <x v="0"/>
    <x v="0"/>
    <x v="1"/>
    <x v="1"/>
    <x v="2"/>
  </r>
  <r>
    <n v="1602"/>
    <n v="60"/>
    <x v="1"/>
    <n v="157"/>
    <n v="87"/>
    <x v="656"/>
    <x v="0"/>
    <s v="150/105"/>
    <x v="2"/>
    <x v="0"/>
    <x v="2"/>
    <x v="1"/>
    <x v="0"/>
    <x v="1"/>
    <x v="1"/>
    <x v="0"/>
    <x v="1"/>
  </r>
  <r>
    <n v="673"/>
    <n v="18"/>
    <x v="1"/>
    <n v="159"/>
    <n v="81"/>
    <x v="657"/>
    <x v="1"/>
    <s v="110/96"/>
    <x v="0"/>
    <x v="0"/>
    <x v="1"/>
    <x v="1"/>
    <x v="1"/>
    <x v="0"/>
    <x v="0"/>
    <x v="0"/>
    <x v="0"/>
  </r>
  <r>
    <n v="1722"/>
    <n v="60"/>
    <x v="1"/>
    <n v="160"/>
    <n v="87"/>
    <x v="658"/>
    <x v="0"/>
    <s v="130/105"/>
    <x v="2"/>
    <x v="1"/>
    <x v="2"/>
    <x v="0"/>
    <x v="0"/>
    <x v="1"/>
    <x v="0"/>
    <x v="1"/>
    <x v="1"/>
  </r>
  <r>
    <n v="674"/>
    <n v="73"/>
    <x v="0"/>
    <n v="185"/>
    <n v="83"/>
    <x v="659"/>
    <x v="0"/>
    <s v="156/109"/>
    <x v="2"/>
    <x v="1"/>
    <x v="0"/>
    <x v="1"/>
    <x v="0"/>
    <x v="1"/>
    <x v="0"/>
    <x v="1"/>
    <x v="1"/>
  </r>
  <r>
    <n v="682"/>
    <n v="19"/>
    <x v="1"/>
    <n v="171"/>
    <n v="76"/>
    <x v="660"/>
    <x v="2"/>
    <s v="124/85"/>
    <x v="1"/>
    <x v="1"/>
    <x v="1"/>
    <x v="0"/>
    <x v="0"/>
    <x v="1"/>
    <x v="1"/>
    <x v="0"/>
    <x v="0"/>
  </r>
  <r>
    <n v="683"/>
    <n v="66"/>
    <x v="0"/>
    <n v="179"/>
    <n v="51"/>
    <x v="661"/>
    <x v="0"/>
    <s v="133/92"/>
    <x v="2"/>
    <x v="0"/>
    <x v="1"/>
    <x v="2"/>
    <x v="1"/>
    <x v="1"/>
    <x v="1"/>
    <x v="0"/>
    <x v="1"/>
  </r>
  <r>
    <n v="1891"/>
    <n v="60"/>
    <x v="1"/>
    <n v="175"/>
    <n v="74"/>
    <x v="662"/>
    <x v="1"/>
    <s v="123/72"/>
    <x v="0"/>
    <x v="1"/>
    <x v="2"/>
    <x v="2"/>
    <x v="1"/>
    <x v="0"/>
    <x v="1"/>
    <x v="0"/>
    <x v="1"/>
  </r>
  <r>
    <n v="1904"/>
    <n v="60"/>
    <x v="0"/>
    <n v="165"/>
    <n v="94"/>
    <x v="663"/>
    <x v="1"/>
    <s v="131/78"/>
    <x v="0"/>
    <x v="0"/>
    <x v="2"/>
    <x v="0"/>
    <x v="1"/>
    <x v="1"/>
    <x v="1"/>
    <x v="0"/>
    <x v="0"/>
  </r>
  <r>
    <n v="684"/>
    <n v="45"/>
    <x v="0"/>
    <n v="153"/>
    <n v="80"/>
    <x v="664"/>
    <x v="0"/>
    <s v="157/79"/>
    <x v="1"/>
    <x v="1"/>
    <x v="1"/>
    <x v="3"/>
    <x v="1"/>
    <x v="1"/>
    <x v="0"/>
    <x v="1"/>
    <x v="0"/>
  </r>
  <r>
    <n v="685"/>
    <n v="49"/>
    <x v="1"/>
    <n v="162"/>
    <n v="63"/>
    <x v="665"/>
    <x v="1"/>
    <s v="150/86"/>
    <x v="2"/>
    <x v="0"/>
    <x v="1"/>
    <x v="2"/>
    <x v="0"/>
    <x v="0"/>
    <x v="1"/>
    <x v="1"/>
    <x v="0"/>
  </r>
  <r>
    <n v="686"/>
    <n v="44"/>
    <x v="1"/>
    <n v="172"/>
    <n v="51"/>
    <x v="666"/>
    <x v="2"/>
    <s v="158/99"/>
    <x v="0"/>
    <x v="0"/>
    <x v="1"/>
    <x v="0"/>
    <x v="0"/>
    <x v="0"/>
    <x v="0"/>
    <x v="1"/>
    <x v="2"/>
  </r>
  <r>
    <n v="190"/>
    <n v="59"/>
    <x v="1"/>
    <n v="188"/>
    <n v="87"/>
    <x v="667"/>
    <x v="2"/>
    <s v="148/79"/>
    <x v="2"/>
    <x v="0"/>
    <x v="2"/>
    <x v="3"/>
    <x v="0"/>
    <x v="1"/>
    <x v="1"/>
    <x v="1"/>
    <x v="0"/>
  </r>
  <r>
    <n v="218"/>
    <n v="59"/>
    <x v="0"/>
    <n v="171"/>
    <n v="50"/>
    <x v="668"/>
    <x v="0"/>
    <s v="145/101"/>
    <x v="2"/>
    <x v="1"/>
    <x v="2"/>
    <x v="2"/>
    <x v="0"/>
    <x v="1"/>
    <x v="0"/>
    <x v="1"/>
    <x v="0"/>
  </r>
  <r>
    <n v="257"/>
    <n v="59"/>
    <x v="0"/>
    <n v="154"/>
    <n v="80"/>
    <x v="669"/>
    <x v="0"/>
    <s v="119/100"/>
    <x v="1"/>
    <x v="1"/>
    <x v="2"/>
    <x v="1"/>
    <x v="1"/>
    <x v="1"/>
    <x v="1"/>
    <x v="1"/>
    <x v="1"/>
  </r>
  <r>
    <n v="687"/>
    <n v="37"/>
    <x v="0"/>
    <n v="157"/>
    <n v="78"/>
    <x v="670"/>
    <x v="0"/>
    <s v="153/79"/>
    <x v="2"/>
    <x v="1"/>
    <x v="1"/>
    <x v="3"/>
    <x v="1"/>
    <x v="1"/>
    <x v="0"/>
    <x v="1"/>
    <x v="0"/>
  </r>
  <r>
    <n v="490"/>
    <n v="59"/>
    <x v="1"/>
    <n v="153"/>
    <n v="85"/>
    <x v="671"/>
    <x v="0"/>
    <s v="134/88"/>
    <x v="2"/>
    <x v="0"/>
    <x v="2"/>
    <x v="3"/>
    <x v="0"/>
    <x v="0"/>
    <x v="1"/>
    <x v="1"/>
    <x v="0"/>
  </r>
  <r>
    <n v="689"/>
    <n v="29"/>
    <x v="1"/>
    <n v="161"/>
    <n v="61"/>
    <x v="672"/>
    <x v="1"/>
    <s v="111/105"/>
    <x v="0"/>
    <x v="1"/>
    <x v="1"/>
    <x v="1"/>
    <x v="0"/>
    <x v="0"/>
    <x v="1"/>
    <x v="1"/>
    <x v="1"/>
  </r>
  <r>
    <n v="691"/>
    <n v="52"/>
    <x v="0"/>
    <n v="163"/>
    <n v="77"/>
    <x v="673"/>
    <x v="0"/>
    <s v="135/84"/>
    <x v="2"/>
    <x v="0"/>
    <x v="1"/>
    <x v="1"/>
    <x v="1"/>
    <x v="0"/>
    <x v="1"/>
    <x v="1"/>
    <x v="1"/>
  </r>
  <r>
    <n v="558"/>
    <n v="59"/>
    <x v="1"/>
    <n v="163"/>
    <n v="71"/>
    <x v="674"/>
    <x v="2"/>
    <s v="147/102"/>
    <x v="0"/>
    <x v="0"/>
    <x v="2"/>
    <x v="1"/>
    <x v="0"/>
    <x v="1"/>
    <x v="0"/>
    <x v="0"/>
    <x v="0"/>
  </r>
  <r>
    <n v="588"/>
    <n v="59"/>
    <x v="0"/>
    <n v="151"/>
    <n v="65"/>
    <x v="675"/>
    <x v="2"/>
    <s v="142/85"/>
    <x v="0"/>
    <x v="1"/>
    <x v="2"/>
    <x v="3"/>
    <x v="0"/>
    <x v="1"/>
    <x v="1"/>
    <x v="1"/>
    <x v="2"/>
  </r>
  <r>
    <n v="814"/>
    <n v="59"/>
    <x v="0"/>
    <n v="166"/>
    <n v="82"/>
    <x v="676"/>
    <x v="2"/>
    <s v="139/95"/>
    <x v="1"/>
    <x v="1"/>
    <x v="2"/>
    <x v="3"/>
    <x v="0"/>
    <x v="0"/>
    <x v="0"/>
    <x v="0"/>
    <x v="0"/>
  </r>
  <r>
    <n v="840"/>
    <n v="59"/>
    <x v="1"/>
    <n v="156"/>
    <n v="68"/>
    <x v="677"/>
    <x v="2"/>
    <s v="149/88"/>
    <x v="1"/>
    <x v="0"/>
    <x v="2"/>
    <x v="0"/>
    <x v="1"/>
    <x v="1"/>
    <x v="1"/>
    <x v="1"/>
    <x v="0"/>
  </r>
  <r>
    <n v="1104"/>
    <n v="59"/>
    <x v="0"/>
    <n v="170"/>
    <n v="62"/>
    <x v="678"/>
    <x v="2"/>
    <s v="125/99"/>
    <x v="0"/>
    <x v="1"/>
    <x v="2"/>
    <x v="1"/>
    <x v="0"/>
    <x v="1"/>
    <x v="0"/>
    <x v="1"/>
    <x v="1"/>
  </r>
  <r>
    <n v="694"/>
    <n v="50"/>
    <x v="0"/>
    <n v="183"/>
    <n v="73"/>
    <x v="679"/>
    <x v="1"/>
    <s v="125/71"/>
    <x v="1"/>
    <x v="0"/>
    <x v="1"/>
    <x v="3"/>
    <x v="1"/>
    <x v="1"/>
    <x v="0"/>
    <x v="0"/>
    <x v="0"/>
  </r>
  <r>
    <n v="1265"/>
    <n v="59"/>
    <x v="1"/>
    <n v="171"/>
    <n v="81"/>
    <x v="680"/>
    <x v="2"/>
    <s v="157/71"/>
    <x v="0"/>
    <x v="0"/>
    <x v="2"/>
    <x v="0"/>
    <x v="1"/>
    <x v="1"/>
    <x v="1"/>
    <x v="1"/>
    <x v="0"/>
  </r>
  <r>
    <n v="695"/>
    <n v="78"/>
    <x v="0"/>
    <n v="160"/>
    <n v="70"/>
    <x v="681"/>
    <x v="2"/>
    <s v="140/97"/>
    <x v="0"/>
    <x v="0"/>
    <x v="0"/>
    <x v="2"/>
    <x v="0"/>
    <x v="1"/>
    <x v="0"/>
    <x v="1"/>
    <x v="2"/>
  </r>
  <r>
    <n v="1454"/>
    <n v="59"/>
    <x v="1"/>
    <n v="166"/>
    <n v="71"/>
    <x v="682"/>
    <x v="2"/>
    <s v="143/81"/>
    <x v="2"/>
    <x v="0"/>
    <x v="2"/>
    <x v="2"/>
    <x v="1"/>
    <x v="0"/>
    <x v="0"/>
    <x v="0"/>
    <x v="0"/>
  </r>
  <r>
    <n v="1547"/>
    <n v="59"/>
    <x v="0"/>
    <n v="151"/>
    <n v="86"/>
    <x v="683"/>
    <x v="1"/>
    <s v="122/104"/>
    <x v="1"/>
    <x v="1"/>
    <x v="2"/>
    <x v="3"/>
    <x v="1"/>
    <x v="0"/>
    <x v="1"/>
    <x v="1"/>
    <x v="1"/>
  </r>
  <r>
    <n v="696"/>
    <n v="68"/>
    <x v="0"/>
    <n v="161"/>
    <n v="59"/>
    <x v="684"/>
    <x v="1"/>
    <s v="116/99"/>
    <x v="0"/>
    <x v="0"/>
    <x v="1"/>
    <x v="1"/>
    <x v="1"/>
    <x v="1"/>
    <x v="0"/>
    <x v="0"/>
    <x v="1"/>
  </r>
  <r>
    <n v="697"/>
    <n v="60"/>
    <x v="1"/>
    <n v="164"/>
    <n v="95"/>
    <x v="685"/>
    <x v="0"/>
    <s v="152/76"/>
    <x v="2"/>
    <x v="1"/>
    <x v="1"/>
    <x v="3"/>
    <x v="1"/>
    <x v="1"/>
    <x v="1"/>
    <x v="0"/>
    <x v="1"/>
  </r>
  <r>
    <n v="698"/>
    <n v="54"/>
    <x v="1"/>
    <n v="180"/>
    <n v="63"/>
    <x v="686"/>
    <x v="0"/>
    <s v="145/98"/>
    <x v="2"/>
    <x v="1"/>
    <x v="1"/>
    <x v="0"/>
    <x v="1"/>
    <x v="1"/>
    <x v="0"/>
    <x v="1"/>
    <x v="2"/>
  </r>
  <r>
    <n v="1906"/>
    <n v="59"/>
    <x v="1"/>
    <n v="153"/>
    <n v="89"/>
    <x v="687"/>
    <x v="2"/>
    <s v="149/82"/>
    <x v="1"/>
    <x v="0"/>
    <x v="2"/>
    <x v="0"/>
    <x v="1"/>
    <x v="0"/>
    <x v="0"/>
    <x v="1"/>
    <x v="1"/>
  </r>
  <r>
    <n v="700"/>
    <n v="20"/>
    <x v="0"/>
    <n v="175"/>
    <n v="67"/>
    <x v="688"/>
    <x v="0"/>
    <s v="113/98"/>
    <x v="2"/>
    <x v="0"/>
    <x v="1"/>
    <x v="3"/>
    <x v="0"/>
    <x v="1"/>
    <x v="0"/>
    <x v="0"/>
    <x v="1"/>
  </r>
  <r>
    <n v="128"/>
    <n v="58"/>
    <x v="0"/>
    <n v="177"/>
    <n v="75"/>
    <x v="689"/>
    <x v="0"/>
    <s v="124/101"/>
    <x v="2"/>
    <x v="1"/>
    <x v="2"/>
    <x v="2"/>
    <x v="1"/>
    <x v="0"/>
    <x v="1"/>
    <x v="0"/>
    <x v="1"/>
  </r>
  <r>
    <n v="153"/>
    <n v="58"/>
    <x v="0"/>
    <n v="167"/>
    <n v="87"/>
    <x v="690"/>
    <x v="2"/>
    <s v="153/98"/>
    <x v="2"/>
    <x v="1"/>
    <x v="2"/>
    <x v="3"/>
    <x v="0"/>
    <x v="0"/>
    <x v="0"/>
    <x v="0"/>
    <x v="2"/>
  </r>
  <r>
    <n v="246"/>
    <n v="58"/>
    <x v="0"/>
    <n v="157"/>
    <n v="94"/>
    <x v="691"/>
    <x v="2"/>
    <s v="142/85"/>
    <x v="0"/>
    <x v="0"/>
    <x v="2"/>
    <x v="3"/>
    <x v="0"/>
    <x v="1"/>
    <x v="1"/>
    <x v="0"/>
    <x v="0"/>
  </r>
  <r>
    <n v="704"/>
    <n v="27"/>
    <x v="1"/>
    <n v="187"/>
    <n v="61"/>
    <x v="692"/>
    <x v="1"/>
    <s v="128/95"/>
    <x v="2"/>
    <x v="1"/>
    <x v="1"/>
    <x v="2"/>
    <x v="0"/>
    <x v="1"/>
    <x v="1"/>
    <x v="0"/>
    <x v="1"/>
  </r>
  <r>
    <n v="340"/>
    <n v="58"/>
    <x v="0"/>
    <n v="160"/>
    <n v="88"/>
    <x v="693"/>
    <x v="0"/>
    <s v="146/100"/>
    <x v="1"/>
    <x v="1"/>
    <x v="2"/>
    <x v="2"/>
    <x v="0"/>
    <x v="1"/>
    <x v="1"/>
    <x v="0"/>
    <x v="0"/>
  </r>
  <r>
    <n v="377"/>
    <n v="58"/>
    <x v="0"/>
    <n v="188"/>
    <n v="52"/>
    <x v="694"/>
    <x v="0"/>
    <s v="114/102"/>
    <x v="0"/>
    <x v="0"/>
    <x v="2"/>
    <x v="2"/>
    <x v="0"/>
    <x v="0"/>
    <x v="1"/>
    <x v="0"/>
    <x v="1"/>
  </r>
  <r>
    <n v="705"/>
    <n v="60"/>
    <x v="1"/>
    <n v="166"/>
    <n v="71"/>
    <x v="695"/>
    <x v="0"/>
    <s v="146/96"/>
    <x v="0"/>
    <x v="0"/>
    <x v="1"/>
    <x v="2"/>
    <x v="0"/>
    <x v="1"/>
    <x v="1"/>
    <x v="1"/>
    <x v="2"/>
  </r>
  <r>
    <n v="470"/>
    <n v="58"/>
    <x v="1"/>
    <n v="175"/>
    <n v="75"/>
    <x v="696"/>
    <x v="1"/>
    <s v="112/92"/>
    <x v="0"/>
    <x v="0"/>
    <x v="2"/>
    <x v="3"/>
    <x v="1"/>
    <x v="1"/>
    <x v="0"/>
    <x v="0"/>
    <x v="2"/>
  </r>
  <r>
    <n v="706"/>
    <n v="61"/>
    <x v="1"/>
    <n v="172"/>
    <n v="55"/>
    <x v="697"/>
    <x v="0"/>
    <s v="139/99"/>
    <x v="0"/>
    <x v="0"/>
    <x v="1"/>
    <x v="3"/>
    <x v="0"/>
    <x v="0"/>
    <x v="0"/>
    <x v="0"/>
    <x v="1"/>
  </r>
  <r>
    <n v="707"/>
    <n v="46"/>
    <x v="1"/>
    <n v="173"/>
    <n v="85"/>
    <x v="698"/>
    <x v="2"/>
    <s v="112/76"/>
    <x v="1"/>
    <x v="1"/>
    <x v="1"/>
    <x v="0"/>
    <x v="1"/>
    <x v="1"/>
    <x v="0"/>
    <x v="0"/>
    <x v="1"/>
  </r>
  <r>
    <n v="785"/>
    <n v="58"/>
    <x v="1"/>
    <n v="185"/>
    <n v="57"/>
    <x v="699"/>
    <x v="2"/>
    <s v="118/85"/>
    <x v="2"/>
    <x v="1"/>
    <x v="2"/>
    <x v="0"/>
    <x v="1"/>
    <x v="1"/>
    <x v="0"/>
    <x v="0"/>
    <x v="0"/>
  </r>
  <r>
    <n v="888"/>
    <n v="58"/>
    <x v="0"/>
    <n v="160"/>
    <n v="95"/>
    <x v="700"/>
    <x v="0"/>
    <s v="112/106"/>
    <x v="0"/>
    <x v="1"/>
    <x v="2"/>
    <x v="1"/>
    <x v="0"/>
    <x v="1"/>
    <x v="0"/>
    <x v="0"/>
    <x v="0"/>
  </r>
  <r>
    <n v="708"/>
    <n v="30"/>
    <x v="0"/>
    <n v="157"/>
    <n v="94"/>
    <x v="701"/>
    <x v="1"/>
    <s v="158/78"/>
    <x v="1"/>
    <x v="1"/>
    <x v="1"/>
    <x v="2"/>
    <x v="0"/>
    <x v="1"/>
    <x v="1"/>
    <x v="0"/>
    <x v="0"/>
  </r>
  <r>
    <n v="709"/>
    <n v="29"/>
    <x v="0"/>
    <n v="155"/>
    <n v="85"/>
    <x v="702"/>
    <x v="1"/>
    <s v="150/82"/>
    <x v="1"/>
    <x v="1"/>
    <x v="1"/>
    <x v="2"/>
    <x v="0"/>
    <x v="1"/>
    <x v="1"/>
    <x v="0"/>
    <x v="0"/>
  </r>
  <r>
    <n v="1012"/>
    <n v="58"/>
    <x v="0"/>
    <n v="178"/>
    <n v="75"/>
    <x v="703"/>
    <x v="0"/>
    <s v="110/82"/>
    <x v="1"/>
    <x v="1"/>
    <x v="2"/>
    <x v="2"/>
    <x v="0"/>
    <x v="1"/>
    <x v="0"/>
    <x v="1"/>
    <x v="1"/>
  </r>
  <r>
    <n v="711"/>
    <n v="63"/>
    <x v="0"/>
    <n v="178"/>
    <n v="63"/>
    <x v="704"/>
    <x v="2"/>
    <s v="138/104"/>
    <x v="0"/>
    <x v="0"/>
    <x v="1"/>
    <x v="1"/>
    <x v="0"/>
    <x v="1"/>
    <x v="1"/>
    <x v="0"/>
    <x v="0"/>
  </r>
  <r>
    <n v="1251"/>
    <n v="58"/>
    <x v="1"/>
    <n v="169"/>
    <n v="71"/>
    <x v="705"/>
    <x v="0"/>
    <s v="140/108"/>
    <x v="0"/>
    <x v="0"/>
    <x v="2"/>
    <x v="2"/>
    <x v="1"/>
    <x v="0"/>
    <x v="1"/>
    <x v="0"/>
    <x v="2"/>
  </r>
  <r>
    <n v="1266"/>
    <n v="58"/>
    <x v="0"/>
    <n v="175"/>
    <n v="79"/>
    <x v="706"/>
    <x v="2"/>
    <s v="129/87"/>
    <x v="0"/>
    <x v="0"/>
    <x v="2"/>
    <x v="3"/>
    <x v="0"/>
    <x v="1"/>
    <x v="0"/>
    <x v="0"/>
    <x v="2"/>
  </r>
  <r>
    <n v="714"/>
    <n v="68"/>
    <x v="0"/>
    <n v="150"/>
    <n v="74"/>
    <x v="707"/>
    <x v="2"/>
    <s v="129/79"/>
    <x v="1"/>
    <x v="0"/>
    <x v="1"/>
    <x v="3"/>
    <x v="0"/>
    <x v="0"/>
    <x v="0"/>
    <x v="1"/>
    <x v="1"/>
  </r>
  <r>
    <n v="1558"/>
    <n v="58"/>
    <x v="1"/>
    <n v="153"/>
    <n v="63"/>
    <x v="708"/>
    <x v="2"/>
    <s v="121/96"/>
    <x v="2"/>
    <x v="1"/>
    <x v="2"/>
    <x v="2"/>
    <x v="1"/>
    <x v="1"/>
    <x v="0"/>
    <x v="1"/>
    <x v="2"/>
  </r>
  <r>
    <n v="715"/>
    <n v="67"/>
    <x v="1"/>
    <n v="168"/>
    <n v="81"/>
    <x v="709"/>
    <x v="2"/>
    <s v="122/98"/>
    <x v="0"/>
    <x v="0"/>
    <x v="1"/>
    <x v="1"/>
    <x v="1"/>
    <x v="0"/>
    <x v="1"/>
    <x v="0"/>
    <x v="1"/>
  </r>
  <r>
    <n v="716"/>
    <n v="52"/>
    <x v="1"/>
    <n v="158"/>
    <n v="82"/>
    <x v="710"/>
    <x v="0"/>
    <s v="144/77"/>
    <x v="0"/>
    <x v="1"/>
    <x v="1"/>
    <x v="1"/>
    <x v="1"/>
    <x v="1"/>
    <x v="1"/>
    <x v="1"/>
    <x v="1"/>
  </r>
  <r>
    <n v="1813"/>
    <n v="58"/>
    <x v="1"/>
    <n v="179"/>
    <n v="55"/>
    <x v="711"/>
    <x v="2"/>
    <s v="113/91"/>
    <x v="0"/>
    <x v="1"/>
    <x v="2"/>
    <x v="0"/>
    <x v="0"/>
    <x v="0"/>
    <x v="1"/>
    <x v="1"/>
    <x v="1"/>
  </r>
  <r>
    <n v="717"/>
    <n v="40"/>
    <x v="1"/>
    <n v="176"/>
    <n v="94"/>
    <x v="712"/>
    <x v="1"/>
    <s v="138/100"/>
    <x v="0"/>
    <x v="0"/>
    <x v="1"/>
    <x v="3"/>
    <x v="0"/>
    <x v="1"/>
    <x v="1"/>
    <x v="0"/>
    <x v="2"/>
  </r>
  <r>
    <n v="718"/>
    <n v="34"/>
    <x v="1"/>
    <n v="183"/>
    <n v="85"/>
    <x v="713"/>
    <x v="0"/>
    <s v="150/99"/>
    <x v="0"/>
    <x v="1"/>
    <x v="1"/>
    <x v="1"/>
    <x v="1"/>
    <x v="0"/>
    <x v="0"/>
    <x v="0"/>
    <x v="0"/>
  </r>
  <r>
    <n v="719"/>
    <n v="43"/>
    <x v="0"/>
    <n v="153"/>
    <n v="69"/>
    <x v="714"/>
    <x v="2"/>
    <s v="131/90"/>
    <x v="0"/>
    <x v="1"/>
    <x v="1"/>
    <x v="2"/>
    <x v="0"/>
    <x v="1"/>
    <x v="0"/>
    <x v="1"/>
    <x v="1"/>
  </r>
  <r>
    <n v="726"/>
    <n v="51"/>
    <x v="1"/>
    <n v="161"/>
    <n v="65"/>
    <x v="715"/>
    <x v="1"/>
    <s v="127/80"/>
    <x v="0"/>
    <x v="1"/>
    <x v="1"/>
    <x v="2"/>
    <x v="1"/>
    <x v="1"/>
    <x v="1"/>
    <x v="1"/>
    <x v="1"/>
  </r>
  <r>
    <n v="169"/>
    <n v="57"/>
    <x v="0"/>
    <n v="184"/>
    <n v="53"/>
    <x v="716"/>
    <x v="2"/>
    <s v="158/88"/>
    <x v="0"/>
    <x v="1"/>
    <x v="2"/>
    <x v="3"/>
    <x v="1"/>
    <x v="1"/>
    <x v="0"/>
    <x v="0"/>
    <x v="0"/>
  </r>
  <r>
    <n v="727"/>
    <n v="68"/>
    <x v="1"/>
    <n v="186"/>
    <n v="54"/>
    <x v="717"/>
    <x v="2"/>
    <s v="138/86"/>
    <x v="0"/>
    <x v="0"/>
    <x v="1"/>
    <x v="2"/>
    <x v="1"/>
    <x v="1"/>
    <x v="1"/>
    <x v="1"/>
    <x v="1"/>
  </r>
  <r>
    <n v="345"/>
    <n v="57"/>
    <x v="0"/>
    <n v="161"/>
    <n v="59"/>
    <x v="718"/>
    <x v="2"/>
    <s v="156/72"/>
    <x v="0"/>
    <x v="0"/>
    <x v="2"/>
    <x v="0"/>
    <x v="1"/>
    <x v="1"/>
    <x v="0"/>
    <x v="0"/>
    <x v="1"/>
  </r>
  <r>
    <n v="728"/>
    <n v="58"/>
    <x v="0"/>
    <n v="166"/>
    <n v="53"/>
    <x v="719"/>
    <x v="0"/>
    <s v="135/92"/>
    <x v="0"/>
    <x v="0"/>
    <x v="1"/>
    <x v="2"/>
    <x v="0"/>
    <x v="1"/>
    <x v="0"/>
    <x v="1"/>
    <x v="1"/>
  </r>
  <r>
    <n v="495"/>
    <n v="57"/>
    <x v="0"/>
    <n v="171"/>
    <n v="86"/>
    <x v="720"/>
    <x v="0"/>
    <s v="122/101"/>
    <x v="2"/>
    <x v="0"/>
    <x v="2"/>
    <x v="2"/>
    <x v="1"/>
    <x v="0"/>
    <x v="0"/>
    <x v="0"/>
    <x v="2"/>
  </r>
  <r>
    <n v="509"/>
    <n v="57"/>
    <x v="0"/>
    <n v="162"/>
    <n v="95"/>
    <x v="721"/>
    <x v="0"/>
    <s v="127/80"/>
    <x v="1"/>
    <x v="0"/>
    <x v="2"/>
    <x v="3"/>
    <x v="0"/>
    <x v="1"/>
    <x v="1"/>
    <x v="0"/>
    <x v="0"/>
  </r>
  <r>
    <n v="582"/>
    <n v="57"/>
    <x v="1"/>
    <n v="171"/>
    <n v="51"/>
    <x v="722"/>
    <x v="2"/>
    <s v="110/88"/>
    <x v="0"/>
    <x v="1"/>
    <x v="2"/>
    <x v="3"/>
    <x v="1"/>
    <x v="0"/>
    <x v="0"/>
    <x v="0"/>
    <x v="1"/>
  </r>
  <r>
    <n v="732"/>
    <n v="70"/>
    <x v="1"/>
    <n v="182"/>
    <n v="88"/>
    <x v="723"/>
    <x v="2"/>
    <s v="136/71"/>
    <x v="1"/>
    <x v="1"/>
    <x v="0"/>
    <x v="1"/>
    <x v="0"/>
    <x v="0"/>
    <x v="1"/>
    <x v="1"/>
    <x v="2"/>
  </r>
  <r>
    <n v="703"/>
    <n v="57"/>
    <x v="0"/>
    <n v="171"/>
    <n v="83"/>
    <x v="724"/>
    <x v="2"/>
    <s v="138/95"/>
    <x v="0"/>
    <x v="0"/>
    <x v="2"/>
    <x v="3"/>
    <x v="0"/>
    <x v="1"/>
    <x v="1"/>
    <x v="1"/>
    <x v="0"/>
  </r>
  <r>
    <n v="839"/>
    <n v="57"/>
    <x v="0"/>
    <n v="182"/>
    <n v="92"/>
    <x v="725"/>
    <x v="1"/>
    <s v="127/95"/>
    <x v="1"/>
    <x v="1"/>
    <x v="2"/>
    <x v="1"/>
    <x v="1"/>
    <x v="1"/>
    <x v="0"/>
    <x v="0"/>
    <x v="0"/>
  </r>
  <r>
    <n v="733"/>
    <n v="67"/>
    <x v="1"/>
    <n v="176"/>
    <n v="80"/>
    <x v="726"/>
    <x v="0"/>
    <s v="123/73"/>
    <x v="1"/>
    <x v="0"/>
    <x v="1"/>
    <x v="2"/>
    <x v="0"/>
    <x v="1"/>
    <x v="1"/>
    <x v="0"/>
    <x v="2"/>
  </r>
  <r>
    <n v="734"/>
    <n v="62"/>
    <x v="1"/>
    <n v="174"/>
    <n v="63"/>
    <x v="727"/>
    <x v="1"/>
    <s v="158/82"/>
    <x v="0"/>
    <x v="0"/>
    <x v="1"/>
    <x v="0"/>
    <x v="0"/>
    <x v="1"/>
    <x v="1"/>
    <x v="0"/>
    <x v="1"/>
  </r>
  <r>
    <n v="1261"/>
    <n v="57"/>
    <x v="1"/>
    <n v="151"/>
    <n v="72"/>
    <x v="728"/>
    <x v="0"/>
    <s v="141/74"/>
    <x v="1"/>
    <x v="1"/>
    <x v="2"/>
    <x v="3"/>
    <x v="0"/>
    <x v="1"/>
    <x v="0"/>
    <x v="1"/>
    <x v="0"/>
  </r>
  <r>
    <n v="1301"/>
    <n v="57"/>
    <x v="0"/>
    <n v="170"/>
    <n v="72"/>
    <x v="729"/>
    <x v="1"/>
    <s v="128/87"/>
    <x v="2"/>
    <x v="1"/>
    <x v="2"/>
    <x v="3"/>
    <x v="1"/>
    <x v="0"/>
    <x v="0"/>
    <x v="0"/>
    <x v="1"/>
  </r>
  <r>
    <n v="1364"/>
    <n v="57"/>
    <x v="0"/>
    <n v="176"/>
    <n v="90"/>
    <x v="730"/>
    <x v="0"/>
    <s v="154/91"/>
    <x v="1"/>
    <x v="0"/>
    <x v="2"/>
    <x v="2"/>
    <x v="0"/>
    <x v="1"/>
    <x v="1"/>
    <x v="0"/>
    <x v="2"/>
  </r>
  <r>
    <n v="738"/>
    <n v="53"/>
    <x v="0"/>
    <n v="170"/>
    <n v="66"/>
    <x v="731"/>
    <x v="1"/>
    <s v="140/79"/>
    <x v="2"/>
    <x v="0"/>
    <x v="1"/>
    <x v="0"/>
    <x v="0"/>
    <x v="1"/>
    <x v="1"/>
    <x v="0"/>
    <x v="1"/>
  </r>
  <r>
    <n v="740"/>
    <n v="38"/>
    <x v="0"/>
    <n v="186"/>
    <n v="72"/>
    <x v="732"/>
    <x v="0"/>
    <s v="151/79"/>
    <x v="0"/>
    <x v="0"/>
    <x v="1"/>
    <x v="0"/>
    <x v="0"/>
    <x v="0"/>
    <x v="0"/>
    <x v="1"/>
    <x v="2"/>
  </r>
  <r>
    <n v="741"/>
    <n v="78"/>
    <x v="1"/>
    <n v="182"/>
    <n v="63"/>
    <x v="733"/>
    <x v="1"/>
    <s v="132/72"/>
    <x v="0"/>
    <x v="1"/>
    <x v="0"/>
    <x v="2"/>
    <x v="0"/>
    <x v="0"/>
    <x v="0"/>
    <x v="0"/>
    <x v="0"/>
  </r>
  <r>
    <n v="1443"/>
    <n v="57"/>
    <x v="0"/>
    <n v="165"/>
    <n v="88"/>
    <x v="734"/>
    <x v="1"/>
    <s v="144/108"/>
    <x v="1"/>
    <x v="0"/>
    <x v="2"/>
    <x v="3"/>
    <x v="1"/>
    <x v="1"/>
    <x v="1"/>
    <x v="1"/>
    <x v="1"/>
  </r>
  <r>
    <n v="742"/>
    <n v="74"/>
    <x v="0"/>
    <n v="173"/>
    <n v="56"/>
    <x v="735"/>
    <x v="1"/>
    <s v="141/89"/>
    <x v="0"/>
    <x v="0"/>
    <x v="0"/>
    <x v="0"/>
    <x v="0"/>
    <x v="1"/>
    <x v="1"/>
    <x v="0"/>
    <x v="0"/>
  </r>
  <r>
    <n v="743"/>
    <n v="53"/>
    <x v="0"/>
    <n v="160"/>
    <n v="95"/>
    <x v="736"/>
    <x v="2"/>
    <s v="119/98"/>
    <x v="0"/>
    <x v="1"/>
    <x v="1"/>
    <x v="2"/>
    <x v="1"/>
    <x v="0"/>
    <x v="0"/>
    <x v="0"/>
    <x v="2"/>
  </r>
  <r>
    <n v="744"/>
    <n v="27"/>
    <x v="0"/>
    <n v="166"/>
    <n v="81"/>
    <x v="737"/>
    <x v="0"/>
    <s v="150/103"/>
    <x v="1"/>
    <x v="0"/>
    <x v="1"/>
    <x v="0"/>
    <x v="0"/>
    <x v="0"/>
    <x v="1"/>
    <x v="0"/>
    <x v="2"/>
  </r>
  <r>
    <n v="745"/>
    <n v="54"/>
    <x v="1"/>
    <n v="153"/>
    <n v="64"/>
    <x v="738"/>
    <x v="0"/>
    <s v="146/89"/>
    <x v="0"/>
    <x v="0"/>
    <x v="1"/>
    <x v="2"/>
    <x v="1"/>
    <x v="1"/>
    <x v="0"/>
    <x v="0"/>
    <x v="2"/>
  </r>
  <r>
    <n v="746"/>
    <n v="26"/>
    <x v="1"/>
    <n v="174"/>
    <n v="93"/>
    <x v="739"/>
    <x v="0"/>
    <s v="117/76"/>
    <x v="0"/>
    <x v="1"/>
    <x v="1"/>
    <x v="0"/>
    <x v="0"/>
    <x v="1"/>
    <x v="0"/>
    <x v="0"/>
    <x v="2"/>
  </r>
  <r>
    <n v="1576"/>
    <n v="57"/>
    <x v="1"/>
    <n v="181"/>
    <n v="57"/>
    <x v="740"/>
    <x v="2"/>
    <s v="134/96"/>
    <x v="1"/>
    <x v="1"/>
    <x v="2"/>
    <x v="0"/>
    <x v="1"/>
    <x v="0"/>
    <x v="1"/>
    <x v="1"/>
    <x v="1"/>
  </r>
  <r>
    <n v="1635"/>
    <n v="57"/>
    <x v="1"/>
    <n v="171"/>
    <n v="54"/>
    <x v="741"/>
    <x v="1"/>
    <s v="124/102"/>
    <x v="0"/>
    <x v="1"/>
    <x v="2"/>
    <x v="3"/>
    <x v="1"/>
    <x v="0"/>
    <x v="0"/>
    <x v="1"/>
    <x v="0"/>
  </r>
  <r>
    <n v="1656"/>
    <n v="57"/>
    <x v="0"/>
    <n v="170"/>
    <n v="67"/>
    <x v="742"/>
    <x v="2"/>
    <s v="133/88"/>
    <x v="1"/>
    <x v="0"/>
    <x v="2"/>
    <x v="1"/>
    <x v="1"/>
    <x v="1"/>
    <x v="0"/>
    <x v="1"/>
    <x v="2"/>
  </r>
  <r>
    <n v="748"/>
    <n v="52"/>
    <x v="1"/>
    <n v="158"/>
    <n v="90"/>
    <x v="743"/>
    <x v="0"/>
    <s v="153/87"/>
    <x v="1"/>
    <x v="1"/>
    <x v="1"/>
    <x v="2"/>
    <x v="1"/>
    <x v="0"/>
    <x v="0"/>
    <x v="0"/>
    <x v="0"/>
  </r>
  <r>
    <n v="750"/>
    <n v="52"/>
    <x v="0"/>
    <n v="169"/>
    <n v="93"/>
    <x v="744"/>
    <x v="0"/>
    <s v="134/90"/>
    <x v="2"/>
    <x v="1"/>
    <x v="1"/>
    <x v="2"/>
    <x v="0"/>
    <x v="1"/>
    <x v="0"/>
    <x v="0"/>
    <x v="1"/>
  </r>
  <r>
    <n v="751"/>
    <n v="65"/>
    <x v="1"/>
    <n v="168"/>
    <n v="83"/>
    <x v="745"/>
    <x v="2"/>
    <s v="155/72"/>
    <x v="2"/>
    <x v="0"/>
    <x v="1"/>
    <x v="2"/>
    <x v="0"/>
    <x v="0"/>
    <x v="1"/>
    <x v="1"/>
    <x v="1"/>
  </r>
  <r>
    <n v="752"/>
    <n v="53"/>
    <x v="1"/>
    <n v="168"/>
    <n v="54"/>
    <x v="746"/>
    <x v="0"/>
    <s v="127/93"/>
    <x v="0"/>
    <x v="1"/>
    <x v="1"/>
    <x v="2"/>
    <x v="1"/>
    <x v="0"/>
    <x v="1"/>
    <x v="0"/>
    <x v="1"/>
  </r>
  <r>
    <n v="1899"/>
    <n v="57"/>
    <x v="1"/>
    <n v="187"/>
    <n v="86"/>
    <x v="747"/>
    <x v="0"/>
    <s v="136/83"/>
    <x v="1"/>
    <x v="1"/>
    <x v="2"/>
    <x v="0"/>
    <x v="1"/>
    <x v="0"/>
    <x v="1"/>
    <x v="0"/>
    <x v="2"/>
  </r>
  <r>
    <n v="1905"/>
    <n v="57"/>
    <x v="0"/>
    <n v="188"/>
    <n v="73"/>
    <x v="748"/>
    <x v="0"/>
    <s v="126/107"/>
    <x v="0"/>
    <x v="1"/>
    <x v="2"/>
    <x v="0"/>
    <x v="1"/>
    <x v="1"/>
    <x v="0"/>
    <x v="1"/>
    <x v="2"/>
  </r>
  <r>
    <n v="754"/>
    <n v="66"/>
    <x v="0"/>
    <n v="186"/>
    <n v="76"/>
    <x v="749"/>
    <x v="2"/>
    <s v="119/96"/>
    <x v="0"/>
    <x v="1"/>
    <x v="1"/>
    <x v="0"/>
    <x v="0"/>
    <x v="0"/>
    <x v="0"/>
    <x v="1"/>
    <x v="0"/>
  </r>
  <r>
    <n v="755"/>
    <n v="56"/>
    <x v="1"/>
    <n v="166"/>
    <n v="72"/>
    <x v="750"/>
    <x v="0"/>
    <s v="121/76"/>
    <x v="2"/>
    <x v="1"/>
    <x v="1"/>
    <x v="1"/>
    <x v="0"/>
    <x v="1"/>
    <x v="0"/>
    <x v="0"/>
    <x v="0"/>
  </r>
  <r>
    <n v="151"/>
    <n v="56"/>
    <x v="0"/>
    <n v="184"/>
    <n v="70"/>
    <x v="751"/>
    <x v="0"/>
    <s v="151/98"/>
    <x v="2"/>
    <x v="1"/>
    <x v="2"/>
    <x v="1"/>
    <x v="1"/>
    <x v="1"/>
    <x v="1"/>
    <x v="1"/>
    <x v="1"/>
  </r>
  <r>
    <n v="760"/>
    <n v="49"/>
    <x v="0"/>
    <n v="167"/>
    <n v="82"/>
    <x v="752"/>
    <x v="0"/>
    <s v="144/70"/>
    <x v="2"/>
    <x v="0"/>
    <x v="1"/>
    <x v="1"/>
    <x v="0"/>
    <x v="0"/>
    <x v="0"/>
    <x v="0"/>
    <x v="0"/>
  </r>
  <r>
    <n v="195"/>
    <n v="56"/>
    <x v="1"/>
    <n v="167"/>
    <n v="51"/>
    <x v="753"/>
    <x v="0"/>
    <s v="133/83"/>
    <x v="0"/>
    <x v="1"/>
    <x v="2"/>
    <x v="1"/>
    <x v="1"/>
    <x v="0"/>
    <x v="0"/>
    <x v="0"/>
    <x v="2"/>
  </r>
  <r>
    <n v="204"/>
    <n v="56"/>
    <x v="0"/>
    <n v="185"/>
    <n v="75"/>
    <x v="754"/>
    <x v="0"/>
    <s v="152/91"/>
    <x v="1"/>
    <x v="1"/>
    <x v="2"/>
    <x v="2"/>
    <x v="0"/>
    <x v="1"/>
    <x v="1"/>
    <x v="1"/>
    <x v="1"/>
  </r>
  <r>
    <n v="236"/>
    <n v="56"/>
    <x v="0"/>
    <n v="182"/>
    <n v="96"/>
    <x v="755"/>
    <x v="2"/>
    <s v="158/88"/>
    <x v="1"/>
    <x v="0"/>
    <x v="2"/>
    <x v="3"/>
    <x v="0"/>
    <x v="1"/>
    <x v="1"/>
    <x v="1"/>
    <x v="0"/>
  </r>
  <r>
    <n v="248"/>
    <n v="56"/>
    <x v="1"/>
    <n v="171"/>
    <n v="84"/>
    <x v="756"/>
    <x v="2"/>
    <s v="147/93"/>
    <x v="1"/>
    <x v="1"/>
    <x v="2"/>
    <x v="1"/>
    <x v="0"/>
    <x v="1"/>
    <x v="1"/>
    <x v="0"/>
    <x v="0"/>
  </r>
  <r>
    <n v="761"/>
    <n v="54"/>
    <x v="0"/>
    <n v="163"/>
    <n v="80"/>
    <x v="757"/>
    <x v="0"/>
    <s v="117/81"/>
    <x v="0"/>
    <x v="1"/>
    <x v="1"/>
    <x v="1"/>
    <x v="0"/>
    <x v="1"/>
    <x v="1"/>
    <x v="1"/>
    <x v="1"/>
  </r>
  <r>
    <n v="343"/>
    <n v="56"/>
    <x v="0"/>
    <n v="189"/>
    <n v="84"/>
    <x v="758"/>
    <x v="1"/>
    <s v="147/93"/>
    <x v="0"/>
    <x v="1"/>
    <x v="2"/>
    <x v="3"/>
    <x v="1"/>
    <x v="1"/>
    <x v="0"/>
    <x v="1"/>
    <x v="1"/>
  </r>
  <r>
    <n v="763"/>
    <n v="66"/>
    <x v="1"/>
    <n v="156"/>
    <n v="66"/>
    <x v="759"/>
    <x v="0"/>
    <s v="141/81"/>
    <x v="1"/>
    <x v="0"/>
    <x v="1"/>
    <x v="2"/>
    <x v="1"/>
    <x v="1"/>
    <x v="1"/>
    <x v="0"/>
    <x v="2"/>
  </r>
  <r>
    <n v="767"/>
    <n v="42"/>
    <x v="0"/>
    <n v="162"/>
    <n v="72"/>
    <x v="760"/>
    <x v="2"/>
    <s v="114/94"/>
    <x v="1"/>
    <x v="0"/>
    <x v="1"/>
    <x v="2"/>
    <x v="1"/>
    <x v="0"/>
    <x v="0"/>
    <x v="1"/>
    <x v="0"/>
  </r>
  <r>
    <n v="769"/>
    <n v="58"/>
    <x v="0"/>
    <n v="180"/>
    <n v="89"/>
    <x v="761"/>
    <x v="0"/>
    <s v="148/92"/>
    <x v="0"/>
    <x v="0"/>
    <x v="1"/>
    <x v="0"/>
    <x v="0"/>
    <x v="0"/>
    <x v="0"/>
    <x v="1"/>
    <x v="0"/>
  </r>
  <r>
    <n v="770"/>
    <n v="47"/>
    <x v="0"/>
    <n v="151"/>
    <n v="62"/>
    <x v="762"/>
    <x v="1"/>
    <s v="113/73"/>
    <x v="0"/>
    <x v="1"/>
    <x v="1"/>
    <x v="0"/>
    <x v="0"/>
    <x v="1"/>
    <x v="0"/>
    <x v="0"/>
    <x v="1"/>
  </r>
  <r>
    <n v="771"/>
    <n v="34"/>
    <x v="0"/>
    <n v="165"/>
    <n v="69"/>
    <x v="763"/>
    <x v="0"/>
    <s v="156/90"/>
    <x v="2"/>
    <x v="1"/>
    <x v="1"/>
    <x v="1"/>
    <x v="1"/>
    <x v="0"/>
    <x v="0"/>
    <x v="0"/>
    <x v="0"/>
  </r>
  <r>
    <n v="773"/>
    <n v="79"/>
    <x v="0"/>
    <n v="158"/>
    <n v="54"/>
    <x v="764"/>
    <x v="0"/>
    <s v="116/85"/>
    <x v="1"/>
    <x v="0"/>
    <x v="0"/>
    <x v="0"/>
    <x v="1"/>
    <x v="0"/>
    <x v="1"/>
    <x v="1"/>
    <x v="2"/>
  </r>
  <r>
    <n v="816"/>
    <n v="56"/>
    <x v="1"/>
    <n v="173"/>
    <n v="84"/>
    <x v="765"/>
    <x v="2"/>
    <s v="118/81"/>
    <x v="1"/>
    <x v="0"/>
    <x v="2"/>
    <x v="0"/>
    <x v="0"/>
    <x v="0"/>
    <x v="0"/>
    <x v="1"/>
    <x v="1"/>
  </r>
  <r>
    <n v="775"/>
    <n v="65"/>
    <x v="0"/>
    <n v="160"/>
    <n v="78"/>
    <x v="766"/>
    <x v="2"/>
    <s v="132/103"/>
    <x v="2"/>
    <x v="1"/>
    <x v="1"/>
    <x v="2"/>
    <x v="0"/>
    <x v="0"/>
    <x v="1"/>
    <x v="0"/>
    <x v="1"/>
  </r>
  <r>
    <n v="875"/>
    <n v="56"/>
    <x v="0"/>
    <n v="169"/>
    <n v="50"/>
    <x v="767"/>
    <x v="2"/>
    <s v="124/70"/>
    <x v="1"/>
    <x v="1"/>
    <x v="2"/>
    <x v="1"/>
    <x v="1"/>
    <x v="0"/>
    <x v="1"/>
    <x v="1"/>
    <x v="0"/>
  </r>
  <r>
    <n v="889"/>
    <n v="56"/>
    <x v="0"/>
    <n v="162"/>
    <n v="61"/>
    <x v="768"/>
    <x v="2"/>
    <s v="146/106"/>
    <x v="2"/>
    <x v="1"/>
    <x v="2"/>
    <x v="3"/>
    <x v="0"/>
    <x v="1"/>
    <x v="0"/>
    <x v="0"/>
    <x v="2"/>
  </r>
  <r>
    <n v="1053"/>
    <n v="56"/>
    <x v="0"/>
    <n v="177"/>
    <n v="93"/>
    <x v="769"/>
    <x v="1"/>
    <s v="149/98"/>
    <x v="0"/>
    <x v="0"/>
    <x v="2"/>
    <x v="3"/>
    <x v="0"/>
    <x v="0"/>
    <x v="1"/>
    <x v="1"/>
    <x v="0"/>
  </r>
  <r>
    <n v="1082"/>
    <n v="56"/>
    <x v="0"/>
    <n v="187"/>
    <n v="54"/>
    <x v="770"/>
    <x v="2"/>
    <s v="123/73"/>
    <x v="2"/>
    <x v="0"/>
    <x v="2"/>
    <x v="1"/>
    <x v="0"/>
    <x v="1"/>
    <x v="0"/>
    <x v="0"/>
    <x v="1"/>
  </r>
  <r>
    <n v="1235"/>
    <n v="56"/>
    <x v="0"/>
    <n v="178"/>
    <n v="83"/>
    <x v="771"/>
    <x v="2"/>
    <s v="156/88"/>
    <x v="0"/>
    <x v="0"/>
    <x v="2"/>
    <x v="2"/>
    <x v="0"/>
    <x v="0"/>
    <x v="1"/>
    <x v="0"/>
    <x v="2"/>
  </r>
  <r>
    <n v="1238"/>
    <n v="56"/>
    <x v="1"/>
    <n v="159"/>
    <n v="65"/>
    <x v="772"/>
    <x v="2"/>
    <s v="137/96"/>
    <x v="0"/>
    <x v="0"/>
    <x v="2"/>
    <x v="2"/>
    <x v="0"/>
    <x v="0"/>
    <x v="1"/>
    <x v="0"/>
    <x v="0"/>
  </r>
  <r>
    <n v="1424"/>
    <n v="56"/>
    <x v="1"/>
    <n v="174"/>
    <n v="89"/>
    <x v="773"/>
    <x v="2"/>
    <s v="118/89"/>
    <x v="1"/>
    <x v="0"/>
    <x v="2"/>
    <x v="2"/>
    <x v="1"/>
    <x v="1"/>
    <x v="1"/>
    <x v="1"/>
    <x v="2"/>
  </r>
  <r>
    <n v="1446"/>
    <n v="56"/>
    <x v="1"/>
    <n v="171"/>
    <n v="55"/>
    <x v="774"/>
    <x v="2"/>
    <s v="125/109"/>
    <x v="2"/>
    <x v="1"/>
    <x v="2"/>
    <x v="3"/>
    <x v="0"/>
    <x v="0"/>
    <x v="0"/>
    <x v="1"/>
    <x v="2"/>
  </r>
  <r>
    <n v="1462"/>
    <n v="56"/>
    <x v="1"/>
    <n v="171"/>
    <n v="74"/>
    <x v="775"/>
    <x v="2"/>
    <s v="133/87"/>
    <x v="2"/>
    <x v="1"/>
    <x v="2"/>
    <x v="0"/>
    <x v="0"/>
    <x v="1"/>
    <x v="1"/>
    <x v="1"/>
    <x v="1"/>
  </r>
  <r>
    <n v="1677"/>
    <n v="56"/>
    <x v="0"/>
    <n v="161"/>
    <n v="99"/>
    <x v="776"/>
    <x v="1"/>
    <s v="136/91"/>
    <x v="2"/>
    <x v="0"/>
    <x v="2"/>
    <x v="1"/>
    <x v="0"/>
    <x v="0"/>
    <x v="0"/>
    <x v="1"/>
    <x v="2"/>
  </r>
  <r>
    <n v="1793"/>
    <n v="56"/>
    <x v="1"/>
    <n v="165"/>
    <n v="65"/>
    <x v="777"/>
    <x v="2"/>
    <s v="124/89"/>
    <x v="1"/>
    <x v="1"/>
    <x v="2"/>
    <x v="3"/>
    <x v="1"/>
    <x v="1"/>
    <x v="0"/>
    <x v="0"/>
    <x v="1"/>
  </r>
  <r>
    <n v="776"/>
    <n v="42"/>
    <x v="1"/>
    <n v="171"/>
    <n v="55"/>
    <x v="778"/>
    <x v="0"/>
    <s v="120/103"/>
    <x v="1"/>
    <x v="1"/>
    <x v="1"/>
    <x v="1"/>
    <x v="0"/>
    <x v="1"/>
    <x v="0"/>
    <x v="1"/>
    <x v="0"/>
  </r>
  <r>
    <n v="1908"/>
    <n v="56"/>
    <x v="0"/>
    <n v="181"/>
    <n v="82"/>
    <x v="779"/>
    <x v="0"/>
    <s v="115/90"/>
    <x v="0"/>
    <x v="1"/>
    <x v="2"/>
    <x v="1"/>
    <x v="1"/>
    <x v="1"/>
    <x v="0"/>
    <x v="0"/>
    <x v="1"/>
  </r>
  <r>
    <n v="1986"/>
    <n v="56"/>
    <x v="1"/>
    <n v="178"/>
    <n v="56"/>
    <x v="780"/>
    <x v="2"/>
    <s v="153/85"/>
    <x v="0"/>
    <x v="0"/>
    <x v="2"/>
    <x v="1"/>
    <x v="0"/>
    <x v="0"/>
    <x v="1"/>
    <x v="1"/>
    <x v="1"/>
  </r>
  <r>
    <n v="777"/>
    <n v="39"/>
    <x v="1"/>
    <n v="182"/>
    <n v="74"/>
    <x v="781"/>
    <x v="1"/>
    <s v="142/95"/>
    <x v="0"/>
    <x v="0"/>
    <x v="1"/>
    <x v="0"/>
    <x v="1"/>
    <x v="1"/>
    <x v="0"/>
    <x v="0"/>
    <x v="1"/>
  </r>
  <r>
    <n v="27"/>
    <n v="55"/>
    <x v="0"/>
    <n v="165"/>
    <n v="88"/>
    <x v="782"/>
    <x v="1"/>
    <s v="136/96"/>
    <x v="2"/>
    <x v="1"/>
    <x v="2"/>
    <x v="1"/>
    <x v="0"/>
    <x v="1"/>
    <x v="1"/>
    <x v="0"/>
    <x v="1"/>
  </r>
  <r>
    <n v="310"/>
    <n v="55"/>
    <x v="0"/>
    <n v="175"/>
    <n v="86"/>
    <x v="783"/>
    <x v="1"/>
    <s v="152/105"/>
    <x v="2"/>
    <x v="1"/>
    <x v="2"/>
    <x v="2"/>
    <x v="0"/>
    <x v="0"/>
    <x v="1"/>
    <x v="1"/>
    <x v="1"/>
  </r>
  <r>
    <n v="782"/>
    <n v="53"/>
    <x v="1"/>
    <n v="173"/>
    <n v="54"/>
    <x v="784"/>
    <x v="0"/>
    <s v="151/98"/>
    <x v="1"/>
    <x v="1"/>
    <x v="1"/>
    <x v="1"/>
    <x v="0"/>
    <x v="0"/>
    <x v="1"/>
    <x v="0"/>
    <x v="1"/>
  </r>
  <r>
    <n v="437"/>
    <n v="55"/>
    <x v="0"/>
    <n v="183"/>
    <n v="59"/>
    <x v="785"/>
    <x v="2"/>
    <s v="126/77"/>
    <x v="2"/>
    <x v="0"/>
    <x v="2"/>
    <x v="0"/>
    <x v="0"/>
    <x v="0"/>
    <x v="1"/>
    <x v="0"/>
    <x v="1"/>
  </r>
  <r>
    <n v="783"/>
    <n v="29"/>
    <x v="0"/>
    <n v="157"/>
    <n v="76"/>
    <x v="786"/>
    <x v="0"/>
    <s v="132/86"/>
    <x v="1"/>
    <x v="0"/>
    <x v="1"/>
    <x v="1"/>
    <x v="0"/>
    <x v="1"/>
    <x v="1"/>
    <x v="0"/>
    <x v="1"/>
  </r>
  <r>
    <n v="788"/>
    <n v="26"/>
    <x v="1"/>
    <n v="177"/>
    <n v="93"/>
    <x v="787"/>
    <x v="2"/>
    <s v="119/85"/>
    <x v="1"/>
    <x v="0"/>
    <x v="1"/>
    <x v="0"/>
    <x v="1"/>
    <x v="0"/>
    <x v="0"/>
    <x v="0"/>
    <x v="0"/>
  </r>
  <r>
    <n v="791"/>
    <n v="31"/>
    <x v="0"/>
    <n v="177"/>
    <n v="60"/>
    <x v="788"/>
    <x v="1"/>
    <s v="138/75"/>
    <x v="2"/>
    <x v="0"/>
    <x v="1"/>
    <x v="3"/>
    <x v="0"/>
    <x v="0"/>
    <x v="0"/>
    <x v="0"/>
    <x v="0"/>
  </r>
  <r>
    <n v="901"/>
    <n v="55"/>
    <x v="0"/>
    <n v="154"/>
    <n v="56"/>
    <x v="789"/>
    <x v="0"/>
    <s v="121/89"/>
    <x v="1"/>
    <x v="0"/>
    <x v="2"/>
    <x v="2"/>
    <x v="1"/>
    <x v="0"/>
    <x v="1"/>
    <x v="0"/>
    <x v="2"/>
  </r>
  <r>
    <n v="944"/>
    <n v="55"/>
    <x v="0"/>
    <n v="172"/>
    <n v="67"/>
    <x v="790"/>
    <x v="1"/>
    <s v="145/109"/>
    <x v="2"/>
    <x v="0"/>
    <x v="2"/>
    <x v="1"/>
    <x v="0"/>
    <x v="1"/>
    <x v="1"/>
    <x v="0"/>
    <x v="2"/>
  </r>
  <r>
    <n v="793"/>
    <n v="69"/>
    <x v="1"/>
    <n v="150"/>
    <n v="96"/>
    <x v="791"/>
    <x v="2"/>
    <s v="133/98"/>
    <x v="0"/>
    <x v="0"/>
    <x v="1"/>
    <x v="3"/>
    <x v="1"/>
    <x v="1"/>
    <x v="0"/>
    <x v="1"/>
    <x v="2"/>
  </r>
  <r>
    <n v="1083"/>
    <n v="55"/>
    <x v="1"/>
    <n v="170"/>
    <n v="72"/>
    <x v="792"/>
    <x v="0"/>
    <s v="129/103"/>
    <x v="2"/>
    <x v="0"/>
    <x v="2"/>
    <x v="1"/>
    <x v="1"/>
    <x v="1"/>
    <x v="1"/>
    <x v="0"/>
    <x v="1"/>
  </r>
  <r>
    <n v="1086"/>
    <n v="55"/>
    <x v="0"/>
    <n v="171"/>
    <n v="81"/>
    <x v="793"/>
    <x v="0"/>
    <s v="114/107"/>
    <x v="1"/>
    <x v="1"/>
    <x v="2"/>
    <x v="2"/>
    <x v="1"/>
    <x v="0"/>
    <x v="1"/>
    <x v="0"/>
    <x v="1"/>
  </r>
  <r>
    <n v="795"/>
    <n v="75"/>
    <x v="0"/>
    <n v="170"/>
    <n v="60"/>
    <x v="794"/>
    <x v="0"/>
    <s v="110/95"/>
    <x v="0"/>
    <x v="0"/>
    <x v="0"/>
    <x v="2"/>
    <x v="1"/>
    <x v="1"/>
    <x v="1"/>
    <x v="0"/>
    <x v="1"/>
  </r>
  <r>
    <n v="801"/>
    <n v="29"/>
    <x v="0"/>
    <n v="186"/>
    <n v="95"/>
    <x v="795"/>
    <x v="1"/>
    <s v="111/95"/>
    <x v="0"/>
    <x v="1"/>
    <x v="1"/>
    <x v="3"/>
    <x v="1"/>
    <x v="0"/>
    <x v="1"/>
    <x v="1"/>
    <x v="2"/>
  </r>
  <r>
    <n v="803"/>
    <n v="69"/>
    <x v="1"/>
    <n v="173"/>
    <n v="50"/>
    <x v="796"/>
    <x v="1"/>
    <s v="125/86"/>
    <x v="1"/>
    <x v="0"/>
    <x v="1"/>
    <x v="3"/>
    <x v="0"/>
    <x v="0"/>
    <x v="0"/>
    <x v="1"/>
    <x v="1"/>
  </r>
  <r>
    <n v="1345"/>
    <n v="55"/>
    <x v="1"/>
    <n v="183"/>
    <n v="74"/>
    <x v="797"/>
    <x v="2"/>
    <s v="134/101"/>
    <x v="2"/>
    <x v="0"/>
    <x v="2"/>
    <x v="0"/>
    <x v="0"/>
    <x v="0"/>
    <x v="0"/>
    <x v="1"/>
    <x v="2"/>
  </r>
  <r>
    <n v="1375"/>
    <n v="55"/>
    <x v="1"/>
    <n v="167"/>
    <n v="80"/>
    <x v="798"/>
    <x v="0"/>
    <s v="124/100"/>
    <x v="0"/>
    <x v="0"/>
    <x v="2"/>
    <x v="1"/>
    <x v="0"/>
    <x v="0"/>
    <x v="1"/>
    <x v="0"/>
    <x v="2"/>
  </r>
  <r>
    <n v="804"/>
    <n v="76"/>
    <x v="0"/>
    <n v="151"/>
    <n v="96"/>
    <x v="799"/>
    <x v="0"/>
    <s v="155/91"/>
    <x v="1"/>
    <x v="0"/>
    <x v="0"/>
    <x v="0"/>
    <x v="0"/>
    <x v="0"/>
    <x v="0"/>
    <x v="1"/>
    <x v="2"/>
  </r>
  <r>
    <n v="1466"/>
    <n v="55"/>
    <x v="1"/>
    <n v="181"/>
    <n v="98"/>
    <x v="800"/>
    <x v="1"/>
    <s v="134/92"/>
    <x v="2"/>
    <x v="1"/>
    <x v="2"/>
    <x v="3"/>
    <x v="1"/>
    <x v="0"/>
    <x v="0"/>
    <x v="1"/>
    <x v="2"/>
  </r>
  <r>
    <n v="805"/>
    <n v="38"/>
    <x v="1"/>
    <n v="171"/>
    <n v="50"/>
    <x v="801"/>
    <x v="2"/>
    <s v="113/88"/>
    <x v="2"/>
    <x v="0"/>
    <x v="1"/>
    <x v="3"/>
    <x v="1"/>
    <x v="0"/>
    <x v="0"/>
    <x v="1"/>
    <x v="2"/>
  </r>
  <r>
    <n v="1518"/>
    <n v="55"/>
    <x v="0"/>
    <n v="177"/>
    <n v="97"/>
    <x v="802"/>
    <x v="2"/>
    <s v="116/74"/>
    <x v="0"/>
    <x v="1"/>
    <x v="2"/>
    <x v="2"/>
    <x v="0"/>
    <x v="0"/>
    <x v="0"/>
    <x v="1"/>
    <x v="1"/>
  </r>
  <r>
    <n v="1594"/>
    <n v="55"/>
    <x v="1"/>
    <n v="175"/>
    <n v="63"/>
    <x v="803"/>
    <x v="1"/>
    <s v="123/106"/>
    <x v="1"/>
    <x v="0"/>
    <x v="2"/>
    <x v="0"/>
    <x v="1"/>
    <x v="1"/>
    <x v="1"/>
    <x v="1"/>
    <x v="2"/>
  </r>
  <r>
    <n v="806"/>
    <n v="53"/>
    <x v="1"/>
    <n v="166"/>
    <n v="66"/>
    <x v="804"/>
    <x v="2"/>
    <s v="111/108"/>
    <x v="0"/>
    <x v="1"/>
    <x v="1"/>
    <x v="0"/>
    <x v="0"/>
    <x v="1"/>
    <x v="0"/>
    <x v="1"/>
    <x v="1"/>
  </r>
  <r>
    <n v="1763"/>
    <n v="55"/>
    <x v="1"/>
    <n v="164"/>
    <n v="78"/>
    <x v="805"/>
    <x v="0"/>
    <s v="157/103"/>
    <x v="0"/>
    <x v="1"/>
    <x v="2"/>
    <x v="1"/>
    <x v="0"/>
    <x v="1"/>
    <x v="1"/>
    <x v="0"/>
    <x v="0"/>
  </r>
  <r>
    <n v="811"/>
    <n v="56"/>
    <x v="1"/>
    <n v="174"/>
    <n v="57"/>
    <x v="806"/>
    <x v="0"/>
    <s v="120/108"/>
    <x v="0"/>
    <x v="0"/>
    <x v="1"/>
    <x v="0"/>
    <x v="0"/>
    <x v="0"/>
    <x v="1"/>
    <x v="1"/>
    <x v="1"/>
  </r>
  <r>
    <n v="812"/>
    <n v="62"/>
    <x v="1"/>
    <n v="152"/>
    <n v="78"/>
    <x v="807"/>
    <x v="0"/>
    <s v="150/73"/>
    <x v="1"/>
    <x v="1"/>
    <x v="1"/>
    <x v="2"/>
    <x v="0"/>
    <x v="1"/>
    <x v="1"/>
    <x v="1"/>
    <x v="0"/>
  </r>
  <r>
    <n v="813"/>
    <n v="70"/>
    <x v="0"/>
    <n v="187"/>
    <n v="97"/>
    <x v="808"/>
    <x v="0"/>
    <s v="134/101"/>
    <x v="0"/>
    <x v="1"/>
    <x v="0"/>
    <x v="2"/>
    <x v="0"/>
    <x v="1"/>
    <x v="1"/>
    <x v="1"/>
    <x v="0"/>
  </r>
  <r>
    <n v="56"/>
    <n v="54"/>
    <x v="1"/>
    <n v="152"/>
    <n v="77"/>
    <x v="809"/>
    <x v="2"/>
    <s v="118/94"/>
    <x v="1"/>
    <x v="0"/>
    <x v="2"/>
    <x v="1"/>
    <x v="1"/>
    <x v="1"/>
    <x v="0"/>
    <x v="1"/>
    <x v="2"/>
  </r>
  <r>
    <n v="818"/>
    <n v="48"/>
    <x v="1"/>
    <n v="174"/>
    <n v="76"/>
    <x v="810"/>
    <x v="2"/>
    <s v="114/74"/>
    <x v="2"/>
    <x v="0"/>
    <x v="1"/>
    <x v="3"/>
    <x v="0"/>
    <x v="1"/>
    <x v="1"/>
    <x v="1"/>
    <x v="2"/>
  </r>
  <r>
    <n v="821"/>
    <n v="52"/>
    <x v="0"/>
    <n v="187"/>
    <n v="69"/>
    <x v="811"/>
    <x v="1"/>
    <s v="138/91"/>
    <x v="2"/>
    <x v="1"/>
    <x v="1"/>
    <x v="3"/>
    <x v="0"/>
    <x v="0"/>
    <x v="1"/>
    <x v="1"/>
    <x v="2"/>
  </r>
  <r>
    <n v="202"/>
    <n v="54"/>
    <x v="0"/>
    <n v="187"/>
    <n v="61"/>
    <x v="812"/>
    <x v="2"/>
    <s v="110/73"/>
    <x v="2"/>
    <x v="1"/>
    <x v="2"/>
    <x v="1"/>
    <x v="1"/>
    <x v="1"/>
    <x v="0"/>
    <x v="0"/>
    <x v="1"/>
  </r>
  <r>
    <n v="254"/>
    <n v="54"/>
    <x v="1"/>
    <n v="160"/>
    <n v="76"/>
    <x v="813"/>
    <x v="0"/>
    <s v="134/97"/>
    <x v="2"/>
    <x v="1"/>
    <x v="2"/>
    <x v="0"/>
    <x v="1"/>
    <x v="1"/>
    <x v="0"/>
    <x v="0"/>
    <x v="2"/>
  </r>
  <r>
    <n v="822"/>
    <n v="40"/>
    <x v="1"/>
    <n v="150"/>
    <n v="94"/>
    <x v="814"/>
    <x v="0"/>
    <s v="136/79"/>
    <x v="0"/>
    <x v="1"/>
    <x v="1"/>
    <x v="2"/>
    <x v="1"/>
    <x v="1"/>
    <x v="1"/>
    <x v="1"/>
    <x v="1"/>
  </r>
  <r>
    <n v="825"/>
    <n v="28"/>
    <x v="0"/>
    <n v="165"/>
    <n v="88"/>
    <x v="815"/>
    <x v="1"/>
    <s v="115/94"/>
    <x v="1"/>
    <x v="1"/>
    <x v="1"/>
    <x v="2"/>
    <x v="0"/>
    <x v="1"/>
    <x v="1"/>
    <x v="0"/>
    <x v="0"/>
  </r>
  <r>
    <n v="372"/>
    <n v="54"/>
    <x v="0"/>
    <n v="189"/>
    <n v="86"/>
    <x v="816"/>
    <x v="0"/>
    <s v="141/76"/>
    <x v="1"/>
    <x v="0"/>
    <x v="2"/>
    <x v="1"/>
    <x v="1"/>
    <x v="1"/>
    <x v="0"/>
    <x v="1"/>
    <x v="0"/>
  </r>
  <r>
    <n v="827"/>
    <n v="64"/>
    <x v="0"/>
    <n v="189"/>
    <n v="68"/>
    <x v="817"/>
    <x v="1"/>
    <s v="149/101"/>
    <x v="0"/>
    <x v="0"/>
    <x v="1"/>
    <x v="3"/>
    <x v="1"/>
    <x v="1"/>
    <x v="1"/>
    <x v="1"/>
    <x v="1"/>
  </r>
  <r>
    <n v="828"/>
    <n v="29"/>
    <x v="1"/>
    <n v="177"/>
    <n v="87"/>
    <x v="818"/>
    <x v="0"/>
    <s v="144/79"/>
    <x v="1"/>
    <x v="1"/>
    <x v="1"/>
    <x v="2"/>
    <x v="0"/>
    <x v="0"/>
    <x v="1"/>
    <x v="0"/>
    <x v="2"/>
  </r>
  <r>
    <n v="830"/>
    <n v="27"/>
    <x v="1"/>
    <n v="176"/>
    <n v="94"/>
    <x v="819"/>
    <x v="2"/>
    <s v="115/85"/>
    <x v="0"/>
    <x v="0"/>
    <x v="1"/>
    <x v="1"/>
    <x v="0"/>
    <x v="1"/>
    <x v="1"/>
    <x v="0"/>
    <x v="0"/>
  </r>
  <r>
    <n v="835"/>
    <n v="55"/>
    <x v="1"/>
    <n v="156"/>
    <n v="77"/>
    <x v="820"/>
    <x v="0"/>
    <s v="148/100"/>
    <x v="2"/>
    <x v="0"/>
    <x v="1"/>
    <x v="1"/>
    <x v="1"/>
    <x v="0"/>
    <x v="0"/>
    <x v="0"/>
    <x v="0"/>
  </r>
  <r>
    <n v="658"/>
    <n v="54"/>
    <x v="1"/>
    <n v="188"/>
    <n v="76"/>
    <x v="821"/>
    <x v="0"/>
    <s v="132/97"/>
    <x v="1"/>
    <x v="1"/>
    <x v="2"/>
    <x v="1"/>
    <x v="1"/>
    <x v="1"/>
    <x v="1"/>
    <x v="1"/>
    <x v="1"/>
  </r>
  <r>
    <n v="838"/>
    <n v="30"/>
    <x v="1"/>
    <n v="174"/>
    <n v="71"/>
    <x v="822"/>
    <x v="2"/>
    <s v="113/97"/>
    <x v="2"/>
    <x v="0"/>
    <x v="1"/>
    <x v="1"/>
    <x v="0"/>
    <x v="1"/>
    <x v="1"/>
    <x v="1"/>
    <x v="2"/>
  </r>
  <r>
    <n v="843"/>
    <n v="44"/>
    <x v="0"/>
    <n v="165"/>
    <n v="91"/>
    <x v="823"/>
    <x v="2"/>
    <s v="152/90"/>
    <x v="2"/>
    <x v="1"/>
    <x v="1"/>
    <x v="1"/>
    <x v="0"/>
    <x v="1"/>
    <x v="0"/>
    <x v="1"/>
    <x v="2"/>
  </r>
  <r>
    <n v="844"/>
    <n v="75"/>
    <x v="1"/>
    <n v="185"/>
    <n v="75"/>
    <x v="824"/>
    <x v="0"/>
    <s v="133/94"/>
    <x v="1"/>
    <x v="0"/>
    <x v="0"/>
    <x v="1"/>
    <x v="0"/>
    <x v="1"/>
    <x v="0"/>
    <x v="0"/>
    <x v="1"/>
  </r>
  <r>
    <n v="846"/>
    <n v="22"/>
    <x v="0"/>
    <n v="156"/>
    <n v="75"/>
    <x v="825"/>
    <x v="0"/>
    <s v="138/79"/>
    <x v="2"/>
    <x v="1"/>
    <x v="1"/>
    <x v="2"/>
    <x v="1"/>
    <x v="1"/>
    <x v="0"/>
    <x v="0"/>
    <x v="2"/>
  </r>
  <r>
    <n v="847"/>
    <n v="46"/>
    <x v="0"/>
    <n v="185"/>
    <n v="72"/>
    <x v="826"/>
    <x v="0"/>
    <s v="121/102"/>
    <x v="0"/>
    <x v="0"/>
    <x v="1"/>
    <x v="2"/>
    <x v="1"/>
    <x v="1"/>
    <x v="1"/>
    <x v="1"/>
    <x v="0"/>
  </r>
  <r>
    <n v="848"/>
    <n v="54"/>
    <x v="0"/>
    <n v="158"/>
    <n v="92"/>
    <x v="827"/>
    <x v="2"/>
    <s v="116/86"/>
    <x v="1"/>
    <x v="1"/>
    <x v="1"/>
    <x v="2"/>
    <x v="0"/>
    <x v="0"/>
    <x v="1"/>
    <x v="0"/>
    <x v="0"/>
  </r>
  <r>
    <n v="849"/>
    <n v="55"/>
    <x v="0"/>
    <n v="181"/>
    <n v="62"/>
    <x v="828"/>
    <x v="0"/>
    <s v="119/100"/>
    <x v="2"/>
    <x v="1"/>
    <x v="1"/>
    <x v="2"/>
    <x v="1"/>
    <x v="0"/>
    <x v="1"/>
    <x v="0"/>
    <x v="0"/>
  </r>
  <r>
    <n v="1030"/>
    <n v="54"/>
    <x v="1"/>
    <n v="153"/>
    <n v="61"/>
    <x v="829"/>
    <x v="0"/>
    <s v="142/85"/>
    <x v="1"/>
    <x v="1"/>
    <x v="2"/>
    <x v="1"/>
    <x v="1"/>
    <x v="0"/>
    <x v="1"/>
    <x v="0"/>
    <x v="2"/>
  </r>
  <r>
    <n v="851"/>
    <n v="25"/>
    <x v="1"/>
    <n v="157"/>
    <n v="58"/>
    <x v="830"/>
    <x v="0"/>
    <s v="159/106"/>
    <x v="0"/>
    <x v="1"/>
    <x v="1"/>
    <x v="2"/>
    <x v="1"/>
    <x v="1"/>
    <x v="1"/>
    <x v="0"/>
    <x v="0"/>
  </r>
  <r>
    <n v="1232"/>
    <n v="54"/>
    <x v="1"/>
    <n v="168"/>
    <n v="86"/>
    <x v="831"/>
    <x v="0"/>
    <s v="111/81"/>
    <x v="0"/>
    <x v="1"/>
    <x v="2"/>
    <x v="1"/>
    <x v="0"/>
    <x v="0"/>
    <x v="1"/>
    <x v="1"/>
    <x v="0"/>
  </r>
  <r>
    <n v="854"/>
    <n v="18"/>
    <x v="0"/>
    <n v="174"/>
    <n v="97"/>
    <x v="832"/>
    <x v="1"/>
    <s v="117/93"/>
    <x v="1"/>
    <x v="1"/>
    <x v="1"/>
    <x v="0"/>
    <x v="0"/>
    <x v="1"/>
    <x v="0"/>
    <x v="0"/>
    <x v="0"/>
  </r>
  <r>
    <n v="1277"/>
    <n v="54"/>
    <x v="1"/>
    <n v="151"/>
    <n v="94"/>
    <x v="833"/>
    <x v="1"/>
    <s v="125/76"/>
    <x v="0"/>
    <x v="0"/>
    <x v="2"/>
    <x v="1"/>
    <x v="1"/>
    <x v="0"/>
    <x v="1"/>
    <x v="0"/>
    <x v="2"/>
  </r>
  <r>
    <n v="856"/>
    <n v="69"/>
    <x v="1"/>
    <n v="171"/>
    <n v="61"/>
    <x v="834"/>
    <x v="2"/>
    <s v="141/93"/>
    <x v="1"/>
    <x v="0"/>
    <x v="1"/>
    <x v="3"/>
    <x v="1"/>
    <x v="1"/>
    <x v="0"/>
    <x v="0"/>
    <x v="0"/>
  </r>
  <r>
    <n v="1346"/>
    <n v="54"/>
    <x v="0"/>
    <n v="189"/>
    <n v="65"/>
    <x v="835"/>
    <x v="1"/>
    <s v="121/82"/>
    <x v="0"/>
    <x v="0"/>
    <x v="2"/>
    <x v="1"/>
    <x v="1"/>
    <x v="0"/>
    <x v="1"/>
    <x v="1"/>
    <x v="2"/>
  </r>
  <r>
    <n v="1368"/>
    <n v="54"/>
    <x v="0"/>
    <n v="155"/>
    <n v="80"/>
    <x v="836"/>
    <x v="0"/>
    <s v="125/98"/>
    <x v="2"/>
    <x v="1"/>
    <x v="2"/>
    <x v="1"/>
    <x v="1"/>
    <x v="0"/>
    <x v="1"/>
    <x v="0"/>
    <x v="2"/>
  </r>
  <r>
    <n v="859"/>
    <n v="42"/>
    <x v="1"/>
    <n v="152"/>
    <n v="63"/>
    <x v="837"/>
    <x v="0"/>
    <s v="144/102"/>
    <x v="0"/>
    <x v="1"/>
    <x v="1"/>
    <x v="0"/>
    <x v="1"/>
    <x v="1"/>
    <x v="0"/>
    <x v="1"/>
    <x v="2"/>
  </r>
  <r>
    <n v="1409"/>
    <n v="54"/>
    <x v="0"/>
    <n v="156"/>
    <n v="60"/>
    <x v="838"/>
    <x v="1"/>
    <s v="142/70"/>
    <x v="1"/>
    <x v="1"/>
    <x v="2"/>
    <x v="1"/>
    <x v="1"/>
    <x v="0"/>
    <x v="1"/>
    <x v="1"/>
    <x v="2"/>
  </r>
  <r>
    <n v="861"/>
    <n v="21"/>
    <x v="1"/>
    <n v="178"/>
    <n v="75"/>
    <x v="839"/>
    <x v="0"/>
    <s v="122/79"/>
    <x v="1"/>
    <x v="1"/>
    <x v="1"/>
    <x v="2"/>
    <x v="0"/>
    <x v="1"/>
    <x v="1"/>
    <x v="0"/>
    <x v="1"/>
  </r>
  <r>
    <n v="864"/>
    <n v="77"/>
    <x v="0"/>
    <n v="177"/>
    <n v="60"/>
    <x v="840"/>
    <x v="1"/>
    <s v="110/94"/>
    <x v="0"/>
    <x v="1"/>
    <x v="0"/>
    <x v="0"/>
    <x v="1"/>
    <x v="0"/>
    <x v="0"/>
    <x v="0"/>
    <x v="0"/>
  </r>
  <r>
    <n v="1564"/>
    <n v="54"/>
    <x v="0"/>
    <n v="151"/>
    <n v="72"/>
    <x v="841"/>
    <x v="0"/>
    <s v="151/93"/>
    <x v="2"/>
    <x v="1"/>
    <x v="2"/>
    <x v="0"/>
    <x v="0"/>
    <x v="1"/>
    <x v="1"/>
    <x v="1"/>
    <x v="0"/>
  </r>
  <r>
    <n v="865"/>
    <n v="48"/>
    <x v="0"/>
    <n v="162"/>
    <n v="87"/>
    <x v="842"/>
    <x v="2"/>
    <s v="143/108"/>
    <x v="1"/>
    <x v="0"/>
    <x v="1"/>
    <x v="2"/>
    <x v="1"/>
    <x v="0"/>
    <x v="0"/>
    <x v="0"/>
    <x v="1"/>
  </r>
  <r>
    <n v="866"/>
    <n v="36"/>
    <x v="0"/>
    <n v="164"/>
    <n v="83"/>
    <x v="843"/>
    <x v="1"/>
    <s v="119/89"/>
    <x v="1"/>
    <x v="1"/>
    <x v="1"/>
    <x v="1"/>
    <x v="0"/>
    <x v="0"/>
    <x v="1"/>
    <x v="0"/>
    <x v="1"/>
  </r>
  <r>
    <n v="868"/>
    <n v="61"/>
    <x v="1"/>
    <n v="175"/>
    <n v="68"/>
    <x v="844"/>
    <x v="2"/>
    <s v="146/98"/>
    <x v="2"/>
    <x v="0"/>
    <x v="1"/>
    <x v="1"/>
    <x v="1"/>
    <x v="0"/>
    <x v="0"/>
    <x v="0"/>
    <x v="1"/>
  </r>
  <r>
    <n v="869"/>
    <n v="71"/>
    <x v="0"/>
    <n v="153"/>
    <n v="55"/>
    <x v="845"/>
    <x v="0"/>
    <s v="121/86"/>
    <x v="0"/>
    <x v="1"/>
    <x v="0"/>
    <x v="3"/>
    <x v="0"/>
    <x v="1"/>
    <x v="1"/>
    <x v="0"/>
    <x v="1"/>
  </r>
  <r>
    <n v="1817"/>
    <n v="54"/>
    <x v="1"/>
    <n v="183"/>
    <n v="72"/>
    <x v="846"/>
    <x v="1"/>
    <s v="115/87"/>
    <x v="0"/>
    <x v="1"/>
    <x v="2"/>
    <x v="2"/>
    <x v="0"/>
    <x v="0"/>
    <x v="1"/>
    <x v="0"/>
    <x v="0"/>
  </r>
  <r>
    <n v="1912"/>
    <n v="54"/>
    <x v="1"/>
    <n v="186"/>
    <n v="51"/>
    <x v="847"/>
    <x v="0"/>
    <s v="154/98"/>
    <x v="0"/>
    <x v="1"/>
    <x v="2"/>
    <x v="0"/>
    <x v="1"/>
    <x v="0"/>
    <x v="1"/>
    <x v="0"/>
    <x v="0"/>
  </r>
  <r>
    <n v="1921"/>
    <n v="54"/>
    <x v="1"/>
    <n v="157"/>
    <n v="79"/>
    <x v="848"/>
    <x v="0"/>
    <s v="127/85"/>
    <x v="1"/>
    <x v="1"/>
    <x v="2"/>
    <x v="1"/>
    <x v="1"/>
    <x v="1"/>
    <x v="1"/>
    <x v="0"/>
    <x v="1"/>
  </r>
  <r>
    <n v="1943"/>
    <n v="54"/>
    <x v="0"/>
    <n v="159"/>
    <n v="78"/>
    <x v="849"/>
    <x v="0"/>
    <s v="141/75"/>
    <x v="0"/>
    <x v="1"/>
    <x v="2"/>
    <x v="2"/>
    <x v="0"/>
    <x v="1"/>
    <x v="1"/>
    <x v="0"/>
    <x v="2"/>
  </r>
  <r>
    <n v="870"/>
    <n v="56"/>
    <x v="0"/>
    <n v="175"/>
    <n v="95"/>
    <x v="850"/>
    <x v="0"/>
    <s v="157/89"/>
    <x v="2"/>
    <x v="0"/>
    <x v="1"/>
    <x v="3"/>
    <x v="0"/>
    <x v="1"/>
    <x v="0"/>
    <x v="0"/>
    <x v="2"/>
  </r>
  <r>
    <n v="871"/>
    <n v="44"/>
    <x v="0"/>
    <n v="189"/>
    <n v="87"/>
    <x v="851"/>
    <x v="1"/>
    <s v="135/88"/>
    <x v="1"/>
    <x v="0"/>
    <x v="1"/>
    <x v="0"/>
    <x v="1"/>
    <x v="1"/>
    <x v="0"/>
    <x v="1"/>
    <x v="1"/>
  </r>
  <r>
    <n v="103"/>
    <n v="53"/>
    <x v="1"/>
    <n v="158"/>
    <n v="63"/>
    <x v="852"/>
    <x v="1"/>
    <s v="119/108"/>
    <x v="0"/>
    <x v="0"/>
    <x v="2"/>
    <x v="0"/>
    <x v="0"/>
    <x v="0"/>
    <x v="0"/>
    <x v="1"/>
    <x v="2"/>
  </r>
  <r>
    <n v="878"/>
    <n v="62"/>
    <x v="0"/>
    <n v="181"/>
    <n v="57"/>
    <x v="853"/>
    <x v="1"/>
    <s v="131/75"/>
    <x v="1"/>
    <x v="0"/>
    <x v="1"/>
    <x v="0"/>
    <x v="0"/>
    <x v="0"/>
    <x v="1"/>
    <x v="1"/>
    <x v="1"/>
  </r>
  <r>
    <n v="880"/>
    <n v="67"/>
    <x v="1"/>
    <n v="171"/>
    <n v="56"/>
    <x v="854"/>
    <x v="1"/>
    <s v="130/76"/>
    <x v="0"/>
    <x v="1"/>
    <x v="1"/>
    <x v="1"/>
    <x v="0"/>
    <x v="1"/>
    <x v="0"/>
    <x v="0"/>
    <x v="2"/>
  </r>
  <r>
    <n v="881"/>
    <n v="45"/>
    <x v="1"/>
    <n v="166"/>
    <n v="60"/>
    <x v="855"/>
    <x v="2"/>
    <s v="138/101"/>
    <x v="0"/>
    <x v="1"/>
    <x v="1"/>
    <x v="2"/>
    <x v="0"/>
    <x v="1"/>
    <x v="0"/>
    <x v="0"/>
    <x v="1"/>
  </r>
  <r>
    <n v="882"/>
    <n v="79"/>
    <x v="1"/>
    <n v="175"/>
    <n v="88"/>
    <x v="856"/>
    <x v="1"/>
    <s v="141/74"/>
    <x v="0"/>
    <x v="0"/>
    <x v="0"/>
    <x v="2"/>
    <x v="0"/>
    <x v="1"/>
    <x v="0"/>
    <x v="0"/>
    <x v="0"/>
  </r>
  <r>
    <n v="529"/>
    <n v="53"/>
    <x v="0"/>
    <n v="168"/>
    <n v="94"/>
    <x v="857"/>
    <x v="2"/>
    <s v="123/79"/>
    <x v="2"/>
    <x v="1"/>
    <x v="2"/>
    <x v="1"/>
    <x v="0"/>
    <x v="0"/>
    <x v="1"/>
    <x v="0"/>
    <x v="0"/>
  </r>
  <r>
    <n v="883"/>
    <n v="75"/>
    <x v="0"/>
    <n v="156"/>
    <n v="53"/>
    <x v="858"/>
    <x v="1"/>
    <s v="113/91"/>
    <x v="0"/>
    <x v="0"/>
    <x v="0"/>
    <x v="1"/>
    <x v="1"/>
    <x v="1"/>
    <x v="1"/>
    <x v="1"/>
    <x v="1"/>
  </r>
  <r>
    <n v="887"/>
    <n v="78"/>
    <x v="0"/>
    <n v="168"/>
    <n v="87"/>
    <x v="859"/>
    <x v="0"/>
    <s v="124/74"/>
    <x v="2"/>
    <x v="0"/>
    <x v="0"/>
    <x v="0"/>
    <x v="1"/>
    <x v="0"/>
    <x v="1"/>
    <x v="1"/>
    <x v="0"/>
  </r>
  <r>
    <n v="894"/>
    <n v="79"/>
    <x v="1"/>
    <n v="177"/>
    <n v="65"/>
    <x v="860"/>
    <x v="1"/>
    <s v="135/109"/>
    <x v="2"/>
    <x v="1"/>
    <x v="0"/>
    <x v="2"/>
    <x v="1"/>
    <x v="1"/>
    <x v="0"/>
    <x v="0"/>
    <x v="2"/>
  </r>
  <r>
    <n v="895"/>
    <n v="74"/>
    <x v="1"/>
    <n v="160"/>
    <n v="62"/>
    <x v="861"/>
    <x v="0"/>
    <s v="126/109"/>
    <x v="0"/>
    <x v="0"/>
    <x v="0"/>
    <x v="3"/>
    <x v="1"/>
    <x v="1"/>
    <x v="0"/>
    <x v="1"/>
    <x v="0"/>
  </r>
  <r>
    <n v="897"/>
    <n v="66"/>
    <x v="0"/>
    <n v="187"/>
    <n v="53"/>
    <x v="862"/>
    <x v="2"/>
    <s v="140/81"/>
    <x v="2"/>
    <x v="1"/>
    <x v="1"/>
    <x v="3"/>
    <x v="0"/>
    <x v="1"/>
    <x v="1"/>
    <x v="0"/>
    <x v="2"/>
  </r>
  <r>
    <n v="898"/>
    <n v="42"/>
    <x v="0"/>
    <n v="173"/>
    <n v="60"/>
    <x v="863"/>
    <x v="2"/>
    <s v="157/100"/>
    <x v="1"/>
    <x v="1"/>
    <x v="1"/>
    <x v="3"/>
    <x v="1"/>
    <x v="1"/>
    <x v="0"/>
    <x v="0"/>
    <x v="1"/>
  </r>
  <r>
    <n v="900"/>
    <n v="50"/>
    <x v="0"/>
    <n v="175"/>
    <n v="98"/>
    <x v="864"/>
    <x v="2"/>
    <s v="119/108"/>
    <x v="1"/>
    <x v="1"/>
    <x v="1"/>
    <x v="3"/>
    <x v="0"/>
    <x v="0"/>
    <x v="1"/>
    <x v="1"/>
    <x v="1"/>
  </r>
  <r>
    <n v="862"/>
    <n v="53"/>
    <x v="1"/>
    <n v="183"/>
    <n v="91"/>
    <x v="865"/>
    <x v="1"/>
    <s v="146/95"/>
    <x v="0"/>
    <x v="0"/>
    <x v="2"/>
    <x v="2"/>
    <x v="0"/>
    <x v="0"/>
    <x v="1"/>
    <x v="0"/>
    <x v="2"/>
  </r>
  <r>
    <n v="918"/>
    <n v="53"/>
    <x v="1"/>
    <n v="162"/>
    <n v="85"/>
    <x v="866"/>
    <x v="2"/>
    <s v="119/89"/>
    <x v="0"/>
    <x v="0"/>
    <x v="2"/>
    <x v="1"/>
    <x v="1"/>
    <x v="0"/>
    <x v="1"/>
    <x v="1"/>
    <x v="2"/>
  </r>
  <r>
    <n v="902"/>
    <n v="70"/>
    <x v="1"/>
    <n v="169"/>
    <n v="95"/>
    <x v="867"/>
    <x v="0"/>
    <s v="146/76"/>
    <x v="1"/>
    <x v="1"/>
    <x v="0"/>
    <x v="2"/>
    <x v="1"/>
    <x v="1"/>
    <x v="1"/>
    <x v="0"/>
    <x v="2"/>
  </r>
  <r>
    <n v="962"/>
    <n v="53"/>
    <x v="0"/>
    <n v="179"/>
    <n v="75"/>
    <x v="868"/>
    <x v="1"/>
    <s v="115/94"/>
    <x v="1"/>
    <x v="0"/>
    <x v="2"/>
    <x v="0"/>
    <x v="1"/>
    <x v="0"/>
    <x v="0"/>
    <x v="0"/>
    <x v="1"/>
  </r>
  <r>
    <n v="1191"/>
    <n v="53"/>
    <x v="0"/>
    <n v="151"/>
    <n v="62"/>
    <x v="869"/>
    <x v="1"/>
    <s v="142/81"/>
    <x v="0"/>
    <x v="0"/>
    <x v="2"/>
    <x v="1"/>
    <x v="1"/>
    <x v="0"/>
    <x v="1"/>
    <x v="0"/>
    <x v="1"/>
  </r>
  <r>
    <n v="904"/>
    <n v="75"/>
    <x v="0"/>
    <n v="182"/>
    <n v="77"/>
    <x v="870"/>
    <x v="1"/>
    <s v="116/98"/>
    <x v="1"/>
    <x v="0"/>
    <x v="0"/>
    <x v="3"/>
    <x v="0"/>
    <x v="1"/>
    <x v="1"/>
    <x v="0"/>
    <x v="2"/>
  </r>
  <r>
    <n v="1303"/>
    <n v="53"/>
    <x v="0"/>
    <n v="185"/>
    <n v="86"/>
    <x v="871"/>
    <x v="2"/>
    <s v="119/106"/>
    <x v="1"/>
    <x v="1"/>
    <x v="2"/>
    <x v="2"/>
    <x v="1"/>
    <x v="0"/>
    <x v="0"/>
    <x v="0"/>
    <x v="1"/>
  </r>
  <r>
    <n v="1349"/>
    <n v="53"/>
    <x v="1"/>
    <n v="182"/>
    <n v="91"/>
    <x v="872"/>
    <x v="0"/>
    <s v="134/85"/>
    <x v="1"/>
    <x v="1"/>
    <x v="2"/>
    <x v="2"/>
    <x v="0"/>
    <x v="1"/>
    <x v="0"/>
    <x v="1"/>
    <x v="2"/>
  </r>
  <r>
    <n v="905"/>
    <n v="61"/>
    <x v="0"/>
    <n v="187"/>
    <n v="90"/>
    <x v="873"/>
    <x v="1"/>
    <s v="119/98"/>
    <x v="1"/>
    <x v="0"/>
    <x v="1"/>
    <x v="2"/>
    <x v="1"/>
    <x v="1"/>
    <x v="0"/>
    <x v="0"/>
    <x v="1"/>
  </r>
  <r>
    <n v="906"/>
    <n v="62"/>
    <x v="0"/>
    <n v="176"/>
    <n v="72"/>
    <x v="874"/>
    <x v="1"/>
    <s v="118/105"/>
    <x v="0"/>
    <x v="1"/>
    <x v="1"/>
    <x v="3"/>
    <x v="0"/>
    <x v="0"/>
    <x v="1"/>
    <x v="0"/>
    <x v="2"/>
  </r>
  <r>
    <n v="907"/>
    <n v="49"/>
    <x v="0"/>
    <n v="183"/>
    <n v="94"/>
    <x v="875"/>
    <x v="0"/>
    <s v="157/79"/>
    <x v="0"/>
    <x v="0"/>
    <x v="1"/>
    <x v="1"/>
    <x v="1"/>
    <x v="0"/>
    <x v="0"/>
    <x v="0"/>
    <x v="1"/>
  </r>
  <r>
    <n v="1508"/>
    <n v="53"/>
    <x v="1"/>
    <n v="150"/>
    <n v="60"/>
    <x v="876"/>
    <x v="0"/>
    <s v="151/74"/>
    <x v="2"/>
    <x v="1"/>
    <x v="2"/>
    <x v="3"/>
    <x v="0"/>
    <x v="0"/>
    <x v="1"/>
    <x v="0"/>
    <x v="1"/>
  </r>
  <r>
    <n v="909"/>
    <n v="78"/>
    <x v="0"/>
    <n v="181"/>
    <n v="99"/>
    <x v="877"/>
    <x v="2"/>
    <s v="126/78"/>
    <x v="0"/>
    <x v="0"/>
    <x v="0"/>
    <x v="0"/>
    <x v="1"/>
    <x v="1"/>
    <x v="1"/>
    <x v="0"/>
    <x v="2"/>
  </r>
  <r>
    <n v="912"/>
    <n v="33"/>
    <x v="0"/>
    <n v="155"/>
    <n v="96"/>
    <x v="878"/>
    <x v="0"/>
    <s v="118/76"/>
    <x v="2"/>
    <x v="1"/>
    <x v="1"/>
    <x v="0"/>
    <x v="0"/>
    <x v="1"/>
    <x v="0"/>
    <x v="1"/>
    <x v="0"/>
  </r>
  <r>
    <n v="1744"/>
    <n v="53"/>
    <x v="1"/>
    <n v="172"/>
    <n v="79"/>
    <x v="879"/>
    <x v="0"/>
    <s v="154/75"/>
    <x v="1"/>
    <x v="1"/>
    <x v="2"/>
    <x v="2"/>
    <x v="0"/>
    <x v="1"/>
    <x v="0"/>
    <x v="1"/>
    <x v="2"/>
  </r>
  <r>
    <n v="913"/>
    <n v="71"/>
    <x v="1"/>
    <n v="187"/>
    <n v="75"/>
    <x v="880"/>
    <x v="2"/>
    <s v="125/88"/>
    <x v="1"/>
    <x v="0"/>
    <x v="0"/>
    <x v="0"/>
    <x v="1"/>
    <x v="1"/>
    <x v="0"/>
    <x v="1"/>
    <x v="2"/>
  </r>
  <r>
    <n v="1855"/>
    <n v="53"/>
    <x v="0"/>
    <n v="171"/>
    <n v="92"/>
    <x v="881"/>
    <x v="2"/>
    <s v="153/92"/>
    <x v="0"/>
    <x v="0"/>
    <x v="2"/>
    <x v="1"/>
    <x v="0"/>
    <x v="1"/>
    <x v="1"/>
    <x v="1"/>
    <x v="2"/>
  </r>
  <r>
    <n v="1863"/>
    <n v="53"/>
    <x v="0"/>
    <n v="159"/>
    <n v="59"/>
    <x v="882"/>
    <x v="2"/>
    <s v="124/93"/>
    <x v="0"/>
    <x v="0"/>
    <x v="2"/>
    <x v="1"/>
    <x v="0"/>
    <x v="1"/>
    <x v="1"/>
    <x v="1"/>
    <x v="1"/>
  </r>
  <r>
    <n v="915"/>
    <n v="28"/>
    <x v="0"/>
    <n v="167"/>
    <n v="78"/>
    <x v="883"/>
    <x v="0"/>
    <s v="159/80"/>
    <x v="1"/>
    <x v="1"/>
    <x v="1"/>
    <x v="1"/>
    <x v="1"/>
    <x v="0"/>
    <x v="1"/>
    <x v="0"/>
    <x v="0"/>
  </r>
  <r>
    <n v="917"/>
    <n v="54"/>
    <x v="1"/>
    <n v="159"/>
    <n v="82"/>
    <x v="884"/>
    <x v="1"/>
    <s v="121/90"/>
    <x v="1"/>
    <x v="1"/>
    <x v="1"/>
    <x v="2"/>
    <x v="0"/>
    <x v="0"/>
    <x v="0"/>
    <x v="1"/>
    <x v="1"/>
  </r>
  <r>
    <n v="919"/>
    <n v="52"/>
    <x v="0"/>
    <n v="180"/>
    <n v="63"/>
    <x v="885"/>
    <x v="1"/>
    <s v="159/105"/>
    <x v="2"/>
    <x v="1"/>
    <x v="1"/>
    <x v="1"/>
    <x v="1"/>
    <x v="1"/>
    <x v="1"/>
    <x v="0"/>
    <x v="1"/>
  </r>
  <r>
    <n v="146"/>
    <n v="52"/>
    <x v="1"/>
    <n v="170"/>
    <n v="70"/>
    <x v="886"/>
    <x v="1"/>
    <s v="136/88"/>
    <x v="2"/>
    <x v="0"/>
    <x v="2"/>
    <x v="2"/>
    <x v="0"/>
    <x v="1"/>
    <x v="0"/>
    <x v="1"/>
    <x v="1"/>
  </r>
  <r>
    <n v="167"/>
    <n v="52"/>
    <x v="1"/>
    <n v="183"/>
    <n v="96"/>
    <x v="887"/>
    <x v="0"/>
    <s v="148/79"/>
    <x v="0"/>
    <x v="1"/>
    <x v="2"/>
    <x v="0"/>
    <x v="1"/>
    <x v="0"/>
    <x v="0"/>
    <x v="1"/>
    <x v="0"/>
  </r>
  <r>
    <n v="920"/>
    <n v="36"/>
    <x v="0"/>
    <n v="179"/>
    <n v="63"/>
    <x v="888"/>
    <x v="0"/>
    <s v="137/93"/>
    <x v="0"/>
    <x v="0"/>
    <x v="1"/>
    <x v="1"/>
    <x v="0"/>
    <x v="0"/>
    <x v="0"/>
    <x v="1"/>
    <x v="2"/>
  </r>
  <r>
    <n v="174"/>
    <n v="52"/>
    <x v="0"/>
    <n v="158"/>
    <n v="84"/>
    <x v="889"/>
    <x v="2"/>
    <s v="143/92"/>
    <x v="1"/>
    <x v="0"/>
    <x v="2"/>
    <x v="2"/>
    <x v="0"/>
    <x v="0"/>
    <x v="1"/>
    <x v="0"/>
    <x v="0"/>
  </r>
  <r>
    <n v="356"/>
    <n v="52"/>
    <x v="0"/>
    <n v="176"/>
    <n v="54"/>
    <x v="890"/>
    <x v="1"/>
    <s v="125/100"/>
    <x v="1"/>
    <x v="1"/>
    <x v="2"/>
    <x v="1"/>
    <x v="1"/>
    <x v="1"/>
    <x v="1"/>
    <x v="0"/>
    <x v="0"/>
  </r>
  <r>
    <n v="378"/>
    <n v="52"/>
    <x v="0"/>
    <n v="151"/>
    <n v="91"/>
    <x v="891"/>
    <x v="0"/>
    <s v="114/107"/>
    <x v="2"/>
    <x v="0"/>
    <x v="2"/>
    <x v="3"/>
    <x v="1"/>
    <x v="0"/>
    <x v="0"/>
    <x v="0"/>
    <x v="2"/>
  </r>
  <r>
    <n v="398"/>
    <n v="52"/>
    <x v="1"/>
    <n v="165"/>
    <n v="60"/>
    <x v="892"/>
    <x v="1"/>
    <s v="156/91"/>
    <x v="2"/>
    <x v="1"/>
    <x v="2"/>
    <x v="0"/>
    <x v="0"/>
    <x v="0"/>
    <x v="1"/>
    <x v="0"/>
    <x v="2"/>
  </r>
  <r>
    <n v="402"/>
    <n v="52"/>
    <x v="1"/>
    <n v="166"/>
    <n v="58"/>
    <x v="893"/>
    <x v="2"/>
    <s v="117/106"/>
    <x v="1"/>
    <x v="0"/>
    <x v="2"/>
    <x v="3"/>
    <x v="1"/>
    <x v="1"/>
    <x v="0"/>
    <x v="1"/>
    <x v="2"/>
  </r>
  <r>
    <n v="924"/>
    <n v="64"/>
    <x v="1"/>
    <n v="178"/>
    <n v="66"/>
    <x v="894"/>
    <x v="1"/>
    <s v="159/108"/>
    <x v="1"/>
    <x v="0"/>
    <x v="1"/>
    <x v="1"/>
    <x v="1"/>
    <x v="0"/>
    <x v="0"/>
    <x v="0"/>
    <x v="2"/>
  </r>
  <r>
    <n v="458"/>
    <n v="52"/>
    <x v="0"/>
    <n v="183"/>
    <n v="55"/>
    <x v="895"/>
    <x v="0"/>
    <s v="146/96"/>
    <x v="1"/>
    <x v="1"/>
    <x v="2"/>
    <x v="3"/>
    <x v="1"/>
    <x v="1"/>
    <x v="1"/>
    <x v="0"/>
    <x v="1"/>
  </r>
  <r>
    <n v="468"/>
    <n v="52"/>
    <x v="0"/>
    <n v="160"/>
    <n v="88"/>
    <x v="896"/>
    <x v="1"/>
    <s v="143/72"/>
    <x v="0"/>
    <x v="1"/>
    <x v="2"/>
    <x v="1"/>
    <x v="0"/>
    <x v="0"/>
    <x v="1"/>
    <x v="0"/>
    <x v="0"/>
  </r>
  <r>
    <n v="925"/>
    <n v="58"/>
    <x v="1"/>
    <n v="157"/>
    <n v="52"/>
    <x v="897"/>
    <x v="0"/>
    <s v="151/78"/>
    <x v="2"/>
    <x v="1"/>
    <x v="1"/>
    <x v="1"/>
    <x v="1"/>
    <x v="0"/>
    <x v="1"/>
    <x v="1"/>
    <x v="0"/>
  </r>
  <r>
    <n v="520"/>
    <n v="52"/>
    <x v="1"/>
    <n v="186"/>
    <n v="85"/>
    <x v="898"/>
    <x v="1"/>
    <s v="114/106"/>
    <x v="0"/>
    <x v="1"/>
    <x v="2"/>
    <x v="0"/>
    <x v="1"/>
    <x v="1"/>
    <x v="1"/>
    <x v="0"/>
    <x v="1"/>
  </r>
  <r>
    <n v="926"/>
    <n v="66"/>
    <x v="1"/>
    <n v="182"/>
    <n v="65"/>
    <x v="899"/>
    <x v="1"/>
    <s v="131/74"/>
    <x v="1"/>
    <x v="1"/>
    <x v="1"/>
    <x v="0"/>
    <x v="0"/>
    <x v="0"/>
    <x v="1"/>
    <x v="1"/>
    <x v="0"/>
  </r>
  <r>
    <n v="927"/>
    <n v="31"/>
    <x v="0"/>
    <n v="166"/>
    <n v="95"/>
    <x v="900"/>
    <x v="0"/>
    <s v="121/70"/>
    <x v="1"/>
    <x v="0"/>
    <x v="1"/>
    <x v="3"/>
    <x v="0"/>
    <x v="1"/>
    <x v="1"/>
    <x v="1"/>
    <x v="2"/>
  </r>
  <r>
    <n v="930"/>
    <n v="18"/>
    <x v="1"/>
    <n v="160"/>
    <n v="94"/>
    <x v="901"/>
    <x v="1"/>
    <s v="125/100"/>
    <x v="1"/>
    <x v="0"/>
    <x v="1"/>
    <x v="2"/>
    <x v="1"/>
    <x v="1"/>
    <x v="1"/>
    <x v="0"/>
    <x v="1"/>
  </r>
  <r>
    <n v="931"/>
    <n v="70"/>
    <x v="1"/>
    <n v="180"/>
    <n v="64"/>
    <x v="902"/>
    <x v="1"/>
    <s v="112/92"/>
    <x v="2"/>
    <x v="1"/>
    <x v="0"/>
    <x v="3"/>
    <x v="0"/>
    <x v="0"/>
    <x v="1"/>
    <x v="0"/>
    <x v="2"/>
  </r>
  <r>
    <n v="932"/>
    <n v="71"/>
    <x v="1"/>
    <n v="177"/>
    <n v="95"/>
    <x v="903"/>
    <x v="2"/>
    <s v="151/87"/>
    <x v="0"/>
    <x v="0"/>
    <x v="0"/>
    <x v="1"/>
    <x v="0"/>
    <x v="1"/>
    <x v="1"/>
    <x v="1"/>
    <x v="1"/>
  </r>
  <r>
    <n v="768"/>
    <n v="52"/>
    <x v="1"/>
    <n v="185"/>
    <n v="81"/>
    <x v="904"/>
    <x v="0"/>
    <s v="131/97"/>
    <x v="1"/>
    <x v="1"/>
    <x v="2"/>
    <x v="0"/>
    <x v="1"/>
    <x v="1"/>
    <x v="1"/>
    <x v="1"/>
    <x v="1"/>
  </r>
  <r>
    <n v="800"/>
    <n v="52"/>
    <x v="1"/>
    <n v="162"/>
    <n v="69"/>
    <x v="905"/>
    <x v="0"/>
    <s v="119/105"/>
    <x v="2"/>
    <x v="0"/>
    <x v="2"/>
    <x v="0"/>
    <x v="1"/>
    <x v="0"/>
    <x v="1"/>
    <x v="0"/>
    <x v="0"/>
  </r>
  <r>
    <n v="935"/>
    <n v="33"/>
    <x v="1"/>
    <n v="153"/>
    <n v="91"/>
    <x v="906"/>
    <x v="2"/>
    <s v="132/72"/>
    <x v="0"/>
    <x v="0"/>
    <x v="1"/>
    <x v="3"/>
    <x v="0"/>
    <x v="1"/>
    <x v="1"/>
    <x v="1"/>
    <x v="0"/>
  </r>
  <r>
    <n v="937"/>
    <n v="74"/>
    <x v="0"/>
    <n v="175"/>
    <n v="87"/>
    <x v="907"/>
    <x v="1"/>
    <s v="153/96"/>
    <x v="0"/>
    <x v="0"/>
    <x v="0"/>
    <x v="1"/>
    <x v="1"/>
    <x v="0"/>
    <x v="0"/>
    <x v="1"/>
    <x v="2"/>
  </r>
  <r>
    <n v="976"/>
    <n v="52"/>
    <x v="1"/>
    <n v="177"/>
    <n v="76"/>
    <x v="908"/>
    <x v="0"/>
    <s v="136/93"/>
    <x v="2"/>
    <x v="1"/>
    <x v="2"/>
    <x v="1"/>
    <x v="1"/>
    <x v="0"/>
    <x v="1"/>
    <x v="1"/>
    <x v="1"/>
  </r>
  <r>
    <n v="938"/>
    <n v="28"/>
    <x v="1"/>
    <n v="161"/>
    <n v="72"/>
    <x v="909"/>
    <x v="0"/>
    <s v="148/94"/>
    <x v="2"/>
    <x v="0"/>
    <x v="1"/>
    <x v="3"/>
    <x v="1"/>
    <x v="1"/>
    <x v="0"/>
    <x v="1"/>
    <x v="0"/>
  </r>
  <r>
    <n v="943"/>
    <n v="25"/>
    <x v="1"/>
    <n v="168"/>
    <n v="66"/>
    <x v="910"/>
    <x v="2"/>
    <s v="153/90"/>
    <x v="2"/>
    <x v="1"/>
    <x v="1"/>
    <x v="1"/>
    <x v="1"/>
    <x v="1"/>
    <x v="0"/>
    <x v="1"/>
    <x v="0"/>
  </r>
  <r>
    <n v="1227"/>
    <n v="52"/>
    <x v="1"/>
    <n v="156"/>
    <n v="77"/>
    <x v="911"/>
    <x v="0"/>
    <s v="152/77"/>
    <x v="0"/>
    <x v="0"/>
    <x v="2"/>
    <x v="0"/>
    <x v="0"/>
    <x v="1"/>
    <x v="1"/>
    <x v="0"/>
    <x v="1"/>
  </r>
  <r>
    <n v="1377"/>
    <n v="52"/>
    <x v="1"/>
    <n v="151"/>
    <n v="53"/>
    <x v="912"/>
    <x v="1"/>
    <s v="134/90"/>
    <x v="1"/>
    <x v="0"/>
    <x v="2"/>
    <x v="3"/>
    <x v="0"/>
    <x v="1"/>
    <x v="0"/>
    <x v="1"/>
    <x v="1"/>
  </r>
  <r>
    <n v="948"/>
    <n v="70"/>
    <x v="0"/>
    <n v="155"/>
    <n v="59"/>
    <x v="913"/>
    <x v="0"/>
    <s v="117/93"/>
    <x v="1"/>
    <x v="1"/>
    <x v="0"/>
    <x v="3"/>
    <x v="0"/>
    <x v="0"/>
    <x v="1"/>
    <x v="0"/>
    <x v="0"/>
  </r>
  <r>
    <n v="949"/>
    <n v="25"/>
    <x v="0"/>
    <n v="153"/>
    <n v="56"/>
    <x v="914"/>
    <x v="0"/>
    <s v="120/86"/>
    <x v="0"/>
    <x v="1"/>
    <x v="1"/>
    <x v="0"/>
    <x v="1"/>
    <x v="0"/>
    <x v="1"/>
    <x v="1"/>
    <x v="2"/>
  </r>
  <r>
    <n v="1407"/>
    <n v="52"/>
    <x v="0"/>
    <n v="177"/>
    <n v="58"/>
    <x v="915"/>
    <x v="0"/>
    <s v="147/83"/>
    <x v="0"/>
    <x v="0"/>
    <x v="2"/>
    <x v="0"/>
    <x v="0"/>
    <x v="1"/>
    <x v="0"/>
    <x v="0"/>
    <x v="1"/>
  </r>
  <r>
    <n v="1589"/>
    <n v="52"/>
    <x v="1"/>
    <n v="165"/>
    <n v="62"/>
    <x v="916"/>
    <x v="1"/>
    <s v="157/74"/>
    <x v="0"/>
    <x v="1"/>
    <x v="2"/>
    <x v="2"/>
    <x v="0"/>
    <x v="1"/>
    <x v="1"/>
    <x v="0"/>
    <x v="1"/>
  </r>
  <r>
    <n v="952"/>
    <n v="53"/>
    <x v="1"/>
    <n v="166"/>
    <n v="87"/>
    <x v="917"/>
    <x v="2"/>
    <s v="125/95"/>
    <x v="0"/>
    <x v="1"/>
    <x v="1"/>
    <x v="0"/>
    <x v="0"/>
    <x v="0"/>
    <x v="0"/>
    <x v="0"/>
    <x v="0"/>
  </r>
  <r>
    <n v="1769"/>
    <n v="52"/>
    <x v="1"/>
    <n v="152"/>
    <n v="70"/>
    <x v="918"/>
    <x v="1"/>
    <s v="111/106"/>
    <x v="0"/>
    <x v="0"/>
    <x v="2"/>
    <x v="1"/>
    <x v="1"/>
    <x v="0"/>
    <x v="0"/>
    <x v="1"/>
    <x v="1"/>
  </r>
  <r>
    <n v="1868"/>
    <n v="52"/>
    <x v="1"/>
    <n v="166"/>
    <n v="85"/>
    <x v="919"/>
    <x v="2"/>
    <s v="145/72"/>
    <x v="1"/>
    <x v="0"/>
    <x v="2"/>
    <x v="1"/>
    <x v="0"/>
    <x v="0"/>
    <x v="0"/>
    <x v="0"/>
    <x v="2"/>
  </r>
  <r>
    <n v="1884"/>
    <n v="52"/>
    <x v="1"/>
    <n v="188"/>
    <n v="99"/>
    <x v="920"/>
    <x v="2"/>
    <s v="123/89"/>
    <x v="0"/>
    <x v="1"/>
    <x v="2"/>
    <x v="0"/>
    <x v="1"/>
    <x v="0"/>
    <x v="0"/>
    <x v="0"/>
    <x v="1"/>
  </r>
  <r>
    <n v="953"/>
    <n v="43"/>
    <x v="1"/>
    <n v="165"/>
    <n v="76"/>
    <x v="921"/>
    <x v="0"/>
    <s v="142/100"/>
    <x v="1"/>
    <x v="1"/>
    <x v="1"/>
    <x v="3"/>
    <x v="1"/>
    <x v="0"/>
    <x v="1"/>
    <x v="1"/>
    <x v="2"/>
  </r>
  <r>
    <n v="955"/>
    <n v="75"/>
    <x v="1"/>
    <n v="183"/>
    <n v="50"/>
    <x v="922"/>
    <x v="1"/>
    <s v="153/77"/>
    <x v="0"/>
    <x v="0"/>
    <x v="0"/>
    <x v="1"/>
    <x v="0"/>
    <x v="1"/>
    <x v="1"/>
    <x v="1"/>
    <x v="2"/>
  </r>
  <r>
    <n v="1996"/>
    <n v="52"/>
    <x v="0"/>
    <n v="164"/>
    <n v="65"/>
    <x v="923"/>
    <x v="1"/>
    <s v="110/86"/>
    <x v="0"/>
    <x v="0"/>
    <x v="2"/>
    <x v="1"/>
    <x v="1"/>
    <x v="1"/>
    <x v="0"/>
    <x v="0"/>
    <x v="2"/>
  </r>
  <r>
    <n v="100"/>
    <n v="51"/>
    <x v="1"/>
    <n v="155"/>
    <n v="61"/>
    <x v="924"/>
    <x v="1"/>
    <s v="129/84"/>
    <x v="2"/>
    <x v="0"/>
    <x v="2"/>
    <x v="1"/>
    <x v="1"/>
    <x v="1"/>
    <x v="0"/>
    <x v="0"/>
    <x v="0"/>
  </r>
  <r>
    <n v="159"/>
    <n v="51"/>
    <x v="0"/>
    <n v="160"/>
    <n v="70"/>
    <x v="925"/>
    <x v="0"/>
    <s v="144/96"/>
    <x v="2"/>
    <x v="0"/>
    <x v="2"/>
    <x v="2"/>
    <x v="0"/>
    <x v="1"/>
    <x v="1"/>
    <x v="0"/>
    <x v="2"/>
  </r>
  <r>
    <n v="956"/>
    <n v="77"/>
    <x v="0"/>
    <n v="157"/>
    <n v="93"/>
    <x v="926"/>
    <x v="2"/>
    <s v="116/103"/>
    <x v="2"/>
    <x v="0"/>
    <x v="0"/>
    <x v="0"/>
    <x v="1"/>
    <x v="1"/>
    <x v="1"/>
    <x v="1"/>
    <x v="1"/>
  </r>
  <r>
    <n v="445"/>
    <n v="51"/>
    <x v="1"/>
    <n v="169"/>
    <n v="56"/>
    <x v="927"/>
    <x v="0"/>
    <s v="117/72"/>
    <x v="1"/>
    <x v="0"/>
    <x v="2"/>
    <x v="2"/>
    <x v="1"/>
    <x v="0"/>
    <x v="0"/>
    <x v="0"/>
    <x v="0"/>
  </r>
  <r>
    <n v="542"/>
    <n v="51"/>
    <x v="1"/>
    <n v="155"/>
    <n v="68"/>
    <x v="928"/>
    <x v="2"/>
    <s v="131/73"/>
    <x v="2"/>
    <x v="1"/>
    <x v="2"/>
    <x v="3"/>
    <x v="0"/>
    <x v="0"/>
    <x v="1"/>
    <x v="0"/>
    <x v="0"/>
  </r>
  <r>
    <n v="611"/>
    <n v="51"/>
    <x v="0"/>
    <n v="157"/>
    <n v="77"/>
    <x v="929"/>
    <x v="2"/>
    <s v="156/70"/>
    <x v="1"/>
    <x v="0"/>
    <x v="2"/>
    <x v="1"/>
    <x v="1"/>
    <x v="0"/>
    <x v="1"/>
    <x v="0"/>
    <x v="1"/>
  </r>
  <r>
    <n v="665"/>
    <n v="51"/>
    <x v="1"/>
    <n v="168"/>
    <n v="51"/>
    <x v="930"/>
    <x v="0"/>
    <s v="118/98"/>
    <x v="0"/>
    <x v="1"/>
    <x v="2"/>
    <x v="0"/>
    <x v="1"/>
    <x v="1"/>
    <x v="0"/>
    <x v="1"/>
    <x v="1"/>
  </r>
  <r>
    <n v="957"/>
    <n v="67"/>
    <x v="0"/>
    <n v="162"/>
    <n v="83"/>
    <x v="931"/>
    <x v="2"/>
    <s v="153/83"/>
    <x v="1"/>
    <x v="1"/>
    <x v="1"/>
    <x v="0"/>
    <x v="1"/>
    <x v="1"/>
    <x v="0"/>
    <x v="0"/>
    <x v="1"/>
  </r>
  <r>
    <n v="1011"/>
    <n v="51"/>
    <x v="0"/>
    <n v="167"/>
    <n v="72"/>
    <x v="932"/>
    <x v="2"/>
    <s v="141/85"/>
    <x v="2"/>
    <x v="1"/>
    <x v="2"/>
    <x v="1"/>
    <x v="0"/>
    <x v="0"/>
    <x v="1"/>
    <x v="0"/>
    <x v="2"/>
  </r>
  <r>
    <n v="1049"/>
    <n v="51"/>
    <x v="1"/>
    <n v="178"/>
    <n v="93"/>
    <x v="933"/>
    <x v="0"/>
    <s v="116/77"/>
    <x v="1"/>
    <x v="0"/>
    <x v="2"/>
    <x v="1"/>
    <x v="1"/>
    <x v="0"/>
    <x v="1"/>
    <x v="1"/>
    <x v="2"/>
  </r>
  <r>
    <n v="1056"/>
    <n v="51"/>
    <x v="0"/>
    <n v="164"/>
    <n v="53"/>
    <x v="934"/>
    <x v="2"/>
    <s v="133/90"/>
    <x v="2"/>
    <x v="0"/>
    <x v="2"/>
    <x v="0"/>
    <x v="1"/>
    <x v="0"/>
    <x v="0"/>
    <x v="1"/>
    <x v="1"/>
  </r>
  <r>
    <n v="1085"/>
    <n v="51"/>
    <x v="0"/>
    <n v="152"/>
    <n v="91"/>
    <x v="935"/>
    <x v="1"/>
    <s v="133/89"/>
    <x v="1"/>
    <x v="0"/>
    <x v="2"/>
    <x v="2"/>
    <x v="0"/>
    <x v="1"/>
    <x v="1"/>
    <x v="0"/>
    <x v="2"/>
  </r>
  <r>
    <n v="1088"/>
    <n v="51"/>
    <x v="1"/>
    <n v="177"/>
    <n v="88"/>
    <x v="936"/>
    <x v="0"/>
    <s v="152/109"/>
    <x v="0"/>
    <x v="1"/>
    <x v="2"/>
    <x v="2"/>
    <x v="1"/>
    <x v="0"/>
    <x v="0"/>
    <x v="0"/>
    <x v="0"/>
  </r>
  <r>
    <n v="958"/>
    <n v="45"/>
    <x v="0"/>
    <n v="157"/>
    <n v="53"/>
    <x v="937"/>
    <x v="1"/>
    <s v="125/78"/>
    <x v="0"/>
    <x v="1"/>
    <x v="1"/>
    <x v="1"/>
    <x v="0"/>
    <x v="0"/>
    <x v="1"/>
    <x v="0"/>
    <x v="2"/>
  </r>
  <r>
    <n v="1119"/>
    <n v="51"/>
    <x v="1"/>
    <n v="153"/>
    <n v="62"/>
    <x v="938"/>
    <x v="0"/>
    <s v="128/97"/>
    <x v="0"/>
    <x v="1"/>
    <x v="2"/>
    <x v="3"/>
    <x v="0"/>
    <x v="0"/>
    <x v="1"/>
    <x v="0"/>
    <x v="2"/>
  </r>
  <r>
    <n v="1171"/>
    <n v="51"/>
    <x v="0"/>
    <n v="182"/>
    <n v="58"/>
    <x v="939"/>
    <x v="1"/>
    <s v="132/87"/>
    <x v="0"/>
    <x v="0"/>
    <x v="2"/>
    <x v="3"/>
    <x v="1"/>
    <x v="1"/>
    <x v="1"/>
    <x v="0"/>
    <x v="1"/>
  </r>
  <r>
    <n v="960"/>
    <n v="54"/>
    <x v="0"/>
    <n v="181"/>
    <n v="53"/>
    <x v="940"/>
    <x v="0"/>
    <s v="121/75"/>
    <x v="2"/>
    <x v="0"/>
    <x v="1"/>
    <x v="3"/>
    <x v="0"/>
    <x v="0"/>
    <x v="0"/>
    <x v="0"/>
    <x v="1"/>
  </r>
  <r>
    <n v="1271"/>
    <n v="51"/>
    <x v="0"/>
    <n v="169"/>
    <n v="64"/>
    <x v="941"/>
    <x v="0"/>
    <s v="159/77"/>
    <x v="0"/>
    <x v="1"/>
    <x v="2"/>
    <x v="0"/>
    <x v="1"/>
    <x v="1"/>
    <x v="0"/>
    <x v="0"/>
    <x v="0"/>
  </r>
  <r>
    <n v="961"/>
    <n v="58"/>
    <x v="0"/>
    <n v="185"/>
    <n v="92"/>
    <x v="942"/>
    <x v="2"/>
    <s v="128/98"/>
    <x v="1"/>
    <x v="0"/>
    <x v="1"/>
    <x v="1"/>
    <x v="0"/>
    <x v="1"/>
    <x v="0"/>
    <x v="1"/>
    <x v="0"/>
  </r>
  <r>
    <n v="1599"/>
    <n v="51"/>
    <x v="1"/>
    <n v="162"/>
    <n v="78"/>
    <x v="943"/>
    <x v="2"/>
    <s v="138/105"/>
    <x v="2"/>
    <x v="1"/>
    <x v="2"/>
    <x v="2"/>
    <x v="0"/>
    <x v="1"/>
    <x v="0"/>
    <x v="0"/>
    <x v="0"/>
  </r>
  <r>
    <n v="965"/>
    <n v="34"/>
    <x v="0"/>
    <n v="166"/>
    <n v="56"/>
    <x v="944"/>
    <x v="0"/>
    <s v="115/106"/>
    <x v="2"/>
    <x v="1"/>
    <x v="1"/>
    <x v="2"/>
    <x v="0"/>
    <x v="1"/>
    <x v="0"/>
    <x v="0"/>
    <x v="2"/>
  </r>
  <r>
    <n v="967"/>
    <n v="50"/>
    <x v="0"/>
    <n v="173"/>
    <n v="99"/>
    <x v="945"/>
    <x v="0"/>
    <s v="143/97"/>
    <x v="1"/>
    <x v="0"/>
    <x v="1"/>
    <x v="2"/>
    <x v="0"/>
    <x v="0"/>
    <x v="0"/>
    <x v="1"/>
    <x v="1"/>
  </r>
  <r>
    <n v="969"/>
    <n v="37"/>
    <x v="1"/>
    <n v="178"/>
    <n v="84"/>
    <x v="946"/>
    <x v="0"/>
    <s v="126/83"/>
    <x v="1"/>
    <x v="1"/>
    <x v="1"/>
    <x v="2"/>
    <x v="0"/>
    <x v="0"/>
    <x v="1"/>
    <x v="0"/>
    <x v="0"/>
  </r>
  <r>
    <n v="972"/>
    <n v="65"/>
    <x v="0"/>
    <n v="186"/>
    <n v="68"/>
    <x v="947"/>
    <x v="1"/>
    <s v="140/99"/>
    <x v="2"/>
    <x v="0"/>
    <x v="1"/>
    <x v="3"/>
    <x v="1"/>
    <x v="1"/>
    <x v="1"/>
    <x v="0"/>
    <x v="1"/>
  </r>
  <r>
    <n v="1815"/>
    <n v="51"/>
    <x v="1"/>
    <n v="168"/>
    <n v="82"/>
    <x v="948"/>
    <x v="0"/>
    <s v="154/79"/>
    <x v="2"/>
    <x v="1"/>
    <x v="2"/>
    <x v="3"/>
    <x v="1"/>
    <x v="1"/>
    <x v="1"/>
    <x v="0"/>
    <x v="0"/>
  </r>
  <r>
    <n v="978"/>
    <n v="23"/>
    <x v="1"/>
    <n v="170"/>
    <n v="63"/>
    <x v="949"/>
    <x v="2"/>
    <s v="117/87"/>
    <x v="1"/>
    <x v="1"/>
    <x v="1"/>
    <x v="1"/>
    <x v="1"/>
    <x v="0"/>
    <x v="1"/>
    <x v="1"/>
    <x v="1"/>
  </r>
  <r>
    <n v="979"/>
    <n v="35"/>
    <x v="1"/>
    <n v="173"/>
    <n v="67"/>
    <x v="950"/>
    <x v="1"/>
    <s v="122/93"/>
    <x v="1"/>
    <x v="1"/>
    <x v="1"/>
    <x v="1"/>
    <x v="1"/>
    <x v="0"/>
    <x v="0"/>
    <x v="0"/>
    <x v="2"/>
  </r>
  <r>
    <n v="982"/>
    <n v="64"/>
    <x v="1"/>
    <n v="157"/>
    <n v="65"/>
    <x v="951"/>
    <x v="0"/>
    <s v="140/97"/>
    <x v="2"/>
    <x v="0"/>
    <x v="1"/>
    <x v="0"/>
    <x v="0"/>
    <x v="1"/>
    <x v="1"/>
    <x v="0"/>
    <x v="1"/>
  </r>
  <r>
    <n v="1918"/>
    <n v="51"/>
    <x v="1"/>
    <n v="180"/>
    <n v="66"/>
    <x v="952"/>
    <x v="0"/>
    <s v="121/80"/>
    <x v="1"/>
    <x v="1"/>
    <x v="2"/>
    <x v="3"/>
    <x v="0"/>
    <x v="1"/>
    <x v="1"/>
    <x v="1"/>
    <x v="1"/>
  </r>
  <r>
    <n v="2000"/>
    <n v="51"/>
    <x v="1"/>
    <n v="172"/>
    <n v="88"/>
    <x v="953"/>
    <x v="0"/>
    <s v="121/76"/>
    <x v="0"/>
    <x v="1"/>
    <x v="2"/>
    <x v="1"/>
    <x v="1"/>
    <x v="1"/>
    <x v="0"/>
    <x v="1"/>
    <x v="1"/>
  </r>
  <r>
    <n v="31"/>
    <n v="50"/>
    <x v="0"/>
    <n v="173"/>
    <n v="82"/>
    <x v="954"/>
    <x v="2"/>
    <s v="144/106"/>
    <x v="2"/>
    <x v="0"/>
    <x v="2"/>
    <x v="2"/>
    <x v="0"/>
    <x v="0"/>
    <x v="0"/>
    <x v="1"/>
    <x v="1"/>
  </r>
  <r>
    <n v="983"/>
    <n v="42"/>
    <x v="0"/>
    <n v="176"/>
    <n v="84"/>
    <x v="955"/>
    <x v="0"/>
    <s v="131/97"/>
    <x v="2"/>
    <x v="0"/>
    <x v="1"/>
    <x v="0"/>
    <x v="0"/>
    <x v="0"/>
    <x v="1"/>
    <x v="0"/>
    <x v="2"/>
  </r>
  <r>
    <n v="985"/>
    <n v="27"/>
    <x v="1"/>
    <n v="186"/>
    <n v="80"/>
    <x v="956"/>
    <x v="1"/>
    <s v="153/76"/>
    <x v="2"/>
    <x v="0"/>
    <x v="1"/>
    <x v="1"/>
    <x v="0"/>
    <x v="0"/>
    <x v="1"/>
    <x v="0"/>
    <x v="0"/>
  </r>
  <r>
    <n v="238"/>
    <n v="50"/>
    <x v="1"/>
    <n v="163"/>
    <n v="66"/>
    <x v="957"/>
    <x v="2"/>
    <s v="159/71"/>
    <x v="1"/>
    <x v="0"/>
    <x v="2"/>
    <x v="3"/>
    <x v="0"/>
    <x v="1"/>
    <x v="0"/>
    <x v="1"/>
    <x v="0"/>
  </r>
  <r>
    <n v="990"/>
    <n v="62"/>
    <x v="0"/>
    <n v="159"/>
    <n v="97"/>
    <x v="958"/>
    <x v="0"/>
    <s v="147/109"/>
    <x v="0"/>
    <x v="1"/>
    <x v="1"/>
    <x v="0"/>
    <x v="0"/>
    <x v="1"/>
    <x v="0"/>
    <x v="1"/>
    <x v="0"/>
  </r>
  <r>
    <n v="991"/>
    <n v="22"/>
    <x v="1"/>
    <n v="185"/>
    <n v="95"/>
    <x v="959"/>
    <x v="0"/>
    <s v="138/93"/>
    <x v="1"/>
    <x v="0"/>
    <x v="1"/>
    <x v="0"/>
    <x v="0"/>
    <x v="1"/>
    <x v="0"/>
    <x v="0"/>
    <x v="2"/>
  </r>
  <r>
    <n v="320"/>
    <n v="50"/>
    <x v="0"/>
    <n v="169"/>
    <n v="94"/>
    <x v="960"/>
    <x v="0"/>
    <s v="124/74"/>
    <x v="2"/>
    <x v="0"/>
    <x v="2"/>
    <x v="2"/>
    <x v="0"/>
    <x v="0"/>
    <x v="1"/>
    <x v="1"/>
    <x v="2"/>
  </r>
  <r>
    <n v="992"/>
    <n v="72"/>
    <x v="1"/>
    <n v="158"/>
    <n v="75"/>
    <x v="961"/>
    <x v="0"/>
    <s v="157/74"/>
    <x v="2"/>
    <x v="1"/>
    <x v="0"/>
    <x v="2"/>
    <x v="0"/>
    <x v="1"/>
    <x v="1"/>
    <x v="0"/>
    <x v="1"/>
  </r>
  <r>
    <n v="994"/>
    <n v="50"/>
    <x v="1"/>
    <n v="183"/>
    <n v="88"/>
    <x v="962"/>
    <x v="2"/>
    <s v="123/108"/>
    <x v="0"/>
    <x v="0"/>
    <x v="1"/>
    <x v="3"/>
    <x v="0"/>
    <x v="0"/>
    <x v="1"/>
    <x v="1"/>
    <x v="0"/>
  </r>
  <r>
    <n v="415"/>
    <n v="50"/>
    <x v="1"/>
    <n v="177"/>
    <n v="54"/>
    <x v="963"/>
    <x v="0"/>
    <s v="140/106"/>
    <x v="2"/>
    <x v="1"/>
    <x v="2"/>
    <x v="2"/>
    <x v="1"/>
    <x v="0"/>
    <x v="1"/>
    <x v="1"/>
    <x v="2"/>
  </r>
  <r>
    <n v="417"/>
    <n v="50"/>
    <x v="0"/>
    <n v="167"/>
    <n v="72"/>
    <x v="964"/>
    <x v="1"/>
    <s v="136/73"/>
    <x v="0"/>
    <x v="1"/>
    <x v="2"/>
    <x v="3"/>
    <x v="1"/>
    <x v="1"/>
    <x v="1"/>
    <x v="1"/>
    <x v="0"/>
  </r>
  <r>
    <n v="997"/>
    <n v="35"/>
    <x v="1"/>
    <n v="174"/>
    <n v="79"/>
    <x v="965"/>
    <x v="2"/>
    <s v="127/92"/>
    <x v="0"/>
    <x v="1"/>
    <x v="1"/>
    <x v="0"/>
    <x v="1"/>
    <x v="0"/>
    <x v="0"/>
    <x v="0"/>
    <x v="1"/>
  </r>
  <r>
    <n v="448"/>
    <n v="50"/>
    <x v="0"/>
    <n v="159"/>
    <n v="61"/>
    <x v="966"/>
    <x v="0"/>
    <s v="127/100"/>
    <x v="0"/>
    <x v="1"/>
    <x v="2"/>
    <x v="0"/>
    <x v="0"/>
    <x v="0"/>
    <x v="0"/>
    <x v="0"/>
    <x v="2"/>
  </r>
  <r>
    <n v="451"/>
    <n v="50"/>
    <x v="0"/>
    <n v="184"/>
    <n v="60"/>
    <x v="967"/>
    <x v="2"/>
    <s v="125/107"/>
    <x v="2"/>
    <x v="1"/>
    <x v="2"/>
    <x v="1"/>
    <x v="0"/>
    <x v="0"/>
    <x v="0"/>
    <x v="1"/>
    <x v="0"/>
  </r>
  <r>
    <n v="480"/>
    <n v="50"/>
    <x v="1"/>
    <n v="172"/>
    <n v="62"/>
    <x v="968"/>
    <x v="2"/>
    <s v="159/91"/>
    <x v="1"/>
    <x v="1"/>
    <x v="2"/>
    <x v="2"/>
    <x v="1"/>
    <x v="0"/>
    <x v="1"/>
    <x v="0"/>
    <x v="1"/>
  </r>
  <r>
    <n v="486"/>
    <n v="50"/>
    <x v="0"/>
    <n v="162"/>
    <n v="57"/>
    <x v="969"/>
    <x v="0"/>
    <s v="132/93"/>
    <x v="2"/>
    <x v="0"/>
    <x v="2"/>
    <x v="1"/>
    <x v="0"/>
    <x v="1"/>
    <x v="1"/>
    <x v="0"/>
    <x v="0"/>
  </r>
  <r>
    <n v="1001"/>
    <n v="28"/>
    <x v="1"/>
    <n v="169"/>
    <n v="51"/>
    <x v="970"/>
    <x v="0"/>
    <s v="132/96"/>
    <x v="2"/>
    <x v="1"/>
    <x v="1"/>
    <x v="2"/>
    <x v="1"/>
    <x v="0"/>
    <x v="0"/>
    <x v="1"/>
    <x v="2"/>
  </r>
  <r>
    <n v="565"/>
    <n v="50"/>
    <x v="1"/>
    <n v="158"/>
    <n v="58"/>
    <x v="971"/>
    <x v="2"/>
    <s v="126/101"/>
    <x v="1"/>
    <x v="0"/>
    <x v="2"/>
    <x v="0"/>
    <x v="1"/>
    <x v="0"/>
    <x v="1"/>
    <x v="0"/>
    <x v="1"/>
  </r>
  <r>
    <n v="1003"/>
    <n v="43"/>
    <x v="1"/>
    <n v="179"/>
    <n v="61"/>
    <x v="972"/>
    <x v="2"/>
    <s v="152/85"/>
    <x v="2"/>
    <x v="0"/>
    <x v="1"/>
    <x v="1"/>
    <x v="1"/>
    <x v="0"/>
    <x v="1"/>
    <x v="1"/>
    <x v="0"/>
  </r>
  <r>
    <n v="693"/>
    <n v="50"/>
    <x v="0"/>
    <n v="167"/>
    <n v="88"/>
    <x v="973"/>
    <x v="1"/>
    <s v="112/107"/>
    <x v="0"/>
    <x v="0"/>
    <x v="2"/>
    <x v="3"/>
    <x v="0"/>
    <x v="1"/>
    <x v="0"/>
    <x v="0"/>
    <x v="0"/>
  </r>
  <r>
    <n v="1005"/>
    <n v="39"/>
    <x v="0"/>
    <n v="184"/>
    <n v="85"/>
    <x v="974"/>
    <x v="1"/>
    <s v="141/74"/>
    <x v="1"/>
    <x v="1"/>
    <x v="1"/>
    <x v="0"/>
    <x v="0"/>
    <x v="0"/>
    <x v="1"/>
    <x v="1"/>
    <x v="0"/>
  </r>
  <r>
    <n v="702"/>
    <n v="50"/>
    <x v="0"/>
    <n v="181"/>
    <n v="63"/>
    <x v="975"/>
    <x v="2"/>
    <s v="138/99"/>
    <x v="0"/>
    <x v="0"/>
    <x v="2"/>
    <x v="0"/>
    <x v="0"/>
    <x v="0"/>
    <x v="0"/>
    <x v="0"/>
    <x v="1"/>
  </r>
  <r>
    <n v="1007"/>
    <n v="44"/>
    <x v="1"/>
    <n v="176"/>
    <n v="75"/>
    <x v="976"/>
    <x v="1"/>
    <s v="141/95"/>
    <x v="2"/>
    <x v="1"/>
    <x v="1"/>
    <x v="1"/>
    <x v="1"/>
    <x v="0"/>
    <x v="1"/>
    <x v="1"/>
    <x v="2"/>
  </r>
  <r>
    <n v="1008"/>
    <n v="66"/>
    <x v="1"/>
    <n v="175"/>
    <n v="56"/>
    <x v="977"/>
    <x v="2"/>
    <s v="156/75"/>
    <x v="0"/>
    <x v="0"/>
    <x v="1"/>
    <x v="3"/>
    <x v="0"/>
    <x v="1"/>
    <x v="1"/>
    <x v="1"/>
    <x v="2"/>
  </r>
  <r>
    <n v="1013"/>
    <n v="52"/>
    <x v="0"/>
    <n v="169"/>
    <n v="94"/>
    <x v="978"/>
    <x v="2"/>
    <s v="120/77"/>
    <x v="0"/>
    <x v="0"/>
    <x v="1"/>
    <x v="0"/>
    <x v="1"/>
    <x v="0"/>
    <x v="0"/>
    <x v="1"/>
    <x v="1"/>
  </r>
  <r>
    <n v="1010"/>
    <n v="50"/>
    <x v="0"/>
    <n v="166"/>
    <n v="75"/>
    <x v="979"/>
    <x v="2"/>
    <s v="114/82"/>
    <x v="2"/>
    <x v="1"/>
    <x v="2"/>
    <x v="2"/>
    <x v="1"/>
    <x v="1"/>
    <x v="1"/>
    <x v="0"/>
    <x v="2"/>
  </r>
  <r>
    <n v="1015"/>
    <n v="38"/>
    <x v="0"/>
    <n v="167"/>
    <n v="55"/>
    <x v="980"/>
    <x v="2"/>
    <s v="141/93"/>
    <x v="1"/>
    <x v="1"/>
    <x v="1"/>
    <x v="0"/>
    <x v="1"/>
    <x v="1"/>
    <x v="0"/>
    <x v="1"/>
    <x v="1"/>
  </r>
  <r>
    <n v="1017"/>
    <n v="72"/>
    <x v="0"/>
    <n v="150"/>
    <n v="57"/>
    <x v="981"/>
    <x v="2"/>
    <s v="154/72"/>
    <x v="0"/>
    <x v="1"/>
    <x v="0"/>
    <x v="1"/>
    <x v="0"/>
    <x v="0"/>
    <x v="1"/>
    <x v="1"/>
    <x v="0"/>
  </r>
  <r>
    <n v="1018"/>
    <n v="23"/>
    <x v="1"/>
    <n v="150"/>
    <n v="73"/>
    <x v="982"/>
    <x v="2"/>
    <s v="145/96"/>
    <x v="1"/>
    <x v="1"/>
    <x v="1"/>
    <x v="3"/>
    <x v="1"/>
    <x v="0"/>
    <x v="1"/>
    <x v="0"/>
    <x v="2"/>
  </r>
  <r>
    <n v="1353"/>
    <n v="50"/>
    <x v="0"/>
    <n v="179"/>
    <n v="65"/>
    <x v="983"/>
    <x v="1"/>
    <s v="152/81"/>
    <x v="2"/>
    <x v="0"/>
    <x v="2"/>
    <x v="0"/>
    <x v="1"/>
    <x v="1"/>
    <x v="0"/>
    <x v="0"/>
    <x v="1"/>
  </r>
  <r>
    <n v="1019"/>
    <n v="45"/>
    <x v="1"/>
    <n v="175"/>
    <n v="71"/>
    <x v="984"/>
    <x v="0"/>
    <s v="129/84"/>
    <x v="2"/>
    <x v="0"/>
    <x v="1"/>
    <x v="3"/>
    <x v="0"/>
    <x v="0"/>
    <x v="1"/>
    <x v="0"/>
    <x v="1"/>
  </r>
  <r>
    <n v="1434"/>
    <n v="50"/>
    <x v="0"/>
    <n v="155"/>
    <n v="80"/>
    <x v="985"/>
    <x v="1"/>
    <s v="130/99"/>
    <x v="0"/>
    <x v="0"/>
    <x v="2"/>
    <x v="0"/>
    <x v="1"/>
    <x v="1"/>
    <x v="1"/>
    <x v="1"/>
    <x v="2"/>
  </r>
  <r>
    <n v="1022"/>
    <n v="48"/>
    <x v="1"/>
    <n v="159"/>
    <n v="67"/>
    <x v="986"/>
    <x v="0"/>
    <s v="155/83"/>
    <x v="0"/>
    <x v="0"/>
    <x v="1"/>
    <x v="1"/>
    <x v="0"/>
    <x v="0"/>
    <x v="1"/>
    <x v="0"/>
    <x v="2"/>
  </r>
  <r>
    <n v="1023"/>
    <n v="22"/>
    <x v="1"/>
    <n v="160"/>
    <n v="80"/>
    <x v="987"/>
    <x v="1"/>
    <s v="117/83"/>
    <x v="1"/>
    <x v="0"/>
    <x v="1"/>
    <x v="2"/>
    <x v="1"/>
    <x v="0"/>
    <x v="0"/>
    <x v="0"/>
    <x v="0"/>
  </r>
  <r>
    <n v="1468"/>
    <n v="50"/>
    <x v="0"/>
    <n v="159"/>
    <n v="87"/>
    <x v="988"/>
    <x v="0"/>
    <s v="143/75"/>
    <x v="0"/>
    <x v="0"/>
    <x v="2"/>
    <x v="2"/>
    <x v="1"/>
    <x v="1"/>
    <x v="0"/>
    <x v="0"/>
    <x v="0"/>
  </r>
  <r>
    <n v="1024"/>
    <n v="55"/>
    <x v="0"/>
    <n v="154"/>
    <n v="86"/>
    <x v="989"/>
    <x v="1"/>
    <s v="110/85"/>
    <x v="1"/>
    <x v="0"/>
    <x v="1"/>
    <x v="2"/>
    <x v="0"/>
    <x v="1"/>
    <x v="0"/>
    <x v="1"/>
    <x v="2"/>
  </r>
  <r>
    <n v="1025"/>
    <n v="20"/>
    <x v="1"/>
    <n v="150"/>
    <n v="79"/>
    <x v="990"/>
    <x v="1"/>
    <s v="127/76"/>
    <x v="1"/>
    <x v="1"/>
    <x v="1"/>
    <x v="0"/>
    <x v="1"/>
    <x v="1"/>
    <x v="1"/>
    <x v="1"/>
    <x v="2"/>
  </r>
  <r>
    <n v="1026"/>
    <n v="70"/>
    <x v="0"/>
    <n v="166"/>
    <n v="91"/>
    <x v="991"/>
    <x v="0"/>
    <s v="124/93"/>
    <x v="2"/>
    <x v="1"/>
    <x v="0"/>
    <x v="0"/>
    <x v="0"/>
    <x v="0"/>
    <x v="1"/>
    <x v="1"/>
    <x v="0"/>
  </r>
  <r>
    <n v="1028"/>
    <n v="54"/>
    <x v="1"/>
    <n v="183"/>
    <n v="59"/>
    <x v="992"/>
    <x v="0"/>
    <s v="118/84"/>
    <x v="2"/>
    <x v="0"/>
    <x v="1"/>
    <x v="1"/>
    <x v="0"/>
    <x v="0"/>
    <x v="0"/>
    <x v="1"/>
    <x v="2"/>
  </r>
  <r>
    <n v="1686"/>
    <n v="50"/>
    <x v="1"/>
    <n v="164"/>
    <n v="92"/>
    <x v="993"/>
    <x v="2"/>
    <s v="158/91"/>
    <x v="1"/>
    <x v="1"/>
    <x v="2"/>
    <x v="2"/>
    <x v="1"/>
    <x v="1"/>
    <x v="1"/>
    <x v="1"/>
    <x v="0"/>
  </r>
  <r>
    <n v="1032"/>
    <n v="27"/>
    <x v="0"/>
    <n v="160"/>
    <n v="76"/>
    <x v="994"/>
    <x v="2"/>
    <s v="132/100"/>
    <x v="1"/>
    <x v="1"/>
    <x v="1"/>
    <x v="1"/>
    <x v="1"/>
    <x v="0"/>
    <x v="1"/>
    <x v="0"/>
    <x v="1"/>
  </r>
  <r>
    <n v="1737"/>
    <n v="50"/>
    <x v="1"/>
    <n v="167"/>
    <n v="69"/>
    <x v="995"/>
    <x v="1"/>
    <s v="119/78"/>
    <x v="0"/>
    <x v="0"/>
    <x v="2"/>
    <x v="0"/>
    <x v="0"/>
    <x v="0"/>
    <x v="1"/>
    <x v="1"/>
    <x v="1"/>
  </r>
  <r>
    <n v="1878"/>
    <n v="50"/>
    <x v="0"/>
    <n v="161"/>
    <n v="81"/>
    <x v="996"/>
    <x v="2"/>
    <s v="145/71"/>
    <x v="2"/>
    <x v="0"/>
    <x v="2"/>
    <x v="0"/>
    <x v="1"/>
    <x v="0"/>
    <x v="1"/>
    <x v="1"/>
    <x v="1"/>
  </r>
  <r>
    <n v="194"/>
    <n v="49"/>
    <x v="1"/>
    <n v="164"/>
    <n v="97"/>
    <x v="997"/>
    <x v="0"/>
    <s v="124/71"/>
    <x v="1"/>
    <x v="1"/>
    <x v="2"/>
    <x v="2"/>
    <x v="0"/>
    <x v="0"/>
    <x v="1"/>
    <x v="1"/>
    <x v="0"/>
  </r>
  <r>
    <n v="199"/>
    <n v="49"/>
    <x v="1"/>
    <n v="172"/>
    <n v="60"/>
    <x v="998"/>
    <x v="1"/>
    <s v="147/99"/>
    <x v="2"/>
    <x v="0"/>
    <x v="2"/>
    <x v="2"/>
    <x v="0"/>
    <x v="1"/>
    <x v="0"/>
    <x v="0"/>
    <x v="1"/>
  </r>
  <r>
    <n v="211"/>
    <n v="49"/>
    <x v="0"/>
    <n v="174"/>
    <n v="80"/>
    <x v="999"/>
    <x v="0"/>
    <s v="115/70"/>
    <x v="0"/>
    <x v="0"/>
    <x v="2"/>
    <x v="3"/>
    <x v="1"/>
    <x v="0"/>
    <x v="0"/>
    <x v="0"/>
    <x v="1"/>
  </r>
  <r>
    <n v="1033"/>
    <n v="36"/>
    <x v="0"/>
    <n v="170"/>
    <n v="88"/>
    <x v="1000"/>
    <x v="1"/>
    <s v="149/83"/>
    <x v="1"/>
    <x v="1"/>
    <x v="1"/>
    <x v="3"/>
    <x v="1"/>
    <x v="0"/>
    <x v="1"/>
    <x v="0"/>
    <x v="2"/>
  </r>
  <r>
    <n v="1034"/>
    <n v="34"/>
    <x v="0"/>
    <n v="184"/>
    <n v="58"/>
    <x v="1001"/>
    <x v="2"/>
    <s v="139/108"/>
    <x v="0"/>
    <x v="0"/>
    <x v="1"/>
    <x v="2"/>
    <x v="0"/>
    <x v="0"/>
    <x v="1"/>
    <x v="1"/>
    <x v="0"/>
  </r>
  <r>
    <n v="291"/>
    <n v="49"/>
    <x v="0"/>
    <n v="171"/>
    <n v="69"/>
    <x v="1002"/>
    <x v="2"/>
    <s v="139/82"/>
    <x v="2"/>
    <x v="0"/>
    <x v="2"/>
    <x v="1"/>
    <x v="0"/>
    <x v="1"/>
    <x v="0"/>
    <x v="0"/>
    <x v="0"/>
  </r>
  <r>
    <n v="1035"/>
    <n v="38"/>
    <x v="1"/>
    <n v="161"/>
    <n v="70"/>
    <x v="1003"/>
    <x v="0"/>
    <s v="136/85"/>
    <x v="1"/>
    <x v="1"/>
    <x v="1"/>
    <x v="3"/>
    <x v="0"/>
    <x v="1"/>
    <x v="0"/>
    <x v="0"/>
    <x v="2"/>
  </r>
  <r>
    <n v="302"/>
    <n v="49"/>
    <x v="1"/>
    <n v="187"/>
    <n v="99"/>
    <x v="1004"/>
    <x v="1"/>
    <s v="157/83"/>
    <x v="2"/>
    <x v="1"/>
    <x v="2"/>
    <x v="3"/>
    <x v="1"/>
    <x v="0"/>
    <x v="1"/>
    <x v="0"/>
    <x v="1"/>
  </r>
  <r>
    <n v="337"/>
    <n v="49"/>
    <x v="0"/>
    <n v="162"/>
    <n v="57"/>
    <x v="1005"/>
    <x v="0"/>
    <s v="132/90"/>
    <x v="2"/>
    <x v="0"/>
    <x v="2"/>
    <x v="3"/>
    <x v="1"/>
    <x v="0"/>
    <x v="0"/>
    <x v="0"/>
    <x v="2"/>
  </r>
  <r>
    <n v="1039"/>
    <n v="18"/>
    <x v="1"/>
    <n v="156"/>
    <n v="92"/>
    <x v="1006"/>
    <x v="0"/>
    <s v="129/109"/>
    <x v="1"/>
    <x v="1"/>
    <x v="1"/>
    <x v="2"/>
    <x v="1"/>
    <x v="0"/>
    <x v="1"/>
    <x v="1"/>
    <x v="2"/>
  </r>
  <r>
    <n v="1040"/>
    <n v="68"/>
    <x v="0"/>
    <n v="175"/>
    <n v="64"/>
    <x v="1007"/>
    <x v="1"/>
    <s v="138/99"/>
    <x v="1"/>
    <x v="1"/>
    <x v="1"/>
    <x v="2"/>
    <x v="1"/>
    <x v="1"/>
    <x v="0"/>
    <x v="1"/>
    <x v="1"/>
  </r>
  <r>
    <n v="499"/>
    <n v="49"/>
    <x v="1"/>
    <n v="181"/>
    <n v="63"/>
    <x v="1008"/>
    <x v="2"/>
    <s v="119/100"/>
    <x v="1"/>
    <x v="1"/>
    <x v="2"/>
    <x v="3"/>
    <x v="1"/>
    <x v="1"/>
    <x v="0"/>
    <x v="0"/>
    <x v="0"/>
  </r>
  <r>
    <n v="1041"/>
    <n v="62"/>
    <x v="1"/>
    <n v="189"/>
    <n v="51"/>
    <x v="1009"/>
    <x v="1"/>
    <s v="135/91"/>
    <x v="1"/>
    <x v="0"/>
    <x v="1"/>
    <x v="3"/>
    <x v="0"/>
    <x v="1"/>
    <x v="0"/>
    <x v="1"/>
    <x v="2"/>
  </r>
  <r>
    <n v="576"/>
    <n v="49"/>
    <x v="0"/>
    <n v="162"/>
    <n v="80"/>
    <x v="1010"/>
    <x v="0"/>
    <s v="115/77"/>
    <x v="2"/>
    <x v="1"/>
    <x v="2"/>
    <x v="0"/>
    <x v="0"/>
    <x v="1"/>
    <x v="0"/>
    <x v="1"/>
    <x v="1"/>
  </r>
  <r>
    <n v="612"/>
    <n v="49"/>
    <x v="0"/>
    <n v="154"/>
    <n v="91"/>
    <x v="1011"/>
    <x v="2"/>
    <s v="112/106"/>
    <x v="2"/>
    <x v="0"/>
    <x v="2"/>
    <x v="1"/>
    <x v="1"/>
    <x v="0"/>
    <x v="0"/>
    <x v="0"/>
    <x v="2"/>
  </r>
  <r>
    <n v="1042"/>
    <n v="30"/>
    <x v="0"/>
    <n v="154"/>
    <n v="88"/>
    <x v="1012"/>
    <x v="2"/>
    <s v="142/108"/>
    <x v="1"/>
    <x v="0"/>
    <x v="1"/>
    <x v="1"/>
    <x v="1"/>
    <x v="1"/>
    <x v="0"/>
    <x v="1"/>
    <x v="1"/>
  </r>
  <r>
    <n v="1043"/>
    <n v="21"/>
    <x v="0"/>
    <n v="170"/>
    <n v="93"/>
    <x v="1013"/>
    <x v="1"/>
    <s v="156/98"/>
    <x v="0"/>
    <x v="0"/>
    <x v="1"/>
    <x v="2"/>
    <x v="0"/>
    <x v="1"/>
    <x v="1"/>
    <x v="1"/>
    <x v="1"/>
  </r>
  <r>
    <n v="756"/>
    <n v="49"/>
    <x v="1"/>
    <n v="186"/>
    <n v="89"/>
    <x v="1014"/>
    <x v="2"/>
    <s v="126/70"/>
    <x v="0"/>
    <x v="0"/>
    <x v="2"/>
    <x v="1"/>
    <x v="1"/>
    <x v="1"/>
    <x v="1"/>
    <x v="1"/>
    <x v="0"/>
  </r>
  <r>
    <n v="1044"/>
    <n v="79"/>
    <x v="1"/>
    <n v="163"/>
    <n v="67"/>
    <x v="1015"/>
    <x v="0"/>
    <s v="131/82"/>
    <x v="0"/>
    <x v="0"/>
    <x v="0"/>
    <x v="0"/>
    <x v="0"/>
    <x v="1"/>
    <x v="1"/>
    <x v="0"/>
    <x v="2"/>
  </r>
  <r>
    <n v="1047"/>
    <n v="57"/>
    <x v="0"/>
    <n v="169"/>
    <n v="92"/>
    <x v="1016"/>
    <x v="2"/>
    <s v="122/96"/>
    <x v="0"/>
    <x v="0"/>
    <x v="1"/>
    <x v="1"/>
    <x v="1"/>
    <x v="1"/>
    <x v="1"/>
    <x v="1"/>
    <x v="1"/>
  </r>
  <r>
    <n v="941"/>
    <n v="49"/>
    <x v="0"/>
    <n v="174"/>
    <n v="56"/>
    <x v="1017"/>
    <x v="2"/>
    <s v="139/88"/>
    <x v="0"/>
    <x v="1"/>
    <x v="2"/>
    <x v="1"/>
    <x v="0"/>
    <x v="1"/>
    <x v="1"/>
    <x v="0"/>
    <x v="0"/>
  </r>
  <r>
    <n v="998"/>
    <n v="49"/>
    <x v="0"/>
    <n v="178"/>
    <n v="79"/>
    <x v="1018"/>
    <x v="1"/>
    <s v="153/107"/>
    <x v="1"/>
    <x v="0"/>
    <x v="2"/>
    <x v="0"/>
    <x v="0"/>
    <x v="1"/>
    <x v="0"/>
    <x v="1"/>
    <x v="2"/>
  </r>
  <r>
    <n v="1048"/>
    <n v="49"/>
    <x v="0"/>
    <n v="164"/>
    <n v="67"/>
    <x v="1019"/>
    <x v="1"/>
    <s v="153/106"/>
    <x v="1"/>
    <x v="1"/>
    <x v="2"/>
    <x v="1"/>
    <x v="0"/>
    <x v="1"/>
    <x v="1"/>
    <x v="1"/>
    <x v="0"/>
  </r>
  <r>
    <n v="1052"/>
    <n v="25"/>
    <x v="1"/>
    <n v="188"/>
    <n v="82"/>
    <x v="1020"/>
    <x v="0"/>
    <s v="149/86"/>
    <x v="0"/>
    <x v="1"/>
    <x v="1"/>
    <x v="2"/>
    <x v="1"/>
    <x v="0"/>
    <x v="1"/>
    <x v="1"/>
    <x v="0"/>
  </r>
  <r>
    <n v="1054"/>
    <n v="43"/>
    <x v="1"/>
    <n v="176"/>
    <n v="80"/>
    <x v="1021"/>
    <x v="0"/>
    <s v="136/70"/>
    <x v="2"/>
    <x v="1"/>
    <x v="1"/>
    <x v="3"/>
    <x v="0"/>
    <x v="0"/>
    <x v="0"/>
    <x v="1"/>
    <x v="0"/>
  </r>
  <r>
    <n v="1055"/>
    <n v="75"/>
    <x v="0"/>
    <n v="153"/>
    <n v="60"/>
    <x v="1022"/>
    <x v="2"/>
    <s v="143/73"/>
    <x v="2"/>
    <x v="0"/>
    <x v="0"/>
    <x v="1"/>
    <x v="1"/>
    <x v="0"/>
    <x v="1"/>
    <x v="1"/>
    <x v="2"/>
  </r>
  <r>
    <n v="1639"/>
    <n v="49"/>
    <x v="1"/>
    <n v="164"/>
    <n v="86"/>
    <x v="1023"/>
    <x v="2"/>
    <s v="141/75"/>
    <x v="2"/>
    <x v="1"/>
    <x v="2"/>
    <x v="1"/>
    <x v="0"/>
    <x v="0"/>
    <x v="1"/>
    <x v="1"/>
    <x v="1"/>
  </r>
  <r>
    <n v="1648"/>
    <n v="49"/>
    <x v="1"/>
    <n v="161"/>
    <n v="71"/>
    <x v="1024"/>
    <x v="2"/>
    <s v="135/109"/>
    <x v="0"/>
    <x v="0"/>
    <x v="2"/>
    <x v="0"/>
    <x v="0"/>
    <x v="1"/>
    <x v="0"/>
    <x v="0"/>
    <x v="1"/>
  </r>
  <r>
    <n v="1679"/>
    <n v="49"/>
    <x v="1"/>
    <n v="176"/>
    <n v="73"/>
    <x v="1025"/>
    <x v="1"/>
    <s v="158/73"/>
    <x v="2"/>
    <x v="1"/>
    <x v="2"/>
    <x v="3"/>
    <x v="1"/>
    <x v="1"/>
    <x v="1"/>
    <x v="1"/>
    <x v="2"/>
  </r>
  <r>
    <n v="1690"/>
    <n v="49"/>
    <x v="0"/>
    <n v="160"/>
    <n v="64"/>
    <x v="1026"/>
    <x v="1"/>
    <s v="134/89"/>
    <x v="2"/>
    <x v="0"/>
    <x v="2"/>
    <x v="1"/>
    <x v="1"/>
    <x v="0"/>
    <x v="1"/>
    <x v="0"/>
    <x v="0"/>
  </r>
  <r>
    <n v="1716"/>
    <n v="49"/>
    <x v="1"/>
    <n v="159"/>
    <n v="61"/>
    <x v="1027"/>
    <x v="2"/>
    <s v="131/85"/>
    <x v="0"/>
    <x v="1"/>
    <x v="2"/>
    <x v="3"/>
    <x v="0"/>
    <x v="0"/>
    <x v="0"/>
    <x v="1"/>
    <x v="1"/>
  </r>
  <r>
    <n v="1057"/>
    <n v="71"/>
    <x v="1"/>
    <n v="184"/>
    <n v="67"/>
    <x v="1028"/>
    <x v="2"/>
    <s v="142/76"/>
    <x v="2"/>
    <x v="0"/>
    <x v="0"/>
    <x v="1"/>
    <x v="1"/>
    <x v="1"/>
    <x v="0"/>
    <x v="0"/>
    <x v="0"/>
  </r>
  <r>
    <n v="1782"/>
    <n v="49"/>
    <x v="1"/>
    <n v="157"/>
    <n v="56"/>
    <x v="1029"/>
    <x v="0"/>
    <s v="131/95"/>
    <x v="2"/>
    <x v="0"/>
    <x v="2"/>
    <x v="0"/>
    <x v="1"/>
    <x v="1"/>
    <x v="0"/>
    <x v="0"/>
    <x v="0"/>
  </r>
  <r>
    <n v="1059"/>
    <n v="20"/>
    <x v="1"/>
    <n v="150"/>
    <n v="98"/>
    <x v="1030"/>
    <x v="1"/>
    <s v="153/84"/>
    <x v="1"/>
    <x v="1"/>
    <x v="1"/>
    <x v="3"/>
    <x v="1"/>
    <x v="0"/>
    <x v="1"/>
    <x v="1"/>
    <x v="1"/>
  </r>
  <r>
    <n v="105"/>
    <n v="48"/>
    <x v="1"/>
    <n v="160"/>
    <n v="74"/>
    <x v="1031"/>
    <x v="2"/>
    <s v="146/72"/>
    <x v="1"/>
    <x v="0"/>
    <x v="2"/>
    <x v="0"/>
    <x v="0"/>
    <x v="1"/>
    <x v="0"/>
    <x v="1"/>
    <x v="1"/>
  </r>
  <r>
    <n v="353"/>
    <n v="48"/>
    <x v="0"/>
    <n v="154"/>
    <n v="92"/>
    <x v="1032"/>
    <x v="2"/>
    <s v="142/102"/>
    <x v="1"/>
    <x v="0"/>
    <x v="2"/>
    <x v="1"/>
    <x v="1"/>
    <x v="1"/>
    <x v="1"/>
    <x v="1"/>
    <x v="0"/>
  </r>
  <r>
    <n v="1060"/>
    <n v="76"/>
    <x v="0"/>
    <n v="152"/>
    <n v="83"/>
    <x v="1033"/>
    <x v="2"/>
    <s v="140/85"/>
    <x v="2"/>
    <x v="0"/>
    <x v="0"/>
    <x v="1"/>
    <x v="1"/>
    <x v="1"/>
    <x v="0"/>
    <x v="0"/>
    <x v="1"/>
  </r>
  <r>
    <n v="491"/>
    <n v="48"/>
    <x v="1"/>
    <n v="154"/>
    <n v="77"/>
    <x v="1034"/>
    <x v="0"/>
    <s v="125/90"/>
    <x v="0"/>
    <x v="1"/>
    <x v="2"/>
    <x v="2"/>
    <x v="1"/>
    <x v="1"/>
    <x v="0"/>
    <x v="0"/>
    <x v="1"/>
  </r>
  <r>
    <n v="1063"/>
    <n v="18"/>
    <x v="0"/>
    <n v="189"/>
    <n v="71"/>
    <x v="1035"/>
    <x v="1"/>
    <s v="126/91"/>
    <x v="0"/>
    <x v="0"/>
    <x v="1"/>
    <x v="1"/>
    <x v="1"/>
    <x v="1"/>
    <x v="1"/>
    <x v="0"/>
    <x v="0"/>
  </r>
  <r>
    <n v="710"/>
    <n v="48"/>
    <x v="0"/>
    <n v="154"/>
    <n v="71"/>
    <x v="1036"/>
    <x v="2"/>
    <s v="124/74"/>
    <x v="2"/>
    <x v="0"/>
    <x v="2"/>
    <x v="2"/>
    <x v="1"/>
    <x v="0"/>
    <x v="1"/>
    <x v="1"/>
    <x v="0"/>
  </r>
  <r>
    <n v="792"/>
    <n v="48"/>
    <x v="0"/>
    <n v="189"/>
    <n v="88"/>
    <x v="1037"/>
    <x v="2"/>
    <s v="135/80"/>
    <x v="2"/>
    <x v="1"/>
    <x v="2"/>
    <x v="1"/>
    <x v="1"/>
    <x v="0"/>
    <x v="0"/>
    <x v="1"/>
    <x v="2"/>
  </r>
  <r>
    <n v="1065"/>
    <n v="61"/>
    <x v="0"/>
    <n v="183"/>
    <n v="93"/>
    <x v="1038"/>
    <x v="1"/>
    <s v="130/80"/>
    <x v="1"/>
    <x v="1"/>
    <x v="1"/>
    <x v="0"/>
    <x v="0"/>
    <x v="1"/>
    <x v="0"/>
    <x v="0"/>
    <x v="2"/>
  </r>
  <r>
    <n v="1067"/>
    <n v="47"/>
    <x v="0"/>
    <n v="173"/>
    <n v="91"/>
    <x v="1039"/>
    <x v="2"/>
    <s v="114/90"/>
    <x v="0"/>
    <x v="0"/>
    <x v="1"/>
    <x v="0"/>
    <x v="0"/>
    <x v="0"/>
    <x v="1"/>
    <x v="0"/>
    <x v="2"/>
  </r>
  <r>
    <n v="929"/>
    <n v="48"/>
    <x v="0"/>
    <n v="162"/>
    <n v="78"/>
    <x v="1040"/>
    <x v="1"/>
    <s v="147/88"/>
    <x v="1"/>
    <x v="0"/>
    <x v="2"/>
    <x v="3"/>
    <x v="1"/>
    <x v="1"/>
    <x v="0"/>
    <x v="1"/>
    <x v="0"/>
  </r>
  <r>
    <n v="1068"/>
    <n v="47"/>
    <x v="1"/>
    <n v="173"/>
    <n v="74"/>
    <x v="1041"/>
    <x v="0"/>
    <s v="127/104"/>
    <x v="2"/>
    <x v="1"/>
    <x v="1"/>
    <x v="1"/>
    <x v="0"/>
    <x v="1"/>
    <x v="0"/>
    <x v="0"/>
    <x v="0"/>
  </r>
  <r>
    <n v="1051"/>
    <n v="48"/>
    <x v="1"/>
    <n v="168"/>
    <n v="86"/>
    <x v="1042"/>
    <x v="1"/>
    <s v="121/105"/>
    <x v="1"/>
    <x v="0"/>
    <x v="2"/>
    <x v="3"/>
    <x v="0"/>
    <x v="0"/>
    <x v="0"/>
    <x v="0"/>
    <x v="0"/>
  </r>
  <r>
    <n v="1069"/>
    <n v="76"/>
    <x v="1"/>
    <n v="153"/>
    <n v="70"/>
    <x v="1043"/>
    <x v="0"/>
    <s v="129/84"/>
    <x v="0"/>
    <x v="0"/>
    <x v="0"/>
    <x v="2"/>
    <x v="0"/>
    <x v="0"/>
    <x v="0"/>
    <x v="0"/>
    <x v="2"/>
  </r>
  <r>
    <n v="1070"/>
    <n v="74"/>
    <x v="0"/>
    <n v="152"/>
    <n v="65"/>
    <x v="1044"/>
    <x v="0"/>
    <s v="114/82"/>
    <x v="1"/>
    <x v="1"/>
    <x v="0"/>
    <x v="1"/>
    <x v="0"/>
    <x v="1"/>
    <x v="1"/>
    <x v="0"/>
    <x v="1"/>
  </r>
  <r>
    <n v="1071"/>
    <n v="34"/>
    <x v="0"/>
    <n v="183"/>
    <n v="80"/>
    <x v="1045"/>
    <x v="2"/>
    <s v="121/90"/>
    <x v="0"/>
    <x v="0"/>
    <x v="1"/>
    <x v="0"/>
    <x v="0"/>
    <x v="1"/>
    <x v="1"/>
    <x v="0"/>
    <x v="2"/>
  </r>
  <r>
    <n v="1073"/>
    <n v="64"/>
    <x v="0"/>
    <n v="172"/>
    <n v="88"/>
    <x v="1046"/>
    <x v="2"/>
    <s v="116/95"/>
    <x v="1"/>
    <x v="1"/>
    <x v="1"/>
    <x v="0"/>
    <x v="1"/>
    <x v="0"/>
    <x v="0"/>
    <x v="1"/>
    <x v="0"/>
  </r>
  <r>
    <n v="1379"/>
    <n v="48"/>
    <x v="0"/>
    <n v="189"/>
    <n v="58"/>
    <x v="1047"/>
    <x v="0"/>
    <s v="131/92"/>
    <x v="0"/>
    <x v="0"/>
    <x v="2"/>
    <x v="2"/>
    <x v="0"/>
    <x v="1"/>
    <x v="0"/>
    <x v="0"/>
    <x v="0"/>
  </r>
  <r>
    <n v="1486"/>
    <n v="48"/>
    <x v="1"/>
    <n v="159"/>
    <n v="62"/>
    <x v="1048"/>
    <x v="0"/>
    <s v="110/107"/>
    <x v="2"/>
    <x v="0"/>
    <x v="2"/>
    <x v="2"/>
    <x v="0"/>
    <x v="0"/>
    <x v="1"/>
    <x v="1"/>
    <x v="2"/>
  </r>
  <r>
    <n v="1504"/>
    <n v="48"/>
    <x v="1"/>
    <n v="175"/>
    <n v="75"/>
    <x v="1049"/>
    <x v="0"/>
    <s v="148/103"/>
    <x v="0"/>
    <x v="0"/>
    <x v="2"/>
    <x v="3"/>
    <x v="1"/>
    <x v="0"/>
    <x v="1"/>
    <x v="1"/>
    <x v="2"/>
  </r>
  <r>
    <n v="1550"/>
    <n v="48"/>
    <x v="0"/>
    <n v="169"/>
    <n v="84"/>
    <x v="1050"/>
    <x v="2"/>
    <s v="133/104"/>
    <x v="1"/>
    <x v="0"/>
    <x v="2"/>
    <x v="0"/>
    <x v="1"/>
    <x v="0"/>
    <x v="1"/>
    <x v="0"/>
    <x v="2"/>
  </r>
  <r>
    <n v="1076"/>
    <n v="54"/>
    <x v="0"/>
    <n v="155"/>
    <n v="77"/>
    <x v="1051"/>
    <x v="0"/>
    <s v="113/90"/>
    <x v="2"/>
    <x v="0"/>
    <x v="1"/>
    <x v="3"/>
    <x v="1"/>
    <x v="0"/>
    <x v="0"/>
    <x v="0"/>
    <x v="1"/>
  </r>
  <r>
    <n v="1077"/>
    <n v="38"/>
    <x v="1"/>
    <n v="186"/>
    <n v="98"/>
    <x v="1052"/>
    <x v="2"/>
    <s v="140/90"/>
    <x v="0"/>
    <x v="1"/>
    <x v="1"/>
    <x v="3"/>
    <x v="0"/>
    <x v="1"/>
    <x v="1"/>
    <x v="0"/>
    <x v="1"/>
  </r>
  <r>
    <n v="1079"/>
    <n v="19"/>
    <x v="0"/>
    <n v="189"/>
    <n v="94"/>
    <x v="1053"/>
    <x v="1"/>
    <s v="148/84"/>
    <x v="2"/>
    <x v="1"/>
    <x v="1"/>
    <x v="0"/>
    <x v="0"/>
    <x v="1"/>
    <x v="1"/>
    <x v="1"/>
    <x v="0"/>
  </r>
  <r>
    <n v="1983"/>
    <n v="48"/>
    <x v="1"/>
    <n v="188"/>
    <n v="84"/>
    <x v="1054"/>
    <x v="1"/>
    <s v="130/85"/>
    <x v="1"/>
    <x v="1"/>
    <x v="2"/>
    <x v="2"/>
    <x v="1"/>
    <x v="1"/>
    <x v="1"/>
    <x v="1"/>
    <x v="0"/>
  </r>
  <r>
    <n v="1080"/>
    <n v="28"/>
    <x v="0"/>
    <n v="156"/>
    <n v="71"/>
    <x v="1055"/>
    <x v="0"/>
    <s v="144/106"/>
    <x v="2"/>
    <x v="0"/>
    <x v="1"/>
    <x v="2"/>
    <x v="0"/>
    <x v="0"/>
    <x v="0"/>
    <x v="1"/>
    <x v="1"/>
  </r>
  <r>
    <n v="1087"/>
    <n v="67"/>
    <x v="0"/>
    <n v="153"/>
    <n v="59"/>
    <x v="1056"/>
    <x v="1"/>
    <s v="139/93"/>
    <x v="1"/>
    <x v="0"/>
    <x v="1"/>
    <x v="3"/>
    <x v="1"/>
    <x v="1"/>
    <x v="0"/>
    <x v="1"/>
    <x v="1"/>
  </r>
  <r>
    <n v="201"/>
    <n v="47"/>
    <x v="1"/>
    <n v="183"/>
    <n v="93"/>
    <x v="1057"/>
    <x v="0"/>
    <s v="124/95"/>
    <x v="0"/>
    <x v="1"/>
    <x v="2"/>
    <x v="1"/>
    <x v="1"/>
    <x v="0"/>
    <x v="0"/>
    <x v="1"/>
    <x v="1"/>
  </r>
  <r>
    <n v="1090"/>
    <n v="47"/>
    <x v="1"/>
    <n v="187"/>
    <n v="56"/>
    <x v="1058"/>
    <x v="2"/>
    <s v="147/85"/>
    <x v="1"/>
    <x v="1"/>
    <x v="1"/>
    <x v="2"/>
    <x v="0"/>
    <x v="0"/>
    <x v="0"/>
    <x v="0"/>
    <x v="2"/>
  </r>
  <r>
    <n v="354"/>
    <n v="47"/>
    <x v="0"/>
    <n v="157"/>
    <n v="94"/>
    <x v="1059"/>
    <x v="2"/>
    <s v="138/74"/>
    <x v="0"/>
    <x v="0"/>
    <x v="2"/>
    <x v="1"/>
    <x v="1"/>
    <x v="0"/>
    <x v="0"/>
    <x v="0"/>
    <x v="2"/>
  </r>
  <r>
    <n v="1091"/>
    <n v="32"/>
    <x v="0"/>
    <n v="185"/>
    <n v="78"/>
    <x v="1060"/>
    <x v="0"/>
    <s v="124/92"/>
    <x v="2"/>
    <x v="0"/>
    <x v="1"/>
    <x v="0"/>
    <x v="0"/>
    <x v="1"/>
    <x v="0"/>
    <x v="0"/>
    <x v="1"/>
  </r>
  <r>
    <n v="1092"/>
    <n v="44"/>
    <x v="1"/>
    <n v="154"/>
    <n v="96"/>
    <x v="1061"/>
    <x v="1"/>
    <s v="121/98"/>
    <x v="1"/>
    <x v="1"/>
    <x v="1"/>
    <x v="1"/>
    <x v="1"/>
    <x v="1"/>
    <x v="1"/>
    <x v="0"/>
    <x v="0"/>
  </r>
  <r>
    <n v="1093"/>
    <n v="68"/>
    <x v="0"/>
    <n v="162"/>
    <n v="52"/>
    <x v="1062"/>
    <x v="2"/>
    <s v="153/84"/>
    <x v="0"/>
    <x v="1"/>
    <x v="1"/>
    <x v="1"/>
    <x v="1"/>
    <x v="0"/>
    <x v="1"/>
    <x v="0"/>
    <x v="1"/>
  </r>
  <r>
    <n v="578"/>
    <n v="47"/>
    <x v="1"/>
    <n v="165"/>
    <n v="80"/>
    <x v="1063"/>
    <x v="2"/>
    <s v="153/109"/>
    <x v="0"/>
    <x v="1"/>
    <x v="2"/>
    <x v="3"/>
    <x v="1"/>
    <x v="0"/>
    <x v="0"/>
    <x v="0"/>
    <x v="0"/>
  </r>
  <r>
    <n v="1094"/>
    <n v="51"/>
    <x v="1"/>
    <n v="172"/>
    <n v="68"/>
    <x v="1064"/>
    <x v="2"/>
    <s v="138/90"/>
    <x v="2"/>
    <x v="0"/>
    <x v="1"/>
    <x v="2"/>
    <x v="0"/>
    <x v="0"/>
    <x v="0"/>
    <x v="0"/>
    <x v="1"/>
  </r>
  <r>
    <n v="642"/>
    <n v="47"/>
    <x v="1"/>
    <n v="165"/>
    <n v="81"/>
    <x v="1065"/>
    <x v="1"/>
    <s v="137/104"/>
    <x v="1"/>
    <x v="1"/>
    <x v="2"/>
    <x v="2"/>
    <x v="0"/>
    <x v="0"/>
    <x v="0"/>
    <x v="0"/>
    <x v="2"/>
  </r>
  <r>
    <n v="1095"/>
    <n v="69"/>
    <x v="0"/>
    <n v="179"/>
    <n v="59"/>
    <x v="1066"/>
    <x v="1"/>
    <s v="124/83"/>
    <x v="2"/>
    <x v="1"/>
    <x v="1"/>
    <x v="1"/>
    <x v="0"/>
    <x v="1"/>
    <x v="0"/>
    <x v="1"/>
    <x v="2"/>
  </r>
  <r>
    <n v="1097"/>
    <n v="55"/>
    <x v="0"/>
    <n v="174"/>
    <n v="78"/>
    <x v="1067"/>
    <x v="1"/>
    <s v="124/73"/>
    <x v="2"/>
    <x v="0"/>
    <x v="1"/>
    <x v="1"/>
    <x v="0"/>
    <x v="0"/>
    <x v="0"/>
    <x v="0"/>
    <x v="1"/>
  </r>
  <r>
    <n v="987"/>
    <n v="47"/>
    <x v="0"/>
    <n v="178"/>
    <n v="86"/>
    <x v="1068"/>
    <x v="0"/>
    <s v="133/88"/>
    <x v="1"/>
    <x v="0"/>
    <x v="2"/>
    <x v="3"/>
    <x v="1"/>
    <x v="0"/>
    <x v="0"/>
    <x v="1"/>
    <x v="2"/>
  </r>
  <r>
    <n v="1098"/>
    <n v="50"/>
    <x v="1"/>
    <n v="176"/>
    <n v="64"/>
    <x v="1069"/>
    <x v="1"/>
    <s v="136/92"/>
    <x v="1"/>
    <x v="0"/>
    <x v="1"/>
    <x v="3"/>
    <x v="0"/>
    <x v="1"/>
    <x v="1"/>
    <x v="0"/>
    <x v="2"/>
  </r>
  <r>
    <n v="1099"/>
    <n v="41"/>
    <x v="0"/>
    <n v="163"/>
    <n v="84"/>
    <x v="1070"/>
    <x v="2"/>
    <s v="138/78"/>
    <x v="0"/>
    <x v="0"/>
    <x v="1"/>
    <x v="0"/>
    <x v="1"/>
    <x v="1"/>
    <x v="0"/>
    <x v="1"/>
    <x v="1"/>
  </r>
  <r>
    <n v="1100"/>
    <n v="32"/>
    <x v="1"/>
    <n v="185"/>
    <n v="55"/>
    <x v="1071"/>
    <x v="1"/>
    <s v="152/76"/>
    <x v="0"/>
    <x v="0"/>
    <x v="1"/>
    <x v="1"/>
    <x v="1"/>
    <x v="0"/>
    <x v="0"/>
    <x v="1"/>
    <x v="1"/>
  </r>
  <r>
    <n v="1102"/>
    <n v="47"/>
    <x v="0"/>
    <n v="165"/>
    <n v="96"/>
    <x v="1072"/>
    <x v="1"/>
    <s v="114/74"/>
    <x v="0"/>
    <x v="0"/>
    <x v="1"/>
    <x v="0"/>
    <x v="0"/>
    <x v="1"/>
    <x v="0"/>
    <x v="1"/>
    <x v="0"/>
  </r>
  <r>
    <n v="1103"/>
    <n v="72"/>
    <x v="0"/>
    <n v="171"/>
    <n v="87"/>
    <x v="1073"/>
    <x v="2"/>
    <s v="120/97"/>
    <x v="2"/>
    <x v="1"/>
    <x v="0"/>
    <x v="1"/>
    <x v="0"/>
    <x v="0"/>
    <x v="1"/>
    <x v="1"/>
    <x v="0"/>
  </r>
  <r>
    <n v="1288"/>
    <n v="47"/>
    <x v="1"/>
    <n v="181"/>
    <n v="76"/>
    <x v="1074"/>
    <x v="2"/>
    <s v="147/79"/>
    <x v="2"/>
    <x v="1"/>
    <x v="2"/>
    <x v="2"/>
    <x v="1"/>
    <x v="1"/>
    <x v="1"/>
    <x v="0"/>
    <x v="2"/>
  </r>
  <r>
    <n v="1107"/>
    <n v="22"/>
    <x v="1"/>
    <n v="165"/>
    <n v="52"/>
    <x v="1075"/>
    <x v="1"/>
    <s v="159/90"/>
    <x v="0"/>
    <x v="0"/>
    <x v="1"/>
    <x v="0"/>
    <x v="0"/>
    <x v="1"/>
    <x v="0"/>
    <x v="1"/>
    <x v="1"/>
  </r>
  <r>
    <n v="1111"/>
    <n v="73"/>
    <x v="0"/>
    <n v="183"/>
    <n v="96"/>
    <x v="1076"/>
    <x v="1"/>
    <s v="137/95"/>
    <x v="1"/>
    <x v="1"/>
    <x v="0"/>
    <x v="0"/>
    <x v="1"/>
    <x v="1"/>
    <x v="0"/>
    <x v="0"/>
    <x v="2"/>
  </r>
  <r>
    <n v="1378"/>
    <n v="47"/>
    <x v="0"/>
    <n v="187"/>
    <n v="89"/>
    <x v="1077"/>
    <x v="1"/>
    <s v="118/107"/>
    <x v="2"/>
    <x v="0"/>
    <x v="2"/>
    <x v="2"/>
    <x v="1"/>
    <x v="1"/>
    <x v="1"/>
    <x v="1"/>
    <x v="0"/>
  </r>
  <r>
    <n v="1112"/>
    <n v="34"/>
    <x v="0"/>
    <n v="158"/>
    <n v="53"/>
    <x v="1078"/>
    <x v="0"/>
    <s v="127/88"/>
    <x v="0"/>
    <x v="0"/>
    <x v="1"/>
    <x v="3"/>
    <x v="1"/>
    <x v="0"/>
    <x v="1"/>
    <x v="0"/>
    <x v="2"/>
  </r>
  <r>
    <n v="1461"/>
    <n v="47"/>
    <x v="1"/>
    <n v="179"/>
    <n v="64"/>
    <x v="1079"/>
    <x v="0"/>
    <s v="141/90"/>
    <x v="0"/>
    <x v="0"/>
    <x v="2"/>
    <x v="1"/>
    <x v="1"/>
    <x v="1"/>
    <x v="1"/>
    <x v="1"/>
    <x v="1"/>
  </r>
  <r>
    <n v="1114"/>
    <n v="34"/>
    <x v="0"/>
    <n v="160"/>
    <n v="52"/>
    <x v="1080"/>
    <x v="0"/>
    <s v="145/100"/>
    <x v="2"/>
    <x v="1"/>
    <x v="1"/>
    <x v="0"/>
    <x v="1"/>
    <x v="0"/>
    <x v="1"/>
    <x v="1"/>
    <x v="1"/>
  </r>
  <r>
    <n v="1115"/>
    <n v="77"/>
    <x v="1"/>
    <n v="181"/>
    <n v="94"/>
    <x v="1081"/>
    <x v="2"/>
    <s v="158/86"/>
    <x v="1"/>
    <x v="0"/>
    <x v="0"/>
    <x v="3"/>
    <x v="0"/>
    <x v="0"/>
    <x v="1"/>
    <x v="1"/>
    <x v="1"/>
  </r>
  <r>
    <n v="1116"/>
    <n v="37"/>
    <x v="1"/>
    <n v="159"/>
    <n v="57"/>
    <x v="1082"/>
    <x v="0"/>
    <s v="132/103"/>
    <x v="0"/>
    <x v="0"/>
    <x v="1"/>
    <x v="3"/>
    <x v="0"/>
    <x v="0"/>
    <x v="1"/>
    <x v="0"/>
    <x v="2"/>
  </r>
  <r>
    <n v="1117"/>
    <n v="41"/>
    <x v="1"/>
    <n v="171"/>
    <n v="72"/>
    <x v="1083"/>
    <x v="0"/>
    <s v="150/74"/>
    <x v="0"/>
    <x v="0"/>
    <x v="1"/>
    <x v="1"/>
    <x v="1"/>
    <x v="1"/>
    <x v="0"/>
    <x v="0"/>
    <x v="1"/>
  </r>
  <r>
    <n v="1118"/>
    <n v="22"/>
    <x v="0"/>
    <n v="166"/>
    <n v="65"/>
    <x v="1084"/>
    <x v="1"/>
    <s v="124/72"/>
    <x v="1"/>
    <x v="0"/>
    <x v="1"/>
    <x v="3"/>
    <x v="0"/>
    <x v="0"/>
    <x v="0"/>
    <x v="0"/>
    <x v="2"/>
  </r>
  <r>
    <n v="1123"/>
    <n v="30"/>
    <x v="1"/>
    <n v="187"/>
    <n v="63"/>
    <x v="1085"/>
    <x v="1"/>
    <s v="146/70"/>
    <x v="1"/>
    <x v="0"/>
    <x v="1"/>
    <x v="0"/>
    <x v="1"/>
    <x v="0"/>
    <x v="1"/>
    <x v="0"/>
    <x v="2"/>
  </r>
  <r>
    <n v="1126"/>
    <n v="60"/>
    <x v="1"/>
    <n v="185"/>
    <n v="64"/>
    <x v="1086"/>
    <x v="2"/>
    <s v="156/95"/>
    <x v="2"/>
    <x v="1"/>
    <x v="1"/>
    <x v="2"/>
    <x v="0"/>
    <x v="0"/>
    <x v="1"/>
    <x v="0"/>
    <x v="1"/>
  </r>
  <r>
    <n v="1984"/>
    <n v="47"/>
    <x v="0"/>
    <n v="162"/>
    <n v="57"/>
    <x v="1087"/>
    <x v="0"/>
    <s v="156/88"/>
    <x v="2"/>
    <x v="1"/>
    <x v="2"/>
    <x v="3"/>
    <x v="0"/>
    <x v="1"/>
    <x v="1"/>
    <x v="1"/>
    <x v="0"/>
  </r>
  <r>
    <n v="1127"/>
    <n v="65"/>
    <x v="1"/>
    <n v="166"/>
    <n v="56"/>
    <x v="1088"/>
    <x v="0"/>
    <s v="140/95"/>
    <x v="2"/>
    <x v="0"/>
    <x v="1"/>
    <x v="1"/>
    <x v="1"/>
    <x v="1"/>
    <x v="1"/>
    <x v="1"/>
    <x v="1"/>
  </r>
  <r>
    <n v="1128"/>
    <n v="28"/>
    <x v="1"/>
    <n v="173"/>
    <n v="87"/>
    <x v="1089"/>
    <x v="0"/>
    <s v="132/99"/>
    <x v="2"/>
    <x v="0"/>
    <x v="1"/>
    <x v="3"/>
    <x v="1"/>
    <x v="1"/>
    <x v="0"/>
    <x v="1"/>
    <x v="2"/>
  </r>
  <r>
    <n v="1129"/>
    <n v="68"/>
    <x v="0"/>
    <n v="151"/>
    <n v="83"/>
    <x v="1090"/>
    <x v="0"/>
    <s v="119/77"/>
    <x v="1"/>
    <x v="1"/>
    <x v="1"/>
    <x v="2"/>
    <x v="0"/>
    <x v="0"/>
    <x v="0"/>
    <x v="0"/>
    <x v="2"/>
  </r>
  <r>
    <n v="208"/>
    <n v="46"/>
    <x v="1"/>
    <n v="179"/>
    <n v="79"/>
    <x v="1091"/>
    <x v="1"/>
    <s v="157/90"/>
    <x v="2"/>
    <x v="0"/>
    <x v="2"/>
    <x v="0"/>
    <x v="0"/>
    <x v="0"/>
    <x v="0"/>
    <x v="1"/>
    <x v="0"/>
  </r>
  <r>
    <n v="1131"/>
    <n v="74"/>
    <x v="1"/>
    <n v="164"/>
    <n v="71"/>
    <x v="1092"/>
    <x v="2"/>
    <s v="131/84"/>
    <x v="0"/>
    <x v="0"/>
    <x v="0"/>
    <x v="3"/>
    <x v="0"/>
    <x v="0"/>
    <x v="0"/>
    <x v="1"/>
    <x v="2"/>
  </r>
  <r>
    <n v="1132"/>
    <n v="40"/>
    <x v="0"/>
    <n v="181"/>
    <n v="73"/>
    <x v="1093"/>
    <x v="0"/>
    <s v="150/79"/>
    <x v="2"/>
    <x v="0"/>
    <x v="1"/>
    <x v="3"/>
    <x v="1"/>
    <x v="1"/>
    <x v="1"/>
    <x v="1"/>
    <x v="2"/>
  </r>
  <r>
    <n v="1133"/>
    <n v="72"/>
    <x v="0"/>
    <n v="188"/>
    <n v="98"/>
    <x v="1094"/>
    <x v="2"/>
    <s v="129/92"/>
    <x v="1"/>
    <x v="1"/>
    <x v="0"/>
    <x v="3"/>
    <x v="1"/>
    <x v="0"/>
    <x v="0"/>
    <x v="1"/>
    <x v="2"/>
  </r>
  <r>
    <n v="473"/>
    <n v="46"/>
    <x v="0"/>
    <n v="155"/>
    <n v="64"/>
    <x v="1095"/>
    <x v="1"/>
    <s v="136/79"/>
    <x v="0"/>
    <x v="1"/>
    <x v="2"/>
    <x v="1"/>
    <x v="1"/>
    <x v="0"/>
    <x v="0"/>
    <x v="1"/>
    <x v="0"/>
  </r>
  <r>
    <n v="516"/>
    <n v="46"/>
    <x v="0"/>
    <n v="189"/>
    <n v="78"/>
    <x v="1096"/>
    <x v="0"/>
    <s v="142/95"/>
    <x v="0"/>
    <x v="0"/>
    <x v="2"/>
    <x v="0"/>
    <x v="1"/>
    <x v="1"/>
    <x v="0"/>
    <x v="0"/>
    <x v="1"/>
  </r>
  <r>
    <n v="626"/>
    <n v="46"/>
    <x v="1"/>
    <n v="187"/>
    <n v="94"/>
    <x v="1097"/>
    <x v="0"/>
    <s v="125/75"/>
    <x v="1"/>
    <x v="1"/>
    <x v="2"/>
    <x v="0"/>
    <x v="1"/>
    <x v="1"/>
    <x v="1"/>
    <x v="1"/>
    <x v="2"/>
  </r>
  <r>
    <n v="1134"/>
    <n v="33"/>
    <x v="1"/>
    <n v="155"/>
    <n v="86"/>
    <x v="1098"/>
    <x v="0"/>
    <s v="110/71"/>
    <x v="0"/>
    <x v="0"/>
    <x v="1"/>
    <x v="2"/>
    <x v="0"/>
    <x v="1"/>
    <x v="1"/>
    <x v="1"/>
    <x v="1"/>
  </r>
  <r>
    <n v="1135"/>
    <n v="48"/>
    <x v="0"/>
    <n v="150"/>
    <n v="93"/>
    <x v="1099"/>
    <x v="1"/>
    <s v="128/83"/>
    <x v="1"/>
    <x v="1"/>
    <x v="1"/>
    <x v="1"/>
    <x v="1"/>
    <x v="0"/>
    <x v="0"/>
    <x v="1"/>
    <x v="0"/>
  </r>
  <r>
    <n v="721"/>
    <n v="46"/>
    <x v="1"/>
    <n v="167"/>
    <n v="87"/>
    <x v="1100"/>
    <x v="1"/>
    <s v="111/71"/>
    <x v="0"/>
    <x v="0"/>
    <x v="2"/>
    <x v="0"/>
    <x v="0"/>
    <x v="0"/>
    <x v="0"/>
    <x v="0"/>
    <x v="0"/>
  </r>
  <r>
    <n v="736"/>
    <n v="46"/>
    <x v="0"/>
    <n v="172"/>
    <n v="61"/>
    <x v="1101"/>
    <x v="0"/>
    <s v="153/77"/>
    <x v="2"/>
    <x v="1"/>
    <x v="2"/>
    <x v="0"/>
    <x v="0"/>
    <x v="1"/>
    <x v="1"/>
    <x v="1"/>
    <x v="1"/>
  </r>
  <r>
    <n v="823"/>
    <n v="46"/>
    <x v="0"/>
    <n v="169"/>
    <n v="69"/>
    <x v="1102"/>
    <x v="2"/>
    <s v="125/79"/>
    <x v="0"/>
    <x v="0"/>
    <x v="2"/>
    <x v="3"/>
    <x v="1"/>
    <x v="0"/>
    <x v="1"/>
    <x v="1"/>
    <x v="0"/>
  </r>
  <r>
    <n v="1136"/>
    <n v="28"/>
    <x v="0"/>
    <n v="172"/>
    <n v="50"/>
    <x v="1103"/>
    <x v="2"/>
    <s v="117/107"/>
    <x v="0"/>
    <x v="1"/>
    <x v="1"/>
    <x v="1"/>
    <x v="0"/>
    <x v="1"/>
    <x v="0"/>
    <x v="1"/>
    <x v="0"/>
  </r>
  <r>
    <n v="973"/>
    <n v="46"/>
    <x v="1"/>
    <n v="159"/>
    <n v="85"/>
    <x v="1104"/>
    <x v="1"/>
    <s v="124/87"/>
    <x v="0"/>
    <x v="0"/>
    <x v="2"/>
    <x v="3"/>
    <x v="0"/>
    <x v="1"/>
    <x v="1"/>
    <x v="0"/>
    <x v="1"/>
  </r>
  <r>
    <n v="1108"/>
    <n v="46"/>
    <x v="1"/>
    <n v="180"/>
    <n v="57"/>
    <x v="1105"/>
    <x v="1"/>
    <s v="115/87"/>
    <x v="2"/>
    <x v="1"/>
    <x v="2"/>
    <x v="2"/>
    <x v="1"/>
    <x v="1"/>
    <x v="0"/>
    <x v="1"/>
    <x v="0"/>
  </r>
  <r>
    <n v="1140"/>
    <n v="21"/>
    <x v="1"/>
    <n v="178"/>
    <n v="95"/>
    <x v="1106"/>
    <x v="2"/>
    <s v="152/97"/>
    <x v="2"/>
    <x v="1"/>
    <x v="1"/>
    <x v="0"/>
    <x v="0"/>
    <x v="0"/>
    <x v="1"/>
    <x v="1"/>
    <x v="0"/>
  </r>
  <r>
    <n v="1141"/>
    <n v="57"/>
    <x v="0"/>
    <n v="158"/>
    <n v="57"/>
    <x v="1107"/>
    <x v="0"/>
    <s v="112/87"/>
    <x v="0"/>
    <x v="0"/>
    <x v="1"/>
    <x v="0"/>
    <x v="1"/>
    <x v="1"/>
    <x v="0"/>
    <x v="1"/>
    <x v="1"/>
  </r>
  <r>
    <n v="1458"/>
    <n v="46"/>
    <x v="1"/>
    <n v="186"/>
    <n v="73"/>
    <x v="1108"/>
    <x v="1"/>
    <s v="141/104"/>
    <x v="0"/>
    <x v="0"/>
    <x v="2"/>
    <x v="1"/>
    <x v="0"/>
    <x v="1"/>
    <x v="0"/>
    <x v="1"/>
    <x v="0"/>
  </r>
  <r>
    <n v="1146"/>
    <n v="49"/>
    <x v="0"/>
    <n v="152"/>
    <n v="74"/>
    <x v="1109"/>
    <x v="2"/>
    <s v="156/91"/>
    <x v="1"/>
    <x v="1"/>
    <x v="1"/>
    <x v="2"/>
    <x v="1"/>
    <x v="0"/>
    <x v="1"/>
    <x v="1"/>
    <x v="1"/>
  </r>
  <r>
    <n v="1494"/>
    <n v="46"/>
    <x v="1"/>
    <n v="178"/>
    <n v="73"/>
    <x v="1110"/>
    <x v="1"/>
    <s v="142/95"/>
    <x v="2"/>
    <x v="0"/>
    <x v="2"/>
    <x v="0"/>
    <x v="1"/>
    <x v="1"/>
    <x v="0"/>
    <x v="1"/>
    <x v="2"/>
  </r>
  <r>
    <n v="1497"/>
    <n v="46"/>
    <x v="1"/>
    <n v="188"/>
    <n v="55"/>
    <x v="1111"/>
    <x v="1"/>
    <s v="149/79"/>
    <x v="1"/>
    <x v="1"/>
    <x v="2"/>
    <x v="3"/>
    <x v="1"/>
    <x v="1"/>
    <x v="1"/>
    <x v="0"/>
    <x v="1"/>
  </r>
  <r>
    <n v="1148"/>
    <n v="44"/>
    <x v="0"/>
    <n v="161"/>
    <n v="75"/>
    <x v="1112"/>
    <x v="2"/>
    <s v="147/104"/>
    <x v="2"/>
    <x v="1"/>
    <x v="1"/>
    <x v="0"/>
    <x v="1"/>
    <x v="0"/>
    <x v="1"/>
    <x v="0"/>
    <x v="1"/>
  </r>
  <r>
    <n v="1617"/>
    <n v="46"/>
    <x v="1"/>
    <n v="175"/>
    <n v="86"/>
    <x v="1113"/>
    <x v="0"/>
    <s v="141/95"/>
    <x v="1"/>
    <x v="1"/>
    <x v="2"/>
    <x v="3"/>
    <x v="0"/>
    <x v="1"/>
    <x v="0"/>
    <x v="1"/>
    <x v="0"/>
  </r>
  <r>
    <n v="1149"/>
    <n v="46"/>
    <x v="1"/>
    <n v="150"/>
    <n v="95"/>
    <x v="1114"/>
    <x v="0"/>
    <s v="152/72"/>
    <x v="2"/>
    <x v="1"/>
    <x v="1"/>
    <x v="3"/>
    <x v="0"/>
    <x v="0"/>
    <x v="1"/>
    <x v="1"/>
    <x v="1"/>
  </r>
  <r>
    <n v="1150"/>
    <n v="49"/>
    <x v="0"/>
    <n v="166"/>
    <n v="97"/>
    <x v="1115"/>
    <x v="0"/>
    <s v="128/79"/>
    <x v="0"/>
    <x v="1"/>
    <x v="1"/>
    <x v="1"/>
    <x v="0"/>
    <x v="0"/>
    <x v="1"/>
    <x v="1"/>
    <x v="1"/>
  </r>
  <r>
    <n v="1154"/>
    <n v="68"/>
    <x v="1"/>
    <n v="185"/>
    <n v="72"/>
    <x v="1116"/>
    <x v="2"/>
    <s v="141/106"/>
    <x v="1"/>
    <x v="0"/>
    <x v="1"/>
    <x v="1"/>
    <x v="1"/>
    <x v="0"/>
    <x v="0"/>
    <x v="1"/>
    <x v="1"/>
  </r>
  <r>
    <n v="1155"/>
    <n v="36"/>
    <x v="0"/>
    <n v="181"/>
    <n v="92"/>
    <x v="1117"/>
    <x v="2"/>
    <s v="113/82"/>
    <x v="1"/>
    <x v="0"/>
    <x v="1"/>
    <x v="2"/>
    <x v="1"/>
    <x v="0"/>
    <x v="0"/>
    <x v="1"/>
    <x v="1"/>
  </r>
  <r>
    <n v="1745"/>
    <n v="46"/>
    <x v="0"/>
    <n v="174"/>
    <n v="97"/>
    <x v="1118"/>
    <x v="1"/>
    <s v="137/74"/>
    <x v="1"/>
    <x v="1"/>
    <x v="2"/>
    <x v="3"/>
    <x v="0"/>
    <x v="0"/>
    <x v="1"/>
    <x v="1"/>
    <x v="2"/>
  </r>
  <r>
    <n v="1802"/>
    <n v="46"/>
    <x v="1"/>
    <n v="186"/>
    <n v="61"/>
    <x v="1119"/>
    <x v="1"/>
    <s v="120/71"/>
    <x v="0"/>
    <x v="1"/>
    <x v="2"/>
    <x v="1"/>
    <x v="1"/>
    <x v="1"/>
    <x v="1"/>
    <x v="0"/>
    <x v="2"/>
  </r>
  <r>
    <n v="1858"/>
    <n v="46"/>
    <x v="0"/>
    <n v="160"/>
    <n v="50"/>
    <x v="1120"/>
    <x v="2"/>
    <s v="158/98"/>
    <x v="2"/>
    <x v="1"/>
    <x v="2"/>
    <x v="2"/>
    <x v="0"/>
    <x v="1"/>
    <x v="0"/>
    <x v="1"/>
    <x v="1"/>
  </r>
  <r>
    <n v="1157"/>
    <n v="22"/>
    <x v="1"/>
    <n v="153"/>
    <n v="96"/>
    <x v="1121"/>
    <x v="2"/>
    <s v="146/76"/>
    <x v="1"/>
    <x v="1"/>
    <x v="1"/>
    <x v="1"/>
    <x v="1"/>
    <x v="1"/>
    <x v="1"/>
    <x v="1"/>
    <x v="0"/>
  </r>
  <r>
    <n v="1159"/>
    <n v="45"/>
    <x v="1"/>
    <n v="168"/>
    <n v="92"/>
    <x v="1122"/>
    <x v="0"/>
    <s v="130/80"/>
    <x v="2"/>
    <x v="1"/>
    <x v="1"/>
    <x v="1"/>
    <x v="0"/>
    <x v="1"/>
    <x v="1"/>
    <x v="1"/>
    <x v="1"/>
  </r>
  <r>
    <n v="74"/>
    <n v="45"/>
    <x v="1"/>
    <n v="170"/>
    <n v="90"/>
    <x v="1123"/>
    <x v="0"/>
    <s v="143/71"/>
    <x v="2"/>
    <x v="0"/>
    <x v="2"/>
    <x v="0"/>
    <x v="1"/>
    <x v="0"/>
    <x v="0"/>
    <x v="1"/>
    <x v="1"/>
  </r>
  <r>
    <n v="1160"/>
    <n v="59"/>
    <x v="0"/>
    <n v="184"/>
    <n v="74"/>
    <x v="1124"/>
    <x v="2"/>
    <s v="153/83"/>
    <x v="0"/>
    <x v="0"/>
    <x v="1"/>
    <x v="2"/>
    <x v="1"/>
    <x v="1"/>
    <x v="1"/>
    <x v="1"/>
    <x v="0"/>
  </r>
  <r>
    <n v="216"/>
    <n v="45"/>
    <x v="1"/>
    <n v="187"/>
    <n v="74"/>
    <x v="1125"/>
    <x v="1"/>
    <s v="159/83"/>
    <x v="1"/>
    <x v="1"/>
    <x v="2"/>
    <x v="2"/>
    <x v="0"/>
    <x v="1"/>
    <x v="1"/>
    <x v="0"/>
    <x v="2"/>
  </r>
  <r>
    <n v="1161"/>
    <n v="78"/>
    <x v="1"/>
    <n v="189"/>
    <n v="67"/>
    <x v="1126"/>
    <x v="1"/>
    <s v="143/103"/>
    <x v="2"/>
    <x v="0"/>
    <x v="0"/>
    <x v="0"/>
    <x v="0"/>
    <x v="0"/>
    <x v="1"/>
    <x v="0"/>
    <x v="0"/>
  </r>
  <r>
    <n v="1162"/>
    <n v="39"/>
    <x v="1"/>
    <n v="163"/>
    <n v="62"/>
    <x v="1127"/>
    <x v="2"/>
    <s v="134/73"/>
    <x v="2"/>
    <x v="1"/>
    <x v="1"/>
    <x v="3"/>
    <x v="1"/>
    <x v="0"/>
    <x v="1"/>
    <x v="0"/>
    <x v="1"/>
  </r>
  <r>
    <n v="1163"/>
    <n v="38"/>
    <x v="1"/>
    <n v="182"/>
    <n v="92"/>
    <x v="1128"/>
    <x v="0"/>
    <s v="135/85"/>
    <x v="2"/>
    <x v="1"/>
    <x v="1"/>
    <x v="3"/>
    <x v="0"/>
    <x v="1"/>
    <x v="1"/>
    <x v="0"/>
    <x v="1"/>
  </r>
  <r>
    <n v="1164"/>
    <n v="23"/>
    <x v="0"/>
    <n v="163"/>
    <n v="63"/>
    <x v="1129"/>
    <x v="1"/>
    <s v="119/71"/>
    <x v="0"/>
    <x v="0"/>
    <x v="1"/>
    <x v="0"/>
    <x v="0"/>
    <x v="1"/>
    <x v="0"/>
    <x v="0"/>
    <x v="1"/>
  </r>
  <r>
    <n v="1165"/>
    <n v="18"/>
    <x v="1"/>
    <n v="183"/>
    <n v="77"/>
    <x v="1130"/>
    <x v="0"/>
    <s v="144/88"/>
    <x v="0"/>
    <x v="1"/>
    <x v="1"/>
    <x v="3"/>
    <x v="1"/>
    <x v="1"/>
    <x v="0"/>
    <x v="0"/>
    <x v="1"/>
  </r>
  <r>
    <n v="449"/>
    <n v="45"/>
    <x v="1"/>
    <n v="167"/>
    <n v="91"/>
    <x v="1131"/>
    <x v="0"/>
    <s v="142/87"/>
    <x v="1"/>
    <x v="0"/>
    <x v="2"/>
    <x v="1"/>
    <x v="0"/>
    <x v="0"/>
    <x v="0"/>
    <x v="1"/>
    <x v="0"/>
  </r>
  <r>
    <n v="462"/>
    <n v="45"/>
    <x v="1"/>
    <n v="180"/>
    <n v="96"/>
    <x v="1132"/>
    <x v="0"/>
    <s v="144/102"/>
    <x v="0"/>
    <x v="1"/>
    <x v="2"/>
    <x v="3"/>
    <x v="0"/>
    <x v="1"/>
    <x v="0"/>
    <x v="0"/>
    <x v="0"/>
  </r>
  <r>
    <n v="541"/>
    <n v="45"/>
    <x v="1"/>
    <n v="161"/>
    <n v="88"/>
    <x v="1133"/>
    <x v="1"/>
    <s v="126/77"/>
    <x v="0"/>
    <x v="1"/>
    <x v="2"/>
    <x v="3"/>
    <x v="1"/>
    <x v="1"/>
    <x v="0"/>
    <x v="1"/>
    <x v="0"/>
  </r>
  <r>
    <n v="1167"/>
    <n v="58"/>
    <x v="1"/>
    <n v="173"/>
    <n v="77"/>
    <x v="1134"/>
    <x v="0"/>
    <s v="117/83"/>
    <x v="0"/>
    <x v="1"/>
    <x v="1"/>
    <x v="0"/>
    <x v="1"/>
    <x v="0"/>
    <x v="1"/>
    <x v="1"/>
    <x v="1"/>
  </r>
  <r>
    <n v="1168"/>
    <n v="29"/>
    <x v="0"/>
    <n v="178"/>
    <n v="76"/>
    <x v="1135"/>
    <x v="2"/>
    <s v="119/72"/>
    <x v="2"/>
    <x v="1"/>
    <x v="1"/>
    <x v="3"/>
    <x v="0"/>
    <x v="0"/>
    <x v="0"/>
    <x v="0"/>
    <x v="0"/>
  </r>
  <r>
    <n v="1173"/>
    <n v="31"/>
    <x v="1"/>
    <n v="168"/>
    <n v="81"/>
    <x v="1136"/>
    <x v="0"/>
    <s v="137/95"/>
    <x v="2"/>
    <x v="0"/>
    <x v="1"/>
    <x v="0"/>
    <x v="1"/>
    <x v="0"/>
    <x v="1"/>
    <x v="0"/>
    <x v="2"/>
  </r>
  <r>
    <n v="790"/>
    <n v="45"/>
    <x v="0"/>
    <n v="170"/>
    <n v="81"/>
    <x v="1137"/>
    <x v="2"/>
    <s v="122/85"/>
    <x v="1"/>
    <x v="0"/>
    <x v="2"/>
    <x v="0"/>
    <x v="0"/>
    <x v="0"/>
    <x v="1"/>
    <x v="0"/>
    <x v="0"/>
  </r>
  <r>
    <n v="1174"/>
    <n v="43"/>
    <x v="1"/>
    <n v="150"/>
    <n v="69"/>
    <x v="1138"/>
    <x v="0"/>
    <s v="119/73"/>
    <x v="1"/>
    <x v="0"/>
    <x v="1"/>
    <x v="2"/>
    <x v="1"/>
    <x v="1"/>
    <x v="1"/>
    <x v="1"/>
    <x v="2"/>
  </r>
  <r>
    <n v="885"/>
    <n v="45"/>
    <x v="1"/>
    <n v="174"/>
    <n v="61"/>
    <x v="1139"/>
    <x v="1"/>
    <s v="126/93"/>
    <x v="2"/>
    <x v="1"/>
    <x v="2"/>
    <x v="2"/>
    <x v="1"/>
    <x v="1"/>
    <x v="1"/>
    <x v="0"/>
    <x v="2"/>
  </r>
  <r>
    <n v="893"/>
    <n v="45"/>
    <x v="0"/>
    <n v="180"/>
    <n v="73"/>
    <x v="1140"/>
    <x v="0"/>
    <s v="145/102"/>
    <x v="2"/>
    <x v="0"/>
    <x v="2"/>
    <x v="2"/>
    <x v="0"/>
    <x v="1"/>
    <x v="0"/>
    <x v="1"/>
    <x v="2"/>
  </r>
  <r>
    <n v="947"/>
    <n v="45"/>
    <x v="1"/>
    <n v="175"/>
    <n v="59"/>
    <x v="1141"/>
    <x v="0"/>
    <s v="154/73"/>
    <x v="1"/>
    <x v="0"/>
    <x v="2"/>
    <x v="1"/>
    <x v="0"/>
    <x v="0"/>
    <x v="1"/>
    <x v="0"/>
    <x v="0"/>
  </r>
  <r>
    <n v="951"/>
    <n v="45"/>
    <x v="0"/>
    <n v="183"/>
    <n v="99"/>
    <x v="1142"/>
    <x v="1"/>
    <s v="135/96"/>
    <x v="2"/>
    <x v="0"/>
    <x v="2"/>
    <x v="1"/>
    <x v="1"/>
    <x v="0"/>
    <x v="0"/>
    <x v="1"/>
    <x v="0"/>
  </r>
  <r>
    <n v="1176"/>
    <n v="44"/>
    <x v="1"/>
    <n v="176"/>
    <n v="82"/>
    <x v="1143"/>
    <x v="2"/>
    <s v="116/85"/>
    <x v="1"/>
    <x v="1"/>
    <x v="1"/>
    <x v="2"/>
    <x v="1"/>
    <x v="0"/>
    <x v="0"/>
    <x v="1"/>
    <x v="1"/>
  </r>
  <r>
    <n v="959"/>
    <n v="45"/>
    <x v="0"/>
    <n v="179"/>
    <n v="66"/>
    <x v="1144"/>
    <x v="1"/>
    <s v="119/86"/>
    <x v="2"/>
    <x v="0"/>
    <x v="2"/>
    <x v="3"/>
    <x v="0"/>
    <x v="0"/>
    <x v="1"/>
    <x v="1"/>
    <x v="0"/>
  </r>
  <r>
    <n v="971"/>
    <n v="45"/>
    <x v="0"/>
    <n v="158"/>
    <n v="73"/>
    <x v="1145"/>
    <x v="2"/>
    <s v="110/98"/>
    <x v="1"/>
    <x v="1"/>
    <x v="2"/>
    <x v="0"/>
    <x v="1"/>
    <x v="0"/>
    <x v="0"/>
    <x v="1"/>
    <x v="1"/>
  </r>
  <r>
    <n v="1178"/>
    <n v="43"/>
    <x v="1"/>
    <n v="155"/>
    <n v="95"/>
    <x v="1146"/>
    <x v="0"/>
    <s v="128/97"/>
    <x v="0"/>
    <x v="0"/>
    <x v="1"/>
    <x v="1"/>
    <x v="1"/>
    <x v="1"/>
    <x v="1"/>
    <x v="0"/>
    <x v="1"/>
  </r>
  <r>
    <n v="1050"/>
    <n v="45"/>
    <x v="1"/>
    <n v="157"/>
    <n v="87"/>
    <x v="1147"/>
    <x v="2"/>
    <s v="146/83"/>
    <x v="0"/>
    <x v="1"/>
    <x v="2"/>
    <x v="1"/>
    <x v="0"/>
    <x v="0"/>
    <x v="1"/>
    <x v="1"/>
    <x v="1"/>
  </r>
  <r>
    <n v="1179"/>
    <n v="74"/>
    <x v="0"/>
    <n v="189"/>
    <n v="83"/>
    <x v="1148"/>
    <x v="0"/>
    <s v="126/97"/>
    <x v="1"/>
    <x v="0"/>
    <x v="0"/>
    <x v="0"/>
    <x v="0"/>
    <x v="1"/>
    <x v="1"/>
    <x v="0"/>
    <x v="0"/>
  </r>
  <r>
    <n v="1204"/>
    <n v="45"/>
    <x v="1"/>
    <n v="161"/>
    <n v="96"/>
    <x v="1149"/>
    <x v="2"/>
    <s v="124/91"/>
    <x v="0"/>
    <x v="0"/>
    <x v="2"/>
    <x v="1"/>
    <x v="0"/>
    <x v="0"/>
    <x v="1"/>
    <x v="0"/>
    <x v="0"/>
  </r>
  <r>
    <n v="1233"/>
    <n v="45"/>
    <x v="1"/>
    <n v="178"/>
    <n v="75"/>
    <x v="1150"/>
    <x v="0"/>
    <s v="145/72"/>
    <x v="0"/>
    <x v="1"/>
    <x v="2"/>
    <x v="2"/>
    <x v="1"/>
    <x v="1"/>
    <x v="1"/>
    <x v="1"/>
    <x v="0"/>
  </r>
  <r>
    <n v="1180"/>
    <n v="64"/>
    <x v="0"/>
    <n v="162"/>
    <n v="97"/>
    <x v="1151"/>
    <x v="0"/>
    <s v="128/106"/>
    <x v="2"/>
    <x v="0"/>
    <x v="1"/>
    <x v="2"/>
    <x v="1"/>
    <x v="0"/>
    <x v="1"/>
    <x v="0"/>
    <x v="0"/>
  </r>
  <r>
    <n v="1181"/>
    <n v="74"/>
    <x v="0"/>
    <n v="184"/>
    <n v="52"/>
    <x v="1152"/>
    <x v="1"/>
    <s v="132/89"/>
    <x v="1"/>
    <x v="0"/>
    <x v="0"/>
    <x v="0"/>
    <x v="1"/>
    <x v="1"/>
    <x v="1"/>
    <x v="1"/>
    <x v="0"/>
  </r>
  <r>
    <n v="1182"/>
    <n v="39"/>
    <x v="0"/>
    <n v="168"/>
    <n v="75"/>
    <x v="1153"/>
    <x v="2"/>
    <s v="122/82"/>
    <x v="2"/>
    <x v="1"/>
    <x v="1"/>
    <x v="2"/>
    <x v="0"/>
    <x v="1"/>
    <x v="0"/>
    <x v="1"/>
    <x v="0"/>
  </r>
  <r>
    <n v="1184"/>
    <n v="73"/>
    <x v="0"/>
    <n v="165"/>
    <n v="55"/>
    <x v="1154"/>
    <x v="2"/>
    <s v="157/84"/>
    <x v="1"/>
    <x v="0"/>
    <x v="0"/>
    <x v="1"/>
    <x v="1"/>
    <x v="1"/>
    <x v="1"/>
    <x v="0"/>
    <x v="2"/>
  </r>
  <r>
    <n v="1666"/>
    <n v="45"/>
    <x v="1"/>
    <n v="189"/>
    <n v="92"/>
    <x v="1155"/>
    <x v="1"/>
    <s v="127/105"/>
    <x v="2"/>
    <x v="0"/>
    <x v="2"/>
    <x v="0"/>
    <x v="0"/>
    <x v="1"/>
    <x v="1"/>
    <x v="0"/>
    <x v="0"/>
  </r>
  <r>
    <n v="1689"/>
    <n v="45"/>
    <x v="1"/>
    <n v="184"/>
    <n v="66"/>
    <x v="1156"/>
    <x v="0"/>
    <s v="147/81"/>
    <x v="1"/>
    <x v="1"/>
    <x v="2"/>
    <x v="3"/>
    <x v="1"/>
    <x v="1"/>
    <x v="1"/>
    <x v="0"/>
    <x v="1"/>
  </r>
  <r>
    <n v="1711"/>
    <n v="45"/>
    <x v="1"/>
    <n v="174"/>
    <n v="70"/>
    <x v="1157"/>
    <x v="0"/>
    <s v="129/82"/>
    <x v="0"/>
    <x v="1"/>
    <x v="2"/>
    <x v="0"/>
    <x v="0"/>
    <x v="0"/>
    <x v="0"/>
    <x v="1"/>
    <x v="0"/>
  </r>
  <r>
    <n v="1844"/>
    <n v="45"/>
    <x v="0"/>
    <n v="181"/>
    <n v="78"/>
    <x v="1158"/>
    <x v="1"/>
    <s v="111/84"/>
    <x v="1"/>
    <x v="1"/>
    <x v="2"/>
    <x v="1"/>
    <x v="0"/>
    <x v="0"/>
    <x v="1"/>
    <x v="1"/>
    <x v="1"/>
  </r>
  <r>
    <n v="39"/>
    <n v="44"/>
    <x v="0"/>
    <n v="169"/>
    <n v="71"/>
    <x v="1159"/>
    <x v="0"/>
    <s v="118/82"/>
    <x v="0"/>
    <x v="1"/>
    <x v="2"/>
    <x v="3"/>
    <x v="0"/>
    <x v="0"/>
    <x v="1"/>
    <x v="0"/>
    <x v="0"/>
  </r>
  <r>
    <n v="1185"/>
    <n v="47"/>
    <x v="0"/>
    <n v="159"/>
    <n v="65"/>
    <x v="1160"/>
    <x v="1"/>
    <s v="126/97"/>
    <x v="0"/>
    <x v="0"/>
    <x v="1"/>
    <x v="2"/>
    <x v="1"/>
    <x v="0"/>
    <x v="1"/>
    <x v="1"/>
    <x v="1"/>
  </r>
  <r>
    <n v="1186"/>
    <n v="60"/>
    <x v="1"/>
    <n v="174"/>
    <n v="73"/>
    <x v="1161"/>
    <x v="0"/>
    <s v="128/73"/>
    <x v="0"/>
    <x v="1"/>
    <x v="1"/>
    <x v="2"/>
    <x v="1"/>
    <x v="1"/>
    <x v="0"/>
    <x v="1"/>
    <x v="0"/>
  </r>
  <r>
    <n v="241"/>
    <n v="44"/>
    <x v="0"/>
    <n v="163"/>
    <n v="66"/>
    <x v="1162"/>
    <x v="2"/>
    <s v="126/81"/>
    <x v="2"/>
    <x v="1"/>
    <x v="2"/>
    <x v="1"/>
    <x v="0"/>
    <x v="1"/>
    <x v="0"/>
    <x v="0"/>
    <x v="0"/>
  </r>
  <r>
    <n v="1187"/>
    <n v="65"/>
    <x v="1"/>
    <n v="169"/>
    <n v="97"/>
    <x v="1163"/>
    <x v="0"/>
    <s v="131/91"/>
    <x v="2"/>
    <x v="1"/>
    <x v="1"/>
    <x v="1"/>
    <x v="0"/>
    <x v="0"/>
    <x v="0"/>
    <x v="1"/>
    <x v="1"/>
  </r>
  <r>
    <n v="443"/>
    <n v="44"/>
    <x v="0"/>
    <n v="150"/>
    <n v="71"/>
    <x v="1164"/>
    <x v="1"/>
    <s v="158/87"/>
    <x v="1"/>
    <x v="1"/>
    <x v="2"/>
    <x v="1"/>
    <x v="0"/>
    <x v="1"/>
    <x v="1"/>
    <x v="0"/>
    <x v="1"/>
  </r>
  <r>
    <n v="1188"/>
    <n v="78"/>
    <x v="1"/>
    <n v="180"/>
    <n v="88"/>
    <x v="1165"/>
    <x v="2"/>
    <s v="146/108"/>
    <x v="0"/>
    <x v="1"/>
    <x v="0"/>
    <x v="1"/>
    <x v="1"/>
    <x v="1"/>
    <x v="1"/>
    <x v="0"/>
    <x v="1"/>
  </r>
  <r>
    <n v="504"/>
    <n v="44"/>
    <x v="0"/>
    <n v="153"/>
    <n v="78"/>
    <x v="1166"/>
    <x v="2"/>
    <s v="112/76"/>
    <x v="1"/>
    <x v="1"/>
    <x v="2"/>
    <x v="0"/>
    <x v="0"/>
    <x v="1"/>
    <x v="1"/>
    <x v="1"/>
    <x v="0"/>
  </r>
  <r>
    <n v="1190"/>
    <n v="43"/>
    <x v="0"/>
    <n v="172"/>
    <n v="94"/>
    <x v="1167"/>
    <x v="0"/>
    <s v="153/109"/>
    <x v="0"/>
    <x v="1"/>
    <x v="1"/>
    <x v="1"/>
    <x v="1"/>
    <x v="1"/>
    <x v="0"/>
    <x v="0"/>
    <x v="2"/>
  </r>
  <r>
    <n v="1192"/>
    <n v="18"/>
    <x v="1"/>
    <n v="171"/>
    <n v="54"/>
    <x v="1168"/>
    <x v="1"/>
    <s v="111/97"/>
    <x v="0"/>
    <x v="0"/>
    <x v="1"/>
    <x v="0"/>
    <x v="1"/>
    <x v="1"/>
    <x v="1"/>
    <x v="1"/>
    <x v="1"/>
  </r>
  <r>
    <n v="1193"/>
    <n v="25"/>
    <x v="1"/>
    <n v="186"/>
    <n v="74"/>
    <x v="1169"/>
    <x v="1"/>
    <s v="119/91"/>
    <x v="2"/>
    <x v="1"/>
    <x v="1"/>
    <x v="3"/>
    <x v="1"/>
    <x v="1"/>
    <x v="0"/>
    <x v="1"/>
    <x v="0"/>
  </r>
  <r>
    <n v="963"/>
    <n v="44"/>
    <x v="1"/>
    <n v="150"/>
    <n v="53"/>
    <x v="1170"/>
    <x v="0"/>
    <s v="133/94"/>
    <x v="2"/>
    <x v="1"/>
    <x v="2"/>
    <x v="1"/>
    <x v="1"/>
    <x v="1"/>
    <x v="0"/>
    <x v="0"/>
    <x v="0"/>
  </r>
  <r>
    <n v="1195"/>
    <n v="52"/>
    <x v="1"/>
    <n v="156"/>
    <n v="67"/>
    <x v="1171"/>
    <x v="1"/>
    <s v="112/76"/>
    <x v="0"/>
    <x v="1"/>
    <x v="1"/>
    <x v="2"/>
    <x v="1"/>
    <x v="1"/>
    <x v="0"/>
    <x v="0"/>
    <x v="0"/>
  </r>
  <r>
    <n v="1196"/>
    <n v="78"/>
    <x v="1"/>
    <n v="163"/>
    <n v="96"/>
    <x v="1172"/>
    <x v="1"/>
    <s v="153/77"/>
    <x v="0"/>
    <x v="0"/>
    <x v="0"/>
    <x v="1"/>
    <x v="1"/>
    <x v="0"/>
    <x v="0"/>
    <x v="0"/>
    <x v="0"/>
  </r>
  <r>
    <n v="1198"/>
    <n v="32"/>
    <x v="1"/>
    <n v="165"/>
    <n v="51"/>
    <x v="1173"/>
    <x v="0"/>
    <s v="144/86"/>
    <x v="1"/>
    <x v="1"/>
    <x v="1"/>
    <x v="0"/>
    <x v="0"/>
    <x v="0"/>
    <x v="1"/>
    <x v="0"/>
    <x v="2"/>
  </r>
  <r>
    <n v="1202"/>
    <n v="31"/>
    <x v="0"/>
    <n v="157"/>
    <n v="96"/>
    <x v="1174"/>
    <x v="2"/>
    <s v="153/106"/>
    <x v="0"/>
    <x v="0"/>
    <x v="1"/>
    <x v="1"/>
    <x v="1"/>
    <x v="0"/>
    <x v="0"/>
    <x v="0"/>
    <x v="1"/>
  </r>
  <r>
    <n v="1463"/>
    <n v="44"/>
    <x v="1"/>
    <n v="182"/>
    <n v="93"/>
    <x v="1175"/>
    <x v="2"/>
    <s v="130/79"/>
    <x v="0"/>
    <x v="0"/>
    <x v="2"/>
    <x v="2"/>
    <x v="0"/>
    <x v="0"/>
    <x v="0"/>
    <x v="0"/>
    <x v="2"/>
  </r>
  <r>
    <n v="1471"/>
    <n v="44"/>
    <x v="0"/>
    <n v="158"/>
    <n v="79"/>
    <x v="1176"/>
    <x v="2"/>
    <s v="151/92"/>
    <x v="0"/>
    <x v="1"/>
    <x v="2"/>
    <x v="3"/>
    <x v="0"/>
    <x v="0"/>
    <x v="0"/>
    <x v="1"/>
    <x v="2"/>
  </r>
  <r>
    <n v="1203"/>
    <n v="43"/>
    <x v="0"/>
    <n v="182"/>
    <n v="61"/>
    <x v="1177"/>
    <x v="0"/>
    <s v="122/96"/>
    <x v="2"/>
    <x v="0"/>
    <x v="1"/>
    <x v="0"/>
    <x v="1"/>
    <x v="1"/>
    <x v="1"/>
    <x v="0"/>
    <x v="2"/>
  </r>
  <r>
    <n v="1205"/>
    <n v="40"/>
    <x v="0"/>
    <n v="160"/>
    <n v="62"/>
    <x v="1178"/>
    <x v="0"/>
    <s v="139/109"/>
    <x v="1"/>
    <x v="0"/>
    <x v="1"/>
    <x v="3"/>
    <x v="1"/>
    <x v="0"/>
    <x v="1"/>
    <x v="0"/>
    <x v="2"/>
  </r>
  <r>
    <n v="1598"/>
    <n v="44"/>
    <x v="0"/>
    <n v="161"/>
    <n v="56"/>
    <x v="1179"/>
    <x v="0"/>
    <s v="115/85"/>
    <x v="0"/>
    <x v="0"/>
    <x v="2"/>
    <x v="0"/>
    <x v="0"/>
    <x v="0"/>
    <x v="1"/>
    <x v="1"/>
    <x v="1"/>
  </r>
  <r>
    <n v="1600"/>
    <n v="44"/>
    <x v="1"/>
    <n v="160"/>
    <n v="80"/>
    <x v="1180"/>
    <x v="2"/>
    <s v="147/106"/>
    <x v="0"/>
    <x v="0"/>
    <x v="2"/>
    <x v="1"/>
    <x v="1"/>
    <x v="0"/>
    <x v="0"/>
    <x v="1"/>
    <x v="2"/>
  </r>
  <r>
    <n v="1827"/>
    <n v="44"/>
    <x v="1"/>
    <n v="169"/>
    <n v="85"/>
    <x v="1181"/>
    <x v="1"/>
    <s v="124/73"/>
    <x v="1"/>
    <x v="1"/>
    <x v="2"/>
    <x v="0"/>
    <x v="0"/>
    <x v="1"/>
    <x v="1"/>
    <x v="1"/>
    <x v="2"/>
  </r>
  <r>
    <n v="1207"/>
    <n v="41"/>
    <x v="1"/>
    <n v="176"/>
    <n v="96"/>
    <x v="1182"/>
    <x v="0"/>
    <s v="153/103"/>
    <x v="2"/>
    <x v="1"/>
    <x v="1"/>
    <x v="2"/>
    <x v="0"/>
    <x v="0"/>
    <x v="0"/>
    <x v="1"/>
    <x v="1"/>
  </r>
  <r>
    <n v="70"/>
    <n v="43"/>
    <x v="1"/>
    <n v="173"/>
    <n v="85"/>
    <x v="1183"/>
    <x v="1"/>
    <s v="135/85"/>
    <x v="2"/>
    <x v="0"/>
    <x v="2"/>
    <x v="0"/>
    <x v="1"/>
    <x v="1"/>
    <x v="0"/>
    <x v="0"/>
    <x v="0"/>
  </r>
  <r>
    <n v="1209"/>
    <n v="62"/>
    <x v="1"/>
    <n v="166"/>
    <n v="68"/>
    <x v="1184"/>
    <x v="0"/>
    <s v="151/88"/>
    <x v="2"/>
    <x v="0"/>
    <x v="1"/>
    <x v="1"/>
    <x v="0"/>
    <x v="0"/>
    <x v="1"/>
    <x v="0"/>
    <x v="0"/>
  </r>
  <r>
    <n v="122"/>
    <n v="43"/>
    <x v="1"/>
    <n v="174"/>
    <n v="98"/>
    <x v="1185"/>
    <x v="0"/>
    <s v="140/76"/>
    <x v="2"/>
    <x v="0"/>
    <x v="2"/>
    <x v="0"/>
    <x v="1"/>
    <x v="0"/>
    <x v="1"/>
    <x v="1"/>
    <x v="1"/>
  </r>
  <r>
    <n v="181"/>
    <n v="43"/>
    <x v="0"/>
    <n v="174"/>
    <n v="59"/>
    <x v="1186"/>
    <x v="1"/>
    <s v="156/84"/>
    <x v="2"/>
    <x v="0"/>
    <x v="2"/>
    <x v="3"/>
    <x v="0"/>
    <x v="1"/>
    <x v="1"/>
    <x v="0"/>
    <x v="2"/>
  </r>
  <r>
    <n v="189"/>
    <n v="43"/>
    <x v="1"/>
    <n v="166"/>
    <n v="94"/>
    <x v="1187"/>
    <x v="1"/>
    <s v="142/98"/>
    <x v="1"/>
    <x v="1"/>
    <x v="2"/>
    <x v="1"/>
    <x v="0"/>
    <x v="1"/>
    <x v="0"/>
    <x v="0"/>
    <x v="2"/>
  </r>
  <r>
    <n v="299"/>
    <n v="43"/>
    <x v="0"/>
    <n v="150"/>
    <n v="66"/>
    <x v="1188"/>
    <x v="2"/>
    <s v="123/85"/>
    <x v="0"/>
    <x v="0"/>
    <x v="2"/>
    <x v="3"/>
    <x v="1"/>
    <x v="0"/>
    <x v="1"/>
    <x v="1"/>
    <x v="2"/>
  </r>
  <r>
    <n v="1211"/>
    <n v="31"/>
    <x v="1"/>
    <n v="182"/>
    <n v="88"/>
    <x v="1189"/>
    <x v="1"/>
    <s v="142/97"/>
    <x v="1"/>
    <x v="1"/>
    <x v="1"/>
    <x v="2"/>
    <x v="0"/>
    <x v="0"/>
    <x v="1"/>
    <x v="0"/>
    <x v="1"/>
  </r>
  <r>
    <n v="360"/>
    <n v="43"/>
    <x v="0"/>
    <n v="169"/>
    <n v="93"/>
    <x v="1190"/>
    <x v="1"/>
    <s v="150/100"/>
    <x v="2"/>
    <x v="0"/>
    <x v="2"/>
    <x v="2"/>
    <x v="0"/>
    <x v="1"/>
    <x v="1"/>
    <x v="1"/>
    <x v="1"/>
  </r>
  <r>
    <n v="507"/>
    <n v="43"/>
    <x v="1"/>
    <n v="173"/>
    <n v="85"/>
    <x v="1191"/>
    <x v="0"/>
    <s v="112/98"/>
    <x v="2"/>
    <x v="1"/>
    <x v="2"/>
    <x v="2"/>
    <x v="0"/>
    <x v="1"/>
    <x v="1"/>
    <x v="1"/>
    <x v="2"/>
  </r>
  <r>
    <n v="1213"/>
    <n v="73"/>
    <x v="0"/>
    <n v="177"/>
    <n v="95"/>
    <x v="1192"/>
    <x v="0"/>
    <s v="145/86"/>
    <x v="1"/>
    <x v="0"/>
    <x v="0"/>
    <x v="2"/>
    <x v="0"/>
    <x v="1"/>
    <x v="1"/>
    <x v="0"/>
    <x v="0"/>
  </r>
  <r>
    <n v="1215"/>
    <n v="24"/>
    <x v="1"/>
    <n v="154"/>
    <n v="94"/>
    <x v="1193"/>
    <x v="0"/>
    <s v="111/100"/>
    <x v="1"/>
    <x v="1"/>
    <x v="1"/>
    <x v="1"/>
    <x v="1"/>
    <x v="1"/>
    <x v="1"/>
    <x v="1"/>
    <x v="1"/>
  </r>
  <r>
    <n v="599"/>
    <n v="43"/>
    <x v="1"/>
    <n v="179"/>
    <n v="75"/>
    <x v="1194"/>
    <x v="2"/>
    <s v="140/106"/>
    <x v="1"/>
    <x v="0"/>
    <x v="2"/>
    <x v="2"/>
    <x v="1"/>
    <x v="0"/>
    <x v="0"/>
    <x v="1"/>
    <x v="1"/>
  </r>
  <r>
    <n v="630"/>
    <n v="43"/>
    <x v="1"/>
    <n v="152"/>
    <n v="91"/>
    <x v="1195"/>
    <x v="0"/>
    <s v="113/78"/>
    <x v="2"/>
    <x v="0"/>
    <x v="2"/>
    <x v="2"/>
    <x v="0"/>
    <x v="0"/>
    <x v="1"/>
    <x v="0"/>
    <x v="1"/>
  </r>
  <r>
    <n v="649"/>
    <n v="43"/>
    <x v="0"/>
    <n v="183"/>
    <n v="91"/>
    <x v="1196"/>
    <x v="0"/>
    <s v="137/108"/>
    <x v="2"/>
    <x v="1"/>
    <x v="2"/>
    <x v="0"/>
    <x v="1"/>
    <x v="0"/>
    <x v="1"/>
    <x v="1"/>
    <x v="0"/>
  </r>
  <r>
    <n v="1216"/>
    <n v="20"/>
    <x v="0"/>
    <n v="182"/>
    <n v="93"/>
    <x v="1197"/>
    <x v="1"/>
    <s v="153/102"/>
    <x v="1"/>
    <x v="0"/>
    <x v="1"/>
    <x v="2"/>
    <x v="1"/>
    <x v="1"/>
    <x v="1"/>
    <x v="0"/>
    <x v="1"/>
  </r>
  <r>
    <n v="1218"/>
    <n v="40"/>
    <x v="1"/>
    <n v="171"/>
    <n v="90"/>
    <x v="1198"/>
    <x v="2"/>
    <s v="153/81"/>
    <x v="0"/>
    <x v="1"/>
    <x v="1"/>
    <x v="1"/>
    <x v="0"/>
    <x v="0"/>
    <x v="0"/>
    <x v="1"/>
    <x v="0"/>
  </r>
  <r>
    <n v="722"/>
    <n v="43"/>
    <x v="1"/>
    <n v="164"/>
    <n v="52"/>
    <x v="1199"/>
    <x v="0"/>
    <s v="143/72"/>
    <x v="2"/>
    <x v="0"/>
    <x v="2"/>
    <x v="0"/>
    <x v="0"/>
    <x v="0"/>
    <x v="1"/>
    <x v="0"/>
    <x v="0"/>
  </r>
  <r>
    <n v="724"/>
    <n v="43"/>
    <x v="0"/>
    <n v="168"/>
    <n v="81"/>
    <x v="1200"/>
    <x v="0"/>
    <s v="132/89"/>
    <x v="2"/>
    <x v="0"/>
    <x v="2"/>
    <x v="1"/>
    <x v="0"/>
    <x v="0"/>
    <x v="1"/>
    <x v="1"/>
    <x v="0"/>
  </r>
  <r>
    <n v="873"/>
    <n v="43"/>
    <x v="0"/>
    <n v="154"/>
    <n v="91"/>
    <x v="1201"/>
    <x v="0"/>
    <s v="130/103"/>
    <x v="0"/>
    <x v="1"/>
    <x v="2"/>
    <x v="3"/>
    <x v="1"/>
    <x v="0"/>
    <x v="1"/>
    <x v="1"/>
    <x v="1"/>
  </r>
  <r>
    <n v="1219"/>
    <n v="63"/>
    <x v="1"/>
    <n v="154"/>
    <n v="50"/>
    <x v="1202"/>
    <x v="1"/>
    <s v="158/93"/>
    <x v="2"/>
    <x v="1"/>
    <x v="1"/>
    <x v="3"/>
    <x v="0"/>
    <x v="0"/>
    <x v="1"/>
    <x v="1"/>
    <x v="0"/>
  </r>
  <r>
    <n v="1220"/>
    <n v="60"/>
    <x v="1"/>
    <n v="151"/>
    <n v="92"/>
    <x v="1203"/>
    <x v="1"/>
    <s v="133/80"/>
    <x v="2"/>
    <x v="1"/>
    <x v="1"/>
    <x v="2"/>
    <x v="0"/>
    <x v="1"/>
    <x v="0"/>
    <x v="1"/>
    <x v="2"/>
  </r>
  <r>
    <n v="1221"/>
    <n v="64"/>
    <x v="1"/>
    <n v="179"/>
    <n v="71"/>
    <x v="1204"/>
    <x v="1"/>
    <s v="122/96"/>
    <x v="1"/>
    <x v="0"/>
    <x v="1"/>
    <x v="0"/>
    <x v="1"/>
    <x v="1"/>
    <x v="0"/>
    <x v="1"/>
    <x v="1"/>
  </r>
  <r>
    <n v="1169"/>
    <n v="43"/>
    <x v="0"/>
    <n v="168"/>
    <n v="81"/>
    <x v="1205"/>
    <x v="2"/>
    <s v="147/98"/>
    <x v="1"/>
    <x v="1"/>
    <x v="2"/>
    <x v="3"/>
    <x v="1"/>
    <x v="1"/>
    <x v="0"/>
    <x v="1"/>
    <x v="1"/>
  </r>
  <r>
    <n v="1223"/>
    <n v="62"/>
    <x v="1"/>
    <n v="153"/>
    <n v="68"/>
    <x v="1206"/>
    <x v="0"/>
    <s v="117/89"/>
    <x v="1"/>
    <x v="0"/>
    <x v="1"/>
    <x v="1"/>
    <x v="0"/>
    <x v="1"/>
    <x v="0"/>
    <x v="1"/>
    <x v="0"/>
  </r>
  <r>
    <n v="1224"/>
    <n v="35"/>
    <x v="0"/>
    <n v="182"/>
    <n v="67"/>
    <x v="1207"/>
    <x v="0"/>
    <s v="117/78"/>
    <x v="0"/>
    <x v="1"/>
    <x v="1"/>
    <x v="2"/>
    <x v="0"/>
    <x v="0"/>
    <x v="0"/>
    <x v="1"/>
    <x v="2"/>
  </r>
  <r>
    <n v="1226"/>
    <n v="55"/>
    <x v="1"/>
    <n v="169"/>
    <n v="77"/>
    <x v="1208"/>
    <x v="0"/>
    <s v="137/71"/>
    <x v="2"/>
    <x v="0"/>
    <x v="1"/>
    <x v="1"/>
    <x v="0"/>
    <x v="0"/>
    <x v="1"/>
    <x v="0"/>
    <x v="2"/>
  </r>
  <r>
    <n v="1228"/>
    <n v="68"/>
    <x v="1"/>
    <n v="164"/>
    <n v="82"/>
    <x v="1209"/>
    <x v="2"/>
    <s v="122/90"/>
    <x v="0"/>
    <x v="1"/>
    <x v="1"/>
    <x v="3"/>
    <x v="1"/>
    <x v="1"/>
    <x v="1"/>
    <x v="0"/>
    <x v="0"/>
  </r>
  <r>
    <n v="1210"/>
    <n v="43"/>
    <x v="1"/>
    <n v="155"/>
    <n v="84"/>
    <x v="1210"/>
    <x v="1"/>
    <s v="117/108"/>
    <x v="2"/>
    <x v="1"/>
    <x v="2"/>
    <x v="1"/>
    <x v="0"/>
    <x v="1"/>
    <x v="1"/>
    <x v="0"/>
    <x v="1"/>
  </r>
  <r>
    <n v="1230"/>
    <n v="42"/>
    <x v="1"/>
    <n v="163"/>
    <n v="77"/>
    <x v="1211"/>
    <x v="2"/>
    <s v="144/92"/>
    <x v="2"/>
    <x v="1"/>
    <x v="1"/>
    <x v="0"/>
    <x v="0"/>
    <x v="1"/>
    <x v="1"/>
    <x v="0"/>
    <x v="2"/>
  </r>
  <r>
    <n v="1270"/>
    <n v="43"/>
    <x v="1"/>
    <n v="187"/>
    <n v="72"/>
    <x v="1212"/>
    <x v="1"/>
    <s v="115/108"/>
    <x v="0"/>
    <x v="0"/>
    <x v="2"/>
    <x v="3"/>
    <x v="0"/>
    <x v="1"/>
    <x v="1"/>
    <x v="1"/>
    <x v="1"/>
  </r>
  <r>
    <n v="1234"/>
    <n v="27"/>
    <x v="0"/>
    <n v="169"/>
    <n v="84"/>
    <x v="1213"/>
    <x v="0"/>
    <s v="114/72"/>
    <x v="0"/>
    <x v="1"/>
    <x v="1"/>
    <x v="3"/>
    <x v="0"/>
    <x v="0"/>
    <x v="0"/>
    <x v="1"/>
    <x v="2"/>
  </r>
  <r>
    <n v="1332"/>
    <n v="43"/>
    <x v="1"/>
    <n v="158"/>
    <n v="85"/>
    <x v="1214"/>
    <x v="1"/>
    <s v="118/77"/>
    <x v="2"/>
    <x v="1"/>
    <x v="2"/>
    <x v="1"/>
    <x v="0"/>
    <x v="0"/>
    <x v="0"/>
    <x v="1"/>
    <x v="1"/>
  </r>
  <r>
    <n v="1236"/>
    <n v="74"/>
    <x v="1"/>
    <n v="173"/>
    <n v="84"/>
    <x v="1215"/>
    <x v="1"/>
    <s v="111/106"/>
    <x v="0"/>
    <x v="1"/>
    <x v="0"/>
    <x v="3"/>
    <x v="0"/>
    <x v="0"/>
    <x v="1"/>
    <x v="0"/>
    <x v="1"/>
  </r>
  <r>
    <n v="1414"/>
    <n v="43"/>
    <x v="0"/>
    <n v="153"/>
    <n v="85"/>
    <x v="1216"/>
    <x v="2"/>
    <s v="132/79"/>
    <x v="1"/>
    <x v="0"/>
    <x v="2"/>
    <x v="1"/>
    <x v="1"/>
    <x v="0"/>
    <x v="1"/>
    <x v="1"/>
    <x v="1"/>
  </r>
  <r>
    <n v="1509"/>
    <n v="43"/>
    <x v="0"/>
    <n v="166"/>
    <n v="87"/>
    <x v="1217"/>
    <x v="2"/>
    <s v="134/106"/>
    <x v="1"/>
    <x v="0"/>
    <x v="2"/>
    <x v="3"/>
    <x v="0"/>
    <x v="0"/>
    <x v="0"/>
    <x v="1"/>
    <x v="1"/>
  </r>
  <r>
    <n v="1240"/>
    <n v="43"/>
    <x v="0"/>
    <n v="175"/>
    <n v="62"/>
    <x v="1218"/>
    <x v="0"/>
    <s v="145/107"/>
    <x v="2"/>
    <x v="0"/>
    <x v="1"/>
    <x v="2"/>
    <x v="0"/>
    <x v="1"/>
    <x v="1"/>
    <x v="1"/>
    <x v="0"/>
  </r>
  <r>
    <n v="1527"/>
    <n v="43"/>
    <x v="0"/>
    <n v="168"/>
    <n v="53"/>
    <x v="1219"/>
    <x v="1"/>
    <s v="140/95"/>
    <x v="1"/>
    <x v="1"/>
    <x v="2"/>
    <x v="1"/>
    <x v="1"/>
    <x v="0"/>
    <x v="1"/>
    <x v="0"/>
    <x v="0"/>
  </r>
  <r>
    <n v="1241"/>
    <n v="79"/>
    <x v="1"/>
    <n v="178"/>
    <n v="72"/>
    <x v="1220"/>
    <x v="0"/>
    <s v="134/91"/>
    <x v="2"/>
    <x v="0"/>
    <x v="0"/>
    <x v="0"/>
    <x v="0"/>
    <x v="0"/>
    <x v="1"/>
    <x v="1"/>
    <x v="2"/>
  </r>
  <r>
    <n v="1587"/>
    <n v="43"/>
    <x v="1"/>
    <n v="178"/>
    <n v="79"/>
    <x v="1221"/>
    <x v="2"/>
    <s v="125/86"/>
    <x v="0"/>
    <x v="1"/>
    <x v="2"/>
    <x v="3"/>
    <x v="0"/>
    <x v="1"/>
    <x v="1"/>
    <x v="1"/>
    <x v="0"/>
  </r>
  <r>
    <n v="1250"/>
    <n v="20"/>
    <x v="0"/>
    <n v="175"/>
    <n v="93"/>
    <x v="1222"/>
    <x v="2"/>
    <s v="126/90"/>
    <x v="1"/>
    <x v="0"/>
    <x v="1"/>
    <x v="0"/>
    <x v="1"/>
    <x v="1"/>
    <x v="1"/>
    <x v="1"/>
    <x v="0"/>
  </r>
  <r>
    <n v="1252"/>
    <n v="62"/>
    <x v="1"/>
    <n v="176"/>
    <n v="70"/>
    <x v="1223"/>
    <x v="0"/>
    <s v="131/81"/>
    <x v="0"/>
    <x v="1"/>
    <x v="1"/>
    <x v="1"/>
    <x v="1"/>
    <x v="1"/>
    <x v="0"/>
    <x v="0"/>
    <x v="0"/>
  </r>
  <r>
    <n v="1800"/>
    <n v="43"/>
    <x v="1"/>
    <n v="184"/>
    <n v="66"/>
    <x v="1224"/>
    <x v="1"/>
    <s v="149/70"/>
    <x v="2"/>
    <x v="0"/>
    <x v="2"/>
    <x v="0"/>
    <x v="1"/>
    <x v="1"/>
    <x v="1"/>
    <x v="0"/>
    <x v="0"/>
  </r>
  <r>
    <n v="1254"/>
    <n v="64"/>
    <x v="0"/>
    <n v="156"/>
    <n v="89"/>
    <x v="1225"/>
    <x v="0"/>
    <s v="135/74"/>
    <x v="1"/>
    <x v="1"/>
    <x v="1"/>
    <x v="3"/>
    <x v="0"/>
    <x v="0"/>
    <x v="1"/>
    <x v="1"/>
    <x v="0"/>
  </r>
  <r>
    <n v="1857"/>
    <n v="43"/>
    <x v="1"/>
    <n v="180"/>
    <n v="90"/>
    <x v="1226"/>
    <x v="0"/>
    <s v="130/104"/>
    <x v="1"/>
    <x v="1"/>
    <x v="2"/>
    <x v="3"/>
    <x v="0"/>
    <x v="1"/>
    <x v="0"/>
    <x v="0"/>
    <x v="0"/>
  </r>
  <r>
    <n v="1894"/>
    <n v="43"/>
    <x v="0"/>
    <n v="167"/>
    <n v="75"/>
    <x v="1227"/>
    <x v="0"/>
    <s v="112/109"/>
    <x v="1"/>
    <x v="0"/>
    <x v="2"/>
    <x v="3"/>
    <x v="1"/>
    <x v="1"/>
    <x v="0"/>
    <x v="1"/>
    <x v="0"/>
  </r>
  <r>
    <n v="1954"/>
    <n v="43"/>
    <x v="1"/>
    <n v="171"/>
    <n v="76"/>
    <x v="1228"/>
    <x v="1"/>
    <s v="159/89"/>
    <x v="0"/>
    <x v="1"/>
    <x v="2"/>
    <x v="0"/>
    <x v="1"/>
    <x v="0"/>
    <x v="1"/>
    <x v="0"/>
    <x v="2"/>
  </r>
  <r>
    <n v="1957"/>
    <n v="43"/>
    <x v="0"/>
    <n v="169"/>
    <n v="86"/>
    <x v="1229"/>
    <x v="0"/>
    <s v="141/70"/>
    <x v="0"/>
    <x v="0"/>
    <x v="2"/>
    <x v="3"/>
    <x v="1"/>
    <x v="0"/>
    <x v="0"/>
    <x v="1"/>
    <x v="1"/>
  </r>
  <r>
    <n v="1255"/>
    <n v="53"/>
    <x v="1"/>
    <n v="152"/>
    <n v="70"/>
    <x v="1230"/>
    <x v="1"/>
    <s v="118/109"/>
    <x v="1"/>
    <x v="1"/>
    <x v="1"/>
    <x v="0"/>
    <x v="1"/>
    <x v="0"/>
    <x v="1"/>
    <x v="0"/>
    <x v="2"/>
  </r>
  <r>
    <n v="1257"/>
    <n v="39"/>
    <x v="1"/>
    <n v="183"/>
    <n v="90"/>
    <x v="1231"/>
    <x v="1"/>
    <s v="135/98"/>
    <x v="0"/>
    <x v="1"/>
    <x v="1"/>
    <x v="3"/>
    <x v="1"/>
    <x v="1"/>
    <x v="0"/>
    <x v="1"/>
    <x v="0"/>
  </r>
  <r>
    <n v="64"/>
    <n v="42"/>
    <x v="1"/>
    <n v="168"/>
    <n v="86"/>
    <x v="1232"/>
    <x v="2"/>
    <s v="118/99"/>
    <x v="2"/>
    <x v="0"/>
    <x v="2"/>
    <x v="3"/>
    <x v="0"/>
    <x v="0"/>
    <x v="0"/>
    <x v="1"/>
    <x v="1"/>
  </r>
  <r>
    <n v="1258"/>
    <n v="51"/>
    <x v="0"/>
    <n v="174"/>
    <n v="50"/>
    <x v="1233"/>
    <x v="0"/>
    <s v="128/77"/>
    <x v="1"/>
    <x v="1"/>
    <x v="1"/>
    <x v="3"/>
    <x v="1"/>
    <x v="0"/>
    <x v="0"/>
    <x v="0"/>
    <x v="1"/>
  </r>
  <r>
    <n v="133"/>
    <n v="42"/>
    <x v="1"/>
    <n v="168"/>
    <n v="99"/>
    <x v="1234"/>
    <x v="1"/>
    <s v="130/103"/>
    <x v="0"/>
    <x v="0"/>
    <x v="2"/>
    <x v="1"/>
    <x v="0"/>
    <x v="0"/>
    <x v="1"/>
    <x v="0"/>
    <x v="2"/>
  </r>
  <r>
    <n v="1262"/>
    <n v="66"/>
    <x v="0"/>
    <n v="173"/>
    <n v="92"/>
    <x v="1235"/>
    <x v="0"/>
    <s v="125/86"/>
    <x v="1"/>
    <x v="1"/>
    <x v="1"/>
    <x v="1"/>
    <x v="0"/>
    <x v="1"/>
    <x v="0"/>
    <x v="0"/>
    <x v="0"/>
  </r>
  <r>
    <n v="350"/>
    <n v="42"/>
    <x v="0"/>
    <n v="175"/>
    <n v="78"/>
    <x v="1236"/>
    <x v="1"/>
    <s v="142/82"/>
    <x v="2"/>
    <x v="1"/>
    <x v="2"/>
    <x v="3"/>
    <x v="1"/>
    <x v="0"/>
    <x v="0"/>
    <x v="0"/>
    <x v="1"/>
  </r>
  <r>
    <n v="1264"/>
    <n v="36"/>
    <x v="1"/>
    <n v="187"/>
    <n v="72"/>
    <x v="1237"/>
    <x v="0"/>
    <s v="141/89"/>
    <x v="2"/>
    <x v="0"/>
    <x v="1"/>
    <x v="2"/>
    <x v="1"/>
    <x v="1"/>
    <x v="0"/>
    <x v="1"/>
    <x v="0"/>
  </r>
  <r>
    <n v="1267"/>
    <n v="54"/>
    <x v="0"/>
    <n v="188"/>
    <n v="62"/>
    <x v="1238"/>
    <x v="0"/>
    <s v="110/98"/>
    <x v="0"/>
    <x v="1"/>
    <x v="1"/>
    <x v="2"/>
    <x v="1"/>
    <x v="1"/>
    <x v="0"/>
    <x v="1"/>
    <x v="0"/>
  </r>
  <r>
    <n v="489"/>
    <n v="42"/>
    <x v="0"/>
    <n v="171"/>
    <n v="65"/>
    <x v="1239"/>
    <x v="0"/>
    <s v="118/75"/>
    <x v="2"/>
    <x v="0"/>
    <x v="2"/>
    <x v="1"/>
    <x v="1"/>
    <x v="0"/>
    <x v="0"/>
    <x v="1"/>
    <x v="1"/>
  </r>
  <r>
    <n v="522"/>
    <n v="42"/>
    <x v="1"/>
    <n v="170"/>
    <n v="71"/>
    <x v="1240"/>
    <x v="2"/>
    <s v="132/83"/>
    <x v="0"/>
    <x v="0"/>
    <x v="2"/>
    <x v="3"/>
    <x v="1"/>
    <x v="0"/>
    <x v="0"/>
    <x v="0"/>
    <x v="0"/>
  </r>
  <r>
    <n v="548"/>
    <n v="42"/>
    <x v="1"/>
    <n v="185"/>
    <n v="58"/>
    <x v="1241"/>
    <x v="1"/>
    <s v="128/97"/>
    <x v="2"/>
    <x v="1"/>
    <x v="2"/>
    <x v="1"/>
    <x v="1"/>
    <x v="1"/>
    <x v="0"/>
    <x v="0"/>
    <x v="0"/>
  </r>
  <r>
    <n v="1268"/>
    <n v="23"/>
    <x v="1"/>
    <n v="176"/>
    <n v="92"/>
    <x v="1242"/>
    <x v="0"/>
    <s v="138/88"/>
    <x v="2"/>
    <x v="1"/>
    <x v="1"/>
    <x v="0"/>
    <x v="1"/>
    <x v="1"/>
    <x v="1"/>
    <x v="1"/>
    <x v="2"/>
  </r>
  <r>
    <n v="739"/>
    <n v="42"/>
    <x v="0"/>
    <n v="162"/>
    <n v="94"/>
    <x v="1243"/>
    <x v="2"/>
    <s v="153/90"/>
    <x v="0"/>
    <x v="1"/>
    <x v="2"/>
    <x v="2"/>
    <x v="1"/>
    <x v="1"/>
    <x v="0"/>
    <x v="1"/>
    <x v="1"/>
  </r>
  <r>
    <n v="1269"/>
    <n v="69"/>
    <x v="1"/>
    <n v="178"/>
    <n v="67"/>
    <x v="1244"/>
    <x v="0"/>
    <s v="153/109"/>
    <x v="0"/>
    <x v="0"/>
    <x v="1"/>
    <x v="2"/>
    <x v="0"/>
    <x v="1"/>
    <x v="0"/>
    <x v="0"/>
    <x v="2"/>
  </r>
  <r>
    <n v="1273"/>
    <n v="73"/>
    <x v="1"/>
    <n v="169"/>
    <n v="70"/>
    <x v="1245"/>
    <x v="2"/>
    <s v="123/74"/>
    <x v="2"/>
    <x v="1"/>
    <x v="0"/>
    <x v="2"/>
    <x v="1"/>
    <x v="0"/>
    <x v="0"/>
    <x v="1"/>
    <x v="0"/>
  </r>
  <r>
    <n v="802"/>
    <n v="42"/>
    <x v="1"/>
    <n v="187"/>
    <n v="52"/>
    <x v="1246"/>
    <x v="1"/>
    <s v="159/83"/>
    <x v="2"/>
    <x v="0"/>
    <x v="2"/>
    <x v="0"/>
    <x v="0"/>
    <x v="0"/>
    <x v="0"/>
    <x v="0"/>
    <x v="2"/>
  </r>
  <r>
    <n v="1274"/>
    <n v="76"/>
    <x v="1"/>
    <n v="168"/>
    <n v="88"/>
    <x v="1247"/>
    <x v="1"/>
    <s v="150/109"/>
    <x v="1"/>
    <x v="1"/>
    <x v="0"/>
    <x v="0"/>
    <x v="1"/>
    <x v="1"/>
    <x v="1"/>
    <x v="0"/>
    <x v="1"/>
  </r>
  <r>
    <n v="1275"/>
    <n v="62"/>
    <x v="1"/>
    <n v="169"/>
    <n v="72"/>
    <x v="1248"/>
    <x v="1"/>
    <s v="143/85"/>
    <x v="1"/>
    <x v="0"/>
    <x v="1"/>
    <x v="0"/>
    <x v="0"/>
    <x v="1"/>
    <x v="1"/>
    <x v="0"/>
    <x v="2"/>
  </r>
  <r>
    <n v="1276"/>
    <n v="23"/>
    <x v="1"/>
    <n v="184"/>
    <n v="76"/>
    <x v="1249"/>
    <x v="2"/>
    <s v="154/76"/>
    <x v="0"/>
    <x v="1"/>
    <x v="1"/>
    <x v="3"/>
    <x v="0"/>
    <x v="1"/>
    <x v="0"/>
    <x v="0"/>
    <x v="2"/>
  </r>
  <r>
    <n v="1004"/>
    <n v="42"/>
    <x v="0"/>
    <n v="184"/>
    <n v="79"/>
    <x v="1250"/>
    <x v="2"/>
    <s v="150/72"/>
    <x v="0"/>
    <x v="1"/>
    <x v="2"/>
    <x v="0"/>
    <x v="0"/>
    <x v="1"/>
    <x v="1"/>
    <x v="0"/>
    <x v="1"/>
  </r>
  <r>
    <n v="1144"/>
    <n v="42"/>
    <x v="1"/>
    <n v="155"/>
    <n v="99"/>
    <x v="1251"/>
    <x v="2"/>
    <s v="135/108"/>
    <x v="0"/>
    <x v="0"/>
    <x v="2"/>
    <x v="3"/>
    <x v="0"/>
    <x v="0"/>
    <x v="1"/>
    <x v="1"/>
    <x v="2"/>
  </r>
  <r>
    <n v="1278"/>
    <n v="74"/>
    <x v="1"/>
    <n v="179"/>
    <n v="93"/>
    <x v="1252"/>
    <x v="0"/>
    <s v="136/83"/>
    <x v="0"/>
    <x v="0"/>
    <x v="0"/>
    <x v="2"/>
    <x v="0"/>
    <x v="0"/>
    <x v="1"/>
    <x v="0"/>
    <x v="2"/>
  </r>
  <r>
    <n v="1243"/>
    <n v="42"/>
    <x v="0"/>
    <n v="166"/>
    <n v="65"/>
    <x v="1253"/>
    <x v="0"/>
    <s v="156/99"/>
    <x v="0"/>
    <x v="0"/>
    <x v="2"/>
    <x v="1"/>
    <x v="0"/>
    <x v="0"/>
    <x v="1"/>
    <x v="1"/>
    <x v="1"/>
  </r>
  <r>
    <n v="1247"/>
    <n v="42"/>
    <x v="0"/>
    <n v="177"/>
    <n v="94"/>
    <x v="1254"/>
    <x v="2"/>
    <s v="130/70"/>
    <x v="1"/>
    <x v="1"/>
    <x v="2"/>
    <x v="0"/>
    <x v="0"/>
    <x v="1"/>
    <x v="1"/>
    <x v="1"/>
    <x v="1"/>
  </r>
  <r>
    <n v="1417"/>
    <n v="42"/>
    <x v="0"/>
    <n v="153"/>
    <n v="86"/>
    <x v="1255"/>
    <x v="2"/>
    <s v="129/88"/>
    <x v="1"/>
    <x v="0"/>
    <x v="2"/>
    <x v="2"/>
    <x v="0"/>
    <x v="0"/>
    <x v="1"/>
    <x v="0"/>
    <x v="2"/>
  </r>
  <r>
    <n v="1420"/>
    <n v="42"/>
    <x v="1"/>
    <n v="172"/>
    <n v="56"/>
    <x v="1256"/>
    <x v="0"/>
    <s v="147/76"/>
    <x v="2"/>
    <x v="1"/>
    <x v="2"/>
    <x v="0"/>
    <x v="0"/>
    <x v="0"/>
    <x v="1"/>
    <x v="0"/>
    <x v="1"/>
  </r>
  <r>
    <n v="1279"/>
    <n v="50"/>
    <x v="0"/>
    <n v="183"/>
    <n v="67"/>
    <x v="1257"/>
    <x v="0"/>
    <s v="123/102"/>
    <x v="2"/>
    <x v="0"/>
    <x v="1"/>
    <x v="0"/>
    <x v="1"/>
    <x v="1"/>
    <x v="0"/>
    <x v="1"/>
    <x v="0"/>
  </r>
  <r>
    <n v="1282"/>
    <n v="38"/>
    <x v="1"/>
    <n v="155"/>
    <n v="89"/>
    <x v="1258"/>
    <x v="1"/>
    <s v="116/101"/>
    <x v="0"/>
    <x v="1"/>
    <x v="1"/>
    <x v="2"/>
    <x v="0"/>
    <x v="1"/>
    <x v="0"/>
    <x v="0"/>
    <x v="0"/>
  </r>
  <r>
    <n v="1283"/>
    <n v="23"/>
    <x v="1"/>
    <n v="164"/>
    <n v="91"/>
    <x v="1259"/>
    <x v="2"/>
    <s v="157/72"/>
    <x v="0"/>
    <x v="0"/>
    <x v="1"/>
    <x v="3"/>
    <x v="1"/>
    <x v="1"/>
    <x v="0"/>
    <x v="1"/>
    <x v="0"/>
  </r>
  <r>
    <n v="1609"/>
    <n v="42"/>
    <x v="1"/>
    <n v="159"/>
    <n v="63"/>
    <x v="1260"/>
    <x v="0"/>
    <s v="114/75"/>
    <x v="0"/>
    <x v="0"/>
    <x v="2"/>
    <x v="2"/>
    <x v="1"/>
    <x v="0"/>
    <x v="1"/>
    <x v="1"/>
    <x v="0"/>
  </r>
  <r>
    <n v="1792"/>
    <n v="42"/>
    <x v="1"/>
    <n v="169"/>
    <n v="63"/>
    <x v="1261"/>
    <x v="0"/>
    <s v="159/90"/>
    <x v="0"/>
    <x v="0"/>
    <x v="2"/>
    <x v="1"/>
    <x v="1"/>
    <x v="0"/>
    <x v="0"/>
    <x v="1"/>
    <x v="2"/>
  </r>
  <r>
    <n v="1818"/>
    <n v="42"/>
    <x v="1"/>
    <n v="156"/>
    <n v="75"/>
    <x v="1262"/>
    <x v="0"/>
    <s v="126/107"/>
    <x v="2"/>
    <x v="0"/>
    <x v="2"/>
    <x v="1"/>
    <x v="0"/>
    <x v="0"/>
    <x v="1"/>
    <x v="0"/>
    <x v="2"/>
  </r>
  <r>
    <n v="1902"/>
    <n v="42"/>
    <x v="1"/>
    <n v="184"/>
    <n v="87"/>
    <x v="1263"/>
    <x v="0"/>
    <s v="158/79"/>
    <x v="0"/>
    <x v="0"/>
    <x v="2"/>
    <x v="0"/>
    <x v="1"/>
    <x v="1"/>
    <x v="1"/>
    <x v="0"/>
    <x v="0"/>
  </r>
  <r>
    <n v="1907"/>
    <n v="42"/>
    <x v="0"/>
    <n v="174"/>
    <n v="95"/>
    <x v="1264"/>
    <x v="2"/>
    <s v="159/106"/>
    <x v="0"/>
    <x v="0"/>
    <x v="2"/>
    <x v="1"/>
    <x v="1"/>
    <x v="1"/>
    <x v="1"/>
    <x v="1"/>
    <x v="1"/>
  </r>
  <r>
    <n v="1284"/>
    <n v="23"/>
    <x v="0"/>
    <n v="176"/>
    <n v="56"/>
    <x v="1265"/>
    <x v="2"/>
    <s v="148/98"/>
    <x v="1"/>
    <x v="1"/>
    <x v="1"/>
    <x v="1"/>
    <x v="1"/>
    <x v="0"/>
    <x v="1"/>
    <x v="0"/>
    <x v="1"/>
  </r>
  <r>
    <n v="1950"/>
    <n v="42"/>
    <x v="0"/>
    <n v="180"/>
    <n v="93"/>
    <x v="1266"/>
    <x v="0"/>
    <s v="148/105"/>
    <x v="1"/>
    <x v="1"/>
    <x v="2"/>
    <x v="3"/>
    <x v="0"/>
    <x v="1"/>
    <x v="1"/>
    <x v="0"/>
    <x v="2"/>
  </r>
  <r>
    <n v="15"/>
    <n v="41"/>
    <x v="1"/>
    <n v="155"/>
    <n v="82"/>
    <x v="1267"/>
    <x v="1"/>
    <s v="134/78"/>
    <x v="2"/>
    <x v="1"/>
    <x v="2"/>
    <x v="3"/>
    <x v="0"/>
    <x v="0"/>
    <x v="1"/>
    <x v="1"/>
    <x v="0"/>
  </r>
  <r>
    <n v="19"/>
    <n v="41"/>
    <x v="0"/>
    <n v="159"/>
    <n v="57"/>
    <x v="1268"/>
    <x v="0"/>
    <s v="157/84"/>
    <x v="0"/>
    <x v="1"/>
    <x v="2"/>
    <x v="1"/>
    <x v="1"/>
    <x v="0"/>
    <x v="1"/>
    <x v="1"/>
    <x v="0"/>
  </r>
  <r>
    <n v="24"/>
    <n v="41"/>
    <x v="1"/>
    <n v="151"/>
    <n v="89"/>
    <x v="1269"/>
    <x v="0"/>
    <s v="112/79"/>
    <x v="2"/>
    <x v="0"/>
    <x v="2"/>
    <x v="2"/>
    <x v="0"/>
    <x v="0"/>
    <x v="1"/>
    <x v="0"/>
    <x v="2"/>
  </r>
  <r>
    <n v="1285"/>
    <n v="72"/>
    <x v="0"/>
    <n v="159"/>
    <n v="99"/>
    <x v="1270"/>
    <x v="2"/>
    <s v="133/91"/>
    <x v="0"/>
    <x v="0"/>
    <x v="0"/>
    <x v="2"/>
    <x v="0"/>
    <x v="1"/>
    <x v="1"/>
    <x v="0"/>
    <x v="2"/>
  </r>
  <r>
    <n v="1286"/>
    <n v="65"/>
    <x v="0"/>
    <n v="158"/>
    <n v="97"/>
    <x v="1271"/>
    <x v="0"/>
    <s v="115/93"/>
    <x v="2"/>
    <x v="0"/>
    <x v="1"/>
    <x v="3"/>
    <x v="1"/>
    <x v="0"/>
    <x v="1"/>
    <x v="0"/>
    <x v="1"/>
  </r>
  <r>
    <n v="1287"/>
    <n v="21"/>
    <x v="0"/>
    <n v="182"/>
    <n v="69"/>
    <x v="1272"/>
    <x v="1"/>
    <s v="149/92"/>
    <x v="1"/>
    <x v="1"/>
    <x v="1"/>
    <x v="2"/>
    <x v="1"/>
    <x v="1"/>
    <x v="1"/>
    <x v="1"/>
    <x v="1"/>
  </r>
  <r>
    <n v="165"/>
    <n v="41"/>
    <x v="0"/>
    <n v="169"/>
    <n v="97"/>
    <x v="1273"/>
    <x v="0"/>
    <s v="147/88"/>
    <x v="0"/>
    <x v="1"/>
    <x v="2"/>
    <x v="3"/>
    <x v="1"/>
    <x v="1"/>
    <x v="1"/>
    <x v="0"/>
    <x v="1"/>
  </r>
  <r>
    <n v="1292"/>
    <n v="47"/>
    <x v="1"/>
    <n v="178"/>
    <n v="94"/>
    <x v="1274"/>
    <x v="2"/>
    <s v="121/96"/>
    <x v="2"/>
    <x v="0"/>
    <x v="1"/>
    <x v="0"/>
    <x v="1"/>
    <x v="0"/>
    <x v="0"/>
    <x v="1"/>
    <x v="0"/>
  </r>
  <r>
    <n v="265"/>
    <n v="41"/>
    <x v="0"/>
    <n v="184"/>
    <n v="83"/>
    <x v="1275"/>
    <x v="0"/>
    <s v="136/94"/>
    <x v="2"/>
    <x v="1"/>
    <x v="2"/>
    <x v="2"/>
    <x v="0"/>
    <x v="0"/>
    <x v="1"/>
    <x v="1"/>
    <x v="2"/>
  </r>
  <r>
    <n v="311"/>
    <n v="41"/>
    <x v="1"/>
    <n v="176"/>
    <n v="97"/>
    <x v="1276"/>
    <x v="0"/>
    <s v="145/72"/>
    <x v="2"/>
    <x v="1"/>
    <x v="2"/>
    <x v="1"/>
    <x v="1"/>
    <x v="1"/>
    <x v="1"/>
    <x v="1"/>
    <x v="2"/>
  </r>
  <r>
    <n v="1293"/>
    <n v="48"/>
    <x v="1"/>
    <n v="153"/>
    <n v="80"/>
    <x v="1277"/>
    <x v="2"/>
    <s v="147/87"/>
    <x v="2"/>
    <x v="1"/>
    <x v="1"/>
    <x v="3"/>
    <x v="1"/>
    <x v="1"/>
    <x v="0"/>
    <x v="1"/>
    <x v="2"/>
  </r>
  <r>
    <n v="1294"/>
    <n v="41"/>
    <x v="1"/>
    <n v="150"/>
    <n v="70"/>
    <x v="1278"/>
    <x v="0"/>
    <s v="154/108"/>
    <x v="0"/>
    <x v="1"/>
    <x v="1"/>
    <x v="0"/>
    <x v="1"/>
    <x v="0"/>
    <x v="0"/>
    <x v="0"/>
    <x v="2"/>
  </r>
  <r>
    <n v="472"/>
    <n v="41"/>
    <x v="0"/>
    <n v="176"/>
    <n v="76"/>
    <x v="1279"/>
    <x v="0"/>
    <s v="159/92"/>
    <x v="0"/>
    <x v="0"/>
    <x v="2"/>
    <x v="0"/>
    <x v="0"/>
    <x v="0"/>
    <x v="1"/>
    <x v="0"/>
    <x v="0"/>
  </r>
  <r>
    <n v="497"/>
    <n v="41"/>
    <x v="1"/>
    <n v="152"/>
    <n v="72"/>
    <x v="1280"/>
    <x v="0"/>
    <s v="152/87"/>
    <x v="1"/>
    <x v="0"/>
    <x v="2"/>
    <x v="0"/>
    <x v="1"/>
    <x v="0"/>
    <x v="1"/>
    <x v="1"/>
    <x v="1"/>
  </r>
  <r>
    <n v="523"/>
    <n v="41"/>
    <x v="1"/>
    <n v="157"/>
    <n v="81"/>
    <x v="1281"/>
    <x v="2"/>
    <s v="149/73"/>
    <x v="1"/>
    <x v="0"/>
    <x v="2"/>
    <x v="1"/>
    <x v="1"/>
    <x v="0"/>
    <x v="1"/>
    <x v="1"/>
    <x v="1"/>
  </r>
  <r>
    <n v="679"/>
    <n v="41"/>
    <x v="0"/>
    <n v="177"/>
    <n v="50"/>
    <x v="1282"/>
    <x v="0"/>
    <s v="115/102"/>
    <x v="1"/>
    <x v="1"/>
    <x v="2"/>
    <x v="3"/>
    <x v="1"/>
    <x v="1"/>
    <x v="1"/>
    <x v="0"/>
    <x v="2"/>
  </r>
  <r>
    <n v="688"/>
    <n v="41"/>
    <x v="0"/>
    <n v="167"/>
    <n v="64"/>
    <x v="1283"/>
    <x v="0"/>
    <s v="128/98"/>
    <x v="2"/>
    <x v="1"/>
    <x v="2"/>
    <x v="0"/>
    <x v="0"/>
    <x v="0"/>
    <x v="0"/>
    <x v="1"/>
    <x v="2"/>
  </r>
  <r>
    <n v="747"/>
    <n v="41"/>
    <x v="1"/>
    <n v="179"/>
    <n v="66"/>
    <x v="1284"/>
    <x v="1"/>
    <s v="115/80"/>
    <x v="1"/>
    <x v="1"/>
    <x v="2"/>
    <x v="1"/>
    <x v="1"/>
    <x v="0"/>
    <x v="0"/>
    <x v="0"/>
    <x v="0"/>
  </r>
  <r>
    <n v="757"/>
    <n v="41"/>
    <x v="1"/>
    <n v="188"/>
    <n v="63"/>
    <x v="1285"/>
    <x v="1"/>
    <s v="159/95"/>
    <x v="0"/>
    <x v="0"/>
    <x v="2"/>
    <x v="2"/>
    <x v="1"/>
    <x v="0"/>
    <x v="0"/>
    <x v="0"/>
    <x v="1"/>
  </r>
  <r>
    <n v="946"/>
    <n v="41"/>
    <x v="1"/>
    <n v="167"/>
    <n v="90"/>
    <x v="1286"/>
    <x v="1"/>
    <s v="114/83"/>
    <x v="0"/>
    <x v="0"/>
    <x v="2"/>
    <x v="3"/>
    <x v="0"/>
    <x v="1"/>
    <x v="1"/>
    <x v="1"/>
    <x v="0"/>
  </r>
  <r>
    <n v="1295"/>
    <n v="72"/>
    <x v="1"/>
    <n v="168"/>
    <n v="75"/>
    <x v="1287"/>
    <x v="1"/>
    <s v="122/109"/>
    <x v="1"/>
    <x v="0"/>
    <x v="0"/>
    <x v="0"/>
    <x v="0"/>
    <x v="0"/>
    <x v="1"/>
    <x v="0"/>
    <x v="1"/>
  </r>
  <r>
    <n v="1297"/>
    <n v="72"/>
    <x v="1"/>
    <n v="174"/>
    <n v="97"/>
    <x v="1288"/>
    <x v="0"/>
    <s v="143/105"/>
    <x v="0"/>
    <x v="0"/>
    <x v="0"/>
    <x v="3"/>
    <x v="1"/>
    <x v="1"/>
    <x v="1"/>
    <x v="1"/>
    <x v="2"/>
  </r>
  <r>
    <n v="1298"/>
    <n v="20"/>
    <x v="0"/>
    <n v="159"/>
    <n v="94"/>
    <x v="1289"/>
    <x v="0"/>
    <s v="139/94"/>
    <x v="2"/>
    <x v="1"/>
    <x v="1"/>
    <x v="3"/>
    <x v="1"/>
    <x v="0"/>
    <x v="0"/>
    <x v="0"/>
    <x v="2"/>
  </r>
  <r>
    <n v="1299"/>
    <n v="68"/>
    <x v="1"/>
    <n v="164"/>
    <n v="62"/>
    <x v="1290"/>
    <x v="1"/>
    <s v="111/105"/>
    <x v="2"/>
    <x v="1"/>
    <x v="1"/>
    <x v="0"/>
    <x v="0"/>
    <x v="1"/>
    <x v="0"/>
    <x v="1"/>
    <x v="1"/>
  </r>
  <r>
    <n v="1300"/>
    <n v="48"/>
    <x v="0"/>
    <n v="171"/>
    <n v="98"/>
    <x v="1291"/>
    <x v="1"/>
    <s v="127/74"/>
    <x v="1"/>
    <x v="0"/>
    <x v="1"/>
    <x v="0"/>
    <x v="0"/>
    <x v="0"/>
    <x v="1"/>
    <x v="0"/>
    <x v="1"/>
  </r>
  <r>
    <n v="1374"/>
    <n v="41"/>
    <x v="0"/>
    <n v="158"/>
    <n v="58"/>
    <x v="1292"/>
    <x v="0"/>
    <s v="114/92"/>
    <x v="0"/>
    <x v="0"/>
    <x v="2"/>
    <x v="3"/>
    <x v="1"/>
    <x v="0"/>
    <x v="1"/>
    <x v="1"/>
    <x v="0"/>
  </r>
  <r>
    <n v="1302"/>
    <n v="54"/>
    <x v="1"/>
    <n v="171"/>
    <n v="69"/>
    <x v="1293"/>
    <x v="1"/>
    <s v="141/90"/>
    <x v="1"/>
    <x v="0"/>
    <x v="1"/>
    <x v="3"/>
    <x v="0"/>
    <x v="1"/>
    <x v="1"/>
    <x v="0"/>
    <x v="2"/>
  </r>
  <r>
    <n v="1608"/>
    <n v="41"/>
    <x v="1"/>
    <n v="161"/>
    <n v="86"/>
    <x v="1294"/>
    <x v="1"/>
    <s v="125/84"/>
    <x v="1"/>
    <x v="0"/>
    <x v="2"/>
    <x v="3"/>
    <x v="1"/>
    <x v="0"/>
    <x v="0"/>
    <x v="0"/>
    <x v="0"/>
  </r>
  <r>
    <n v="1304"/>
    <n v="41"/>
    <x v="1"/>
    <n v="183"/>
    <n v="77"/>
    <x v="1295"/>
    <x v="0"/>
    <s v="158/91"/>
    <x v="2"/>
    <x v="1"/>
    <x v="1"/>
    <x v="3"/>
    <x v="1"/>
    <x v="1"/>
    <x v="0"/>
    <x v="0"/>
    <x v="1"/>
  </r>
  <r>
    <n v="1699"/>
    <n v="41"/>
    <x v="0"/>
    <n v="173"/>
    <n v="91"/>
    <x v="1296"/>
    <x v="0"/>
    <s v="158/82"/>
    <x v="1"/>
    <x v="1"/>
    <x v="2"/>
    <x v="0"/>
    <x v="1"/>
    <x v="0"/>
    <x v="1"/>
    <x v="0"/>
    <x v="1"/>
  </r>
  <r>
    <n v="1717"/>
    <n v="41"/>
    <x v="1"/>
    <n v="174"/>
    <n v="91"/>
    <x v="1297"/>
    <x v="0"/>
    <s v="136/79"/>
    <x v="0"/>
    <x v="0"/>
    <x v="2"/>
    <x v="0"/>
    <x v="1"/>
    <x v="0"/>
    <x v="1"/>
    <x v="0"/>
    <x v="2"/>
  </r>
  <r>
    <n v="1774"/>
    <n v="41"/>
    <x v="0"/>
    <n v="162"/>
    <n v="65"/>
    <x v="1298"/>
    <x v="2"/>
    <s v="120/78"/>
    <x v="2"/>
    <x v="1"/>
    <x v="2"/>
    <x v="2"/>
    <x v="1"/>
    <x v="1"/>
    <x v="1"/>
    <x v="0"/>
    <x v="0"/>
  </r>
  <r>
    <n v="1305"/>
    <n v="48"/>
    <x v="0"/>
    <n v="179"/>
    <n v="66"/>
    <x v="1299"/>
    <x v="0"/>
    <s v="122/86"/>
    <x v="2"/>
    <x v="1"/>
    <x v="1"/>
    <x v="2"/>
    <x v="1"/>
    <x v="1"/>
    <x v="0"/>
    <x v="0"/>
    <x v="1"/>
  </r>
  <r>
    <n v="1306"/>
    <n v="23"/>
    <x v="1"/>
    <n v="174"/>
    <n v="77"/>
    <x v="1300"/>
    <x v="2"/>
    <s v="118/93"/>
    <x v="2"/>
    <x v="1"/>
    <x v="1"/>
    <x v="0"/>
    <x v="0"/>
    <x v="0"/>
    <x v="0"/>
    <x v="0"/>
    <x v="0"/>
  </r>
  <r>
    <n v="1995"/>
    <n v="41"/>
    <x v="0"/>
    <n v="168"/>
    <n v="59"/>
    <x v="1301"/>
    <x v="2"/>
    <s v="124/81"/>
    <x v="2"/>
    <x v="0"/>
    <x v="2"/>
    <x v="2"/>
    <x v="0"/>
    <x v="0"/>
    <x v="1"/>
    <x v="1"/>
    <x v="1"/>
  </r>
  <r>
    <n v="1308"/>
    <n v="37"/>
    <x v="1"/>
    <n v="150"/>
    <n v="51"/>
    <x v="1302"/>
    <x v="2"/>
    <s v="155/77"/>
    <x v="1"/>
    <x v="1"/>
    <x v="1"/>
    <x v="1"/>
    <x v="1"/>
    <x v="0"/>
    <x v="0"/>
    <x v="0"/>
    <x v="2"/>
  </r>
  <r>
    <n v="110"/>
    <n v="40"/>
    <x v="0"/>
    <n v="162"/>
    <n v="58"/>
    <x v="1303"/>
    <x v="0"/>
    <s v="148/97"/>
    <x v="1"/>
    <x v="0"/>
    <x v="2"/>
    <x v="2"/>
    <x v="1"/>
    <x v="1"/>
    <x v="0"/>
    <x v="0"/>
    <x v="1"/>
  </r>
  <r>
    <n v="163"/>
    <n v="40"/>
    <x v="0"/>
    <n v="184"/>
    <n v="98"/>
    <x v="1304"/>
    <x v="2"/>
    <s v="150/106"/>
    <x v="0"/>
    <x v="1"/>
    <x v="2"/>
    <x v="2"/>
    <x v="1"/>
    <x v="0"/>
    <x v="1"/>
    <x v="0"/>
    <x v="1"/>
  </r>
  <r>
    <n v="1309"/>
    <n v="45"/>
    <x v="1"/>
    <n v="153"/>
    <n v="74"/>
    <x v="1305"/>
    <x v="2"/>
    <s v="146/88"/>
    <x v="2"/>
    <x v="1"/>
    <x v="1"/>
    <x v="2"/>
    <x v="0"/>
    <x v="0"/>
    <x v="0"/>
    <x v="0"/>
    <x v="1"/>
  </r>
  <r>
    <n v="289"/>
    <n v="40"/>
    <x v="0"/>
    <n v="177"/>
    <n v="84"/>
    <x v="1306"/>
    <x v="2"/>
    <s v="126/108"/>
    <x v="2"/>
    <x v="0"/>
    <x v="2"/>
    <x v="2"/>
    <x v="1"/>
    <x v="1"/>
    <x v="1"/>
    <x v="0"/>
    <x v="2"/>
  </r>
  <r>
    <n v="1310"/>
    <n v="28"/>
    <x v="1"/>
    <n v="156"/>
    <n v="99"/>
    <x v="1307"/>
    <x v="1"/>
    <s v="137/99"/>
    <x v="0"/>
    <x v="1"/>
    <x v="1"/>
    <x v="0"/>
    <x v="1"/>
    <x v="1"/>
    <x v="1"/>
    <x v="0"/>
    <x v="2"/>
  </r>
  <r>
    <n v="1313"/>
    <n v="23"/>
    <x v="1"/>
    <n v="168"/>
    <n v="60"/>
    <x v="1308"/>
    <x v="0"/>
    <s v="123/90"/>
    <x v="0"/>
    <x v="0"/>
    <x v="1"/>
    <x v="3"/>
    <x v="0"/>
    <x v="1"/>
    <x v="0"/>
    <x v="1"/>
    <x v="1"/>
  </r>
  <r>
    <n v="502"/>
    <n v="40"/>
    <x v="1"/>
    <n v="160"/>
    <n v="94"/>
    <x v="1309"/>
    <x v="1"/>
    <s v="110/92"/>
    <x v="1"/>
    <x v="1"/>
    <x v="2"/>
    <x v="0"/>
    <x v="1"/>
    <x v="1"/>
    <x v="1"/>
    <x v="0"/>
    <x v="2"/>
  </r>
  <r>
    <n v="1315"/>
    <n v="66"/>
    <x v="0"/>
    <n v="159"/>
    <n v="55"/>
    <x v="1310"/>
    <x v="0"/>
    <s v="137/98"/>
    <x v="2"/>
    <x v="1"/>
    <x v="1"/>
    <x v="3"/>
    <x v="1"/>
    <x v="0"/>
    <x v="0"/>
    <x v="0"/>
    <x v="1"/>
  </r>
  <r>
    <n v="1316"/>
    <n v="47"/>
    <x v="0"/>
    <n v="185"/>
    <n v="94"/>
    <x v="1311"/>
    <x v="2"/>
    <s v="132/87"/>
    <x v="2"/>
    <x v="1"/>
    <x v="1"/>
    <x v="2"/>
    <x v="0"/>
    <x v="0"/>
    <x v="1"/>
    <x v="1"/>
    <x v="1"/>
  </r>
  <r>
    <n v="1318"/>
    <n v="55"/>
    <x v="0"/>
    <n v="181"/>
    <n v="63"/>
    <x v="1312"/>
    <x v="1"/>
    <s v="121/74"/>
    <x v="0"/>
    <x v="0"/>
    <x v="1"/>
    <x v="2"/>
    <x v="1"/>
    <x v="0"/>
    <x v="1"/>
    <x v="1"/>
    <x v="2"/>
  </r>
  <r>
    <n v="659"/>
    <n v="40"/>
    <x v="0"/>
    <n v="150"/>
    <n v="90"/>
    <x v="1313"/>
    <x v="1"/>
    <s v="156/85"/>
    <x v="1"/>
    <x v="0"/>
    <x v="2"/>
    <x v="3"/>
    <x v="0"/>
    <x v="1"/>
    <x v="1"/>
    <x v="0"/>
    <x v="1"/>
  </r>
  <r>
    <n v="1319"/>
    <n v="68"/>
    <x v="0"/>
    <n v="181"/>
    <n v="51"/>
    <x v="1314"/>
    <x v="1"/>
    <s v="148/80"/>
    <x v="0"/>
    <x v="0"/>
    <x v="1"/>
    <x v="0"/>
    <x v="0"/>
    <x v="1"/>
    <x v="1"/>
    <x v="0"/>
    <x v="2"/>
  </r>
  <r>
    <n v="758"/>
    <n v="40"/>
    <x v="1"/>
    <n v="177"/>
    <n v="64"/>
    <x v="1315"/>
    <x v="2"/>
    <s v="124/102"/>
    <x v="2"/>
    <x v="0"/>
    <x v="2"/>
    <x v="1"/>
    <x v="0"/>
    <x v="1"/>
    <x v="1"/>
    <x v="1"/>
    <x v="2"/>
  </r>
  <r>
    <n v="766"/>
    <n v="40"/>
    <x v="0"/>
    <n v="186"/>
    <n v="95"/>
    <x v="1316"/>
    <x v="1"/>
    <s v="117/73"/>
    <x v="1"/>
    <x v="0"/>
    <x v="2"/>
    <x v="3"/>
    <x v="0"/>
    <x v="0"/>
    <x v="0"/>
    <x v="0"/>
    <x v="0"/>
  </r>
  <r>
    <n v="808"/>
    <n v="40"/>
    <x v="1"/>
    <n v="163"/>
    <n v="78"/>
    <x v="1317"/>
    <x v="0"/>
    <s v="125/94"/>
    <x v="1"/>
    <x v="0"/>
    <x v="2"/>
    <x v="1"/>
    <x v="1"/>
    <x v="1"/>
    <x v="0"/>
    <x v="0"/>
    <x v="0"/>
  </r>
  <r>
    <n v="1324"/>
    <n v="28"/>
    <x v="1"/>
    <n v="176"/>
    <n v="73"/>
    <x v="1318"/>
    <x v="0"/>
    <s v="124/85"/>
    <x v="2"/>
    <x v="1"/>
    <x v="1"/>
    <x v="3"/>
    <x v="0"/>
    <x v="0"/>
    <x v="0"/>
    <x v="0"/>
    <x v="0"/>
  </r>
  <r>
    <n v="936"/>
    <n v="40"/>
    <x v="0"/>
    <n v="184"/>
    <n v="96"/>
    <x v="1319"/>
    <x v="1"/>
    <s v="134/96"/>
    <x v="0"/>
    <x v="0"/>
    <x v="2"/>
    <x v="0"/>
    <x v="0"/>
    <x v="0"/>
    <x v="1"/>
    <x v="1"/>
    <x v="0"/>
  </r>
  <r>
    <n v="1027"/>
    <n v="40"/>
    <x v="1"/>
    <n v="171"/>
    <n v="82"/>
    <x v="1320"/>
    <x v="2"/>
    <s v="158/82"/>
    <x v="1"/>
    <x v="0"/>
    <x v="2"/>
    <x v="2"/>
    <x v="1"/>
    <x v="0"/>
    <x v="0"/>
    <x v="1"/>
    <x v="2"/>
  </r>
  <r>
    <n v="1074"/>
    <n v="40"/>
    <x v="0"/>
    <n v="154"/>
    <n v="77"/>
    <x v="1321"/>
    <x v="0"/>
    <s v="151/77"/>
    <x v="2"/>
    <x v="0"/>
    <x v="2"/>
    <x v="3"/>
    <x v="1"/>
    <x v="0"/>
    <x v="0"/>
    <x v="0"/>
    <x v="1"/>
  </r>
  <r>
    <n v="1325"/>
    <n v="25"/>
    <x v="1"/>
    <n v="184"/>
    <n v="68"/>
    <x v="1322"/>
    <x v="2"/>
    <s v="153/107"/>
    <x v="0"/>
    <x v="1"/>
    <x v="1"/>
    <x v="1"/>
    <x v="1"/>
    <x v="0"/>
    <x v="1"/>
    <x v="1"/>
    <x v="2"/>
  </r>
  <r>
    <n v="1326"/>
    <n v="43"/>
    <x v="0"/>
    <n v="170"/>
    <n v="67"/>
    <x v="1323"/>
    <x v="1"/>
    <s v="115/94"/>
    <x v="0"/>
    <x v="0"/>
    <x v="1"/>
    <x v="1"/>
    <x v="1"/>
    <x v="1"/>
    <x v="0"/>
    <x v="1"/>
    <x v="2"/>
  </r>
  <r>
    <n v="1327"/>
    <n v="68"/>
    <x v="0"/>
    <n v="174"/>
    <n v="98"/>
    <x v="1324"/>
    <x v="2"/>
    <s v="124/73"/>
    <x v="2"/>
    <x v="0"/>
    <x v="1"/>
    <x v="0"/>
    <x v="0"/>
    <x v="1"/>
    <x v="0"/>
    <x v="1"/>
    <x v="2"/>
  </r>
  <r>
    <n v="1328"/>
    <n v="62"/>
    <x v="1"/>
    <n v="177"/>
    <n v="73"/>
    <x v="1325"/>
    <x v="2"/>
    <s v="113/99"/>
    <x v="2"/>
    <x v="1"/>
    <x v="1"/>
    <x v="2"/>
    <x v="1"/>
    <x v="0"/>
    <x v="0"/>
    <x v="1"/>
    <x v="1"/>
  </r>
  <r>
    <n v="1329"/>
    <n v="61"/>
    <x v="0"/>
    <n v="164"/>
    <n v="94"/>
    <x v="1326"/>
    <x v="0"/>
    <s v="143/96"/>
    <x v="0"/>
    <x v="0"/>
    <x v="1"/>
    <x v="2"/>
    <x v="1"/>
    <x v="0"/>
    <x v="0"/>
    <x v="0"/>
    <x v="0"/>
  </r>
  <r>
    <n v="1521"/>
    <n v="40"/>
    <x v="1"/>
    <n v="178"/>
    <n v="56"/>
    <x v="1327"/>
    <x v="1"/>
    <s v="146/89"/>
    <x v="1"/>
    <x v="0"/>
    <x v="2"/>
    <x v="2"/>
    <x v="1"/>
    <x v="0"/>
    <x v="1"/>
    <x v="0"/>
    <x v="0"/>
  </r>
  <r>
    <n v="1330"/>
    <n v="22"/>
    <x v="1"/>
    <n v="153"/>
    <n v="84"/>
    <x v="1328"/>
    <x v="1"/>
    <s v="140/101"/>
    <x v="1"/>
    <x v="1"/>
    <x v="1"/>
    <x v="0"/>
    <x v="0"/>
    <x v="0"/>
    <x v="0"/>
    <x v="1"/>
    <x v="0"/>
  </r>
  <r>
    <n v="1570"/>
    <n v="40"/>
    <x v="1"/>
    <n v="174"/>
    <n v="64"/>
    <x v="1329"/>
    <x v="2"/>
    <s v="131/104"/>
    <x v="1"/>
    <x v="1"/>
    <x v="2"/>
    <x v="3"/>
    <x v="1"/>
    <x v="0"/>
    <x v="0"/>
    <x v="1"/>
    <x v="2"/>
  </r>
  <r>
    <n v="1642"/>
    <n v="40"/>
    <x v="1"/>
    <n v="172"/>
    <n v="54"/>
    <x v="1330"/>
    <x v="0"/>
    <s v="138/94"/>
    <x v="1"/>
    <x v="0"/>
    <x v="2"/>
    <x v="3"/>
    <x v="0"/>
    <x v="0"/>
    <x v="1"/>
    <x v="1"/>
    <x v="0"/>
  </r>
  <r>
    <n v="1687"/>
    <n v="40"/>
    <x v="0"/>
    <n v="165"/>
    <n v="88"/>
    <x v="1331"/>
    <x v="1"/>
    <s v="139/90"/>
    <x v="1"/>
    <x v="0"/>
    <x v="2"/>
    <x v="3"/>
    <x v="1"/>
    <x v="1"/>
    <x v="1"/>
    <x v="0"/>
    <x v="2"/>
  </r>
  <r>
    <n v="1700"/>
    <n v="40"/>
    <x v="0"/>
    <n v="181"/>
    <n v="56"/>
    <x v="1332"/>
    <x v="1"/>
    <s v="139/94"/>
    <x v="1"/>
    <x v="0"/>
    <x v="2"/>
    <x v="0"/>
    <x v="0"/>
    <x v="1"/>
    <x v="1"/>
    <x v="1"/>
    <x v="0"/>
  </r>
  <r>
    <n v="1738"/>
    <n v="40"/>
    <x v="1"/>
    <n v="176"/>
    <n v="78"/>
    <x v="1333"/>
    <x v="2"/>
    <s v="122/104"/>
    <x v="2"/>
    <x v="0"/>
    <x v="2"/>
    <x v="3"/>
    <x v="0"/>
    <x v="0"/>
    <x v="0"/>
    <x v="0"/>
    <x v="2"/>
  </r>
  <r>
    <n v="1757"/>
    <n v="40"/>
    <x v="1"/>
    <n v="171"/>
    <n v="93"/>
    <x v="1334"/>
    <x v="2"/>
    <s v="146/100"/>
    <x v="0"/>
    <x v="1"/>
    <x v="2"/>
    <x v="0"/>
    <x v="0"/>
    <x v="1"/>
    <x v="1"/>
    <x v="1"/>
    <x v="1"/>
  </r>
  <r>
    <n v="1331"/>
    <n v="23"/>
    <x v="1"/>
    <n v="178"/>
    <n v="50"/>
    <x v="1335"/>
    <x v="2"/>
    <s v="153/108"/>
    <x v="2"/>
    <x v="1"/>
    <x v="1"/>
    <x v="3"/>
    <x v="1"/>
    <x v="1"/>
    <x v="0"/>
    <x v="0"/>
    <x v="1"/>
  </r>
  <r>
    <n v="1805"/>
    <n v="40"/>
    <x v="1"/>
    <n v="157"/>
    <n v="81"/>
    <x v="1336"/>
    <x v="0"/>
    <s v="131/87"/>
    <x v="2"/>
    <x v="1"/>
    <x v="2"/>
    <x v="1"/>
    <x v="0"/>
    <x v="0"/>
    <x v="1"/>
    <x v="0"/>
    <x v="1"/>
  </r>
  <r>
    <n v="1333"/>
    <n v="71"/>
    <x v="1"/>
    <n v="176"/>
    <n v="74"/>
    <x v="1337"/>
    <x v="2"/>
    <s v="123/102"/>
    <x v="2"/>
    <x v="1"/>
    <x v="0"/>
    <x v="2"/>
    <x v="1"/>
    <x v="0"/>
    <x v="0"/>
    <x v="1"/>
    <x v="0"/>
  </r>
  <r>
    <n v="1942"/>
    <n v="40"/>
    <x v="1"/>
    <n v="184"/>
    <n v="98"/>
    <x v="1338"/>
    <x v="0"/>
    <s v="120/77"/>
    <x v="0"/>
    <x v="0"/>
    <x v="2"/>
    <x v="0"/>
    <x v="1"/>
    <x v="0"/>
    <x v="0"/>
    <x v="0"/>
    <x v="0"/>
  </r>
  <r>
    <n v="1964"/>
    <n v="40"/>
    <x v="0"/>
    <n v="162"/>
    <n v="95"/>
    <x v="1339"/>
    <x v="1"/>
    <s v="114/104"/>
    <x v="1"/>
    <x v="0"/>
    <x v="2"/>
    <x v="0"/>
    <x v="1"/>
    <x v="1"/>
    <x v="1"/>
    <x v="1"/>
    <x v="2"/>
  </r>
  <r>
    <n v="1980"/>
    <n v="40"/>
    <x v="1"/>
    <n v="167"/>
    <n v="92"/>
    <x v="1340"/>
    <x v="1"/>
    <s v="113/105"/>
    <x v="0"/>
    <x v="1"/>
    <x v="2"/>
    <x v="0"/>
    <x v="1"/>
    <x v="0"/>
    <x v="1"/>
    <x v="0"/>
    <x v="1"/>
  </r>
  <r>
    <n v="21"/>
    <n v="39"/>
    <x v="0"/>
    <n v="154"/>
    <n v="61"/>
    <x v="1341"/>
    <x v="0"/>
    <s v="112/107"/>
    <x v="2"/>
    <x v="0"/>
    <x v="2"/>
    <x v="1"/>
    <x v="1"/>
    <x v="0"/>
    <x v="1"/>
    <x v="1"/>
    <x v="2"/>
  </r>
  <r>
    <n v="1334"/>
    <n v="21"/>
    <x v="1"/>
    <n v="175"/>
    <n v="94"/>
    <x v="1342"/>
    <x v="1"/>
    <s v="132/90"/>
    <x v="0"/>
    <x v="0"/>
    <x v="1"/>
    <x v="0"/>
    <x v="1"/>
    <x v="0"/>
    <x v="1"/>
    <x v="1"/>
    <x v="2"/>
  </r>
  <r>
    <n v="1335"/>
    <n v="36"/>
    <x v="1"/>
    <n v="168"/>
    <n v="98"/>
    <x v="1343"/>
    <x v="0"/>
    <s v="121/71"/>
    <x v="2"/>
    <x v="0"/>
    <x v="1"/>
    <x v="3"/>
    <x v="0"/>
    <x v="0"/>
    <x v="1"/>
    <x v="0"/>
    <x v="0"/>
  </r>
  <r>
    <n v="1336"/>
    <n v="37"/>
    <x v="0"/>
    <n v="177"/>
    <n v="92"/>
    <x v="1344"/>
    <x v="1"/>
    <s v="122/73"/>
    <x v="2"/>
    <x v="0"/>
    <x v="1"/>
    <x v="3"/>
    <x v="1"/>
    <x v="0"/>
    <x v="0"/>
    <x v="1"/>
    <x v="2"/>
  </r>
  <r>
    <n v="316"/>
    <n v="39"/>
    <x v="0"/>
    <n v="184"/>
    <n v="65"/>
    <x v="1345"/>
    <x v="0"/>
    <s v="128/90"/>
    <x v="1"/>
    <x v="0"/>
    <x v="2"/>
    <x v="2"/>
    <x v="0"/>
    <x v="1"/>
    <x v="1"/>
    <x v="0"/>
    <x v="0"/>
  </r>
  <r>
    <n v="1337"/>
    <n v="50"/>
    <x v="0"/>
    <n v="166"/>
    <n v="83"/>
    <x v="1346"/>
    <x v="2"/>
    <s v="129/83"/>
    <x v="2"/>
    <x v="1"/>
    <x v="1"/>
    <x v="1"/>
    <x v="0"/>
    <x v="0"/>
    <x v="0"/>
    <x v="0"/>
    <x v="0"/>
  </r>
  <r>
    <n v="1341"/>
    <n v="64"/>
    <x v="0"/>
    <n v="172"/>
    <n v="78"/>
    <x v="1347"/>
    <x v="0"/>
    <s v="135/71"/>
    <x v="1"/>
    <x v="0"/>
    <x v="1"/>
    <x v="3"/>
    <x v="0"/>
    <x v="0"/>
    <x v="0"/>
    <x v="1"/>
    <x v="2"/>
  </r>
  <r>
    <n v="1342"/>
    <n v="18"/>
    <x v="1"/>
    <n v="181"/>
    <n v="68"/>
    <x v="1348"/>
    <x v="0"/>
    <s v="149/83"/>
    <x v="2"/>
    <x v="1"/>
    <x v="1"/>
    <x v="3"/>
    <x v="1"/>
    <x v="0"/>
    <x v="1"/>
    <x v="1"/>
    <x v="2"/>
  </r>
  <r>
    <n v="1343"/>
    <n v="43"/>
    <x v="0"/>
    <n v="182"/>
    <n v="72"/>
    <x v="1349"/>
    <x v="2"/>
    <s v="115/109"/>
    <x v="2"/>
    <x v="0"/>
    <x v="1"/>
    <x v="2"/>
    <x v="1"/>
    <x v="0"/>
    <x v="1"/>
    <x v="0"/>
    <x v="0"/>
  </r>
  <r>
    <n v="552"/>
    <n v="39"/>
    <x v="0"/>
    <n v="173"/>
    <n v="67"/>
    <x v="1350"/>
    <x v="0"/>
    <s v="141/71"/>
    <x v="1"/>
    <x v="0"/>
    <x v="2"/>
    <x v="2"/>
    <x v="0"/>
    <x v="0"/>
    <x v="1"/>
    <x v="1"/>
    <x v="0"/>
  </r>
  <r>
    <n v="555"/>
    <n v="39"/>
    <x v="1"/>
    <n v="176"/>
    <n v="72"/>
    <x v="1351"/>
    <x v="0"/>
    <s v="145/81"/>
    <x v="2"/>
    <x v="0"/>
    <x v="2"/>
    <x v="0"/>
    <x v="0"/>
    <x v="0"/>
    <x v="1"/>
    <x v="1"/>
    <x v="0"/>
  </r>
  <r>
    <n v="625"/>
    <n v="39"/>
    <x v="1"/>
    <n v="180"/>
    <n v="60"/>
    <x v="1352"/>
    <x v="0"/>
    <s v="149/100"/>
    <x v="0"/>
    <x v="0"/>
    <x v="2"/>
    <x v="2"/>
    <x v="1"/>
    <x v="0"/>
    <x v="1"/>
    <x v="1"/>
    <x v="1"/>
  </r>
  <r>
    <n v="1344"/>
    <n v="31"/>
    <x v="1"/>
    <n v="154"/>
    <n v="68"/>
    <x v="1353"/>
    <x v="0"/>
    <s v="140/86"/>
    <x v="2"/>
    <x v="0"/>
    <x v="1"/>
    <x v="3"/>
    <x v="0"/>
    <x v="0"/>
    <x v="1"/>
    <x v="0"/>
    <x v="1"/>
  </r>
  <r>
    <n v="1347"/>
    <n v="79"/>
    <x v="0"/>
    <n v="160"/>
    <n v="58"/>
    <x v="1354"/>
    <x v="1"/>
    <s v="128/94"/>
    <x v="0"/>
    <x v="1"/>
    <x v="0"/>
    <x v="0"/>
    <x v="0"/>
    <x v="0"/>
    <x v="0"/>
    <x v="0"/>
    <x v="2"/>
  </r>
  <r>
    <n v="855"/>
    <n v="39"/>
    <x v="0"/>
    <n v="157"/>
    <n v="88"/>
    <x v="1355"/>
    <x v="0"/>
    <s v="122/98"/>
    <x v="0"/>
    <x v="1"/>
    <x v="2"/>
    <x v="1"/>
    <x v="1"/>
    <x v="0"/>
    <x v="1"/>
    <x v="1"/>
    <x v="1"/>
  </r>
  <r>
    <n v="1348"/>
    <n v="28"/>
    <x v="1"/>
    <n v="152"/>
    <n v="50"/>
    <x v="1356"/>
    <x v="2"/>
    <s v="140/106"/>
    <x v="0"/>
    <x v="0"/>
    <x v="1"/>
    <x v="2"/>
    <x v="0"/>
    <x v="1"/>
    <x v="1"/>
    <x v="1"/>
    <x v="0"/>
  </r>
  <r>
    <n v="1356"/>
    <n v="73"/>
    <x v="0"/>
    <n v="187"/>
    <n v="67"/>
    <x v="1357"/>
    <x v="1"/>
    <s v="115/107"/>
    <x v="0"/>
    <x v="0"/>
    <x v="0"/>
    <x v="2"/>
    <x v="0"/>
    <x v="0"/>
    <x v="1"/>
    <x v="1"/>
    <x v="1"/>
  </r>
  <r>
    <n v="1357"/>
    <n v="27"/>
    <x v="1"/>
    <n v="168"/>
    <n v="83"/>
    <x v="1358"/>
    <x v="1"/>
    <s v="159/109"/>
    <x v="0"/>
    <x v="1"/>
    <x v="1"/>
    <x v="0"/>
    <x v="0"/>
    <x v="1"/>
    <x v="0"/>
    <x v="1"/>
    <x v="1"/>
  </r>
  <r>
    <n v="1201"/>
    <n v="39"/>
    <x v="1"/>
    <n v="165"/>
    <n v="99"/>
    <x v="1359"/>
    <x v="2"/>
    <s v="142/91"/>
    <x v="0"/>
    <x v="1"/>
    <x v="2"/>
    <x v="3"/>
    <x v="0"/>
    <x v="1"/>
    <x v="0"/>
    <x v="1"/>
    <x v="0"/>
  </r>
  <r>
    <n v="1239"/>
    <n v="39"/>
    <x v="0"/>
    <n v="157"/>
    <n v="87"/>
    <x v="1360"/>
    <x v="2"/>
    <s v="119/72"/>
    <x v="1"/>
    <x v="0"/>
    <x v="2"/>
    <x v="3"/>
    <x v="1"/>
    <x v="1"/>
    <x v="1"/>
    <x v="1"/>
    <x v="1"/>
  </r>
  <r>
    <n v="1359"/>
    <n v="40"/>
    <x v="0"/>
    <n v="162"/>
    <n v="94"/>
    <x v="1361"/>
    <x v="0"/>
    <s v="149/102"/>
    <x v="1"/>
    <x v="1"/>
    <x v="1"/>
    <x v="2"/>
    <x v="1"/>
    <x v="0"/>
    <x v="0"/>
    <x v="0"/>
    <x v="2"/>
  </r>
  <r>
    <n v="1281"/>
    <n v="39"/>
    <x v="0"/>
    <n v="152"/>
    <n v="96"/>
    <x v="1362"/>
    <x v="1"/>
    <s v="156/105"/>
    <x v="2"/>
    <x v="0"/>
    <x v="2"/>
    <x v="0"/>
    <x v="1"/>
    <x v="1"/>
    <x v="1"/>
    <x v="0"/>
    <x v="1"/>
  </r>
  <r>
    <n v="1397"/>
    <n v="39"/>
    <x v="1"/>
    <n v="152"/>
    <n v="53"/>
    <x v="1363"/>
    <x v="0"/>
    <s v="125/81"/>
    <x v="2"/>
    <x v="0"/>
    <x v="2"/>
    <x v="2"/>
    <x v="1"/>
    <x v="0"/>
    <x v="0"/>
    <x v="0"/>
    <x v="0"/>
  </r>
  <r>
    <n v="1361"/>
    <n v="61"/>
    <x v="1"/>
    <n v="159"/>
    <n v="70"/>
    <x v="1364"/>
    <x v="2"/>
    <s v="145/104"/>
    <x v="2"/>
    <x v="0"/>
    <x v="1"/>
    <x v="1"/>
    <x v="0"/>
    <x v="0"/>
    <x v="1"/>
    <x v="0"/>
    <x v="2"/>
  </r>
  <r>
    <n v="1559"/>
    <n v="39"/>
    <x v="0"/>
    <n v="160"/>
    <n v="97"/>
    <x v="1365"/>
    <x v="1"/>
    <s v="150/94"/>
    <x v="2"/>
    <x v="1"/>
    <x v="2"/>
    <x v="0"/>
    <x v="0"/>
    <x v="1"/>
    <x v="1"/>
    <x v="0"/>
    <x v="0"/>
  </r>
  <r>
    <n v="1619"/>
    <n v="39"/>
    <x v="1"/>
    <n v="167"/>
    <n v="99"/>
    <x v="1366"/>
    <x v="0"/>
    <s v="131/86"/>
    <x v="1"/>
    <x v="1"/>
    <x v="2"/>
    <x v="3"/>
    <x v="1"/>
    <x v="0"/>
    <x v="0"/>
    <x v="0"/>
    <x v="1"/>
  </r>
  <r>
    <n v="1632"/>
    <n v="39"/>
    <x v="0"/>
    <n v="176"/>
    <n v="88"/>
    <x v="1367"/>
    <x v="0"/>
    <s v="125/75"/>
    <x v="0"/>
    <x v="1"/>
    <x v="2"/>
    <x v="1"/>
    <x v="1"/>
    <x v="1"/>
    <x v="1"/>
    <x v="1"/>
    <x v="1"/>
  </r>
  <r>
    <n v="1772"/>
    <n v="39"/>
    <x v="1"/>
    <n v="179"/>
    <n v="89"/>
    <x v="1368"/>
    <x v="0"/>
    <s v="144/80"/>
    <x v="0"/>
    <x v="0"/>
    <x v="2"/>
    <x v="2"/>
    <x v="0"/>
    <x v="0"/>
    <x v="0"/>
    <x v="0"/>
    <x v="0"/>
  </r>
  <r>
    <n v="1796"/>
    <n v="39"/>
    <x v="1"/>
    <n v="176"/>
    <n v="68"/>
    <x v="1369"/>
    <x v="1"/>
    <s v="139/96"/>
    <x v="0"/>
    <x v="0"/>
    <x v="2"/>
    <x v="2"/>
    <x v="1"/>
    <x v="0"/>
    <x v="0"/>
    <x v="1"/>
    <x v="2"/>
  </r>
  <r>
    <n v="1825"/>
    <n v="39"/>
    <x v="0"/>
    <n v="164"/>
    <n v="82"/>
    <x v="1370"/>
    <x v="0"/>
    <s v="133/103"/>
    <x v="2"/>
    <x v="1"/>
    <x v="2"/>
    <x v="1"/>
    <x v="1"/>
    <x v="1"/>
    <x v="1"/>
    <x v="1"/>
    <x v="1"/>
  </r>
  <r>
    <n v="1875"/>
    <n v="39"/>
    <x v="1"/>
    <n v="162"/>
    <n v="61"/>
    <x v="1371"/>
    <x v="2"/>
    <s v="154/88"/>
    <x v="2"/>
    <x v="1"/>
    <x v="2"/>
    <x v="1"/>
    <x v="1"/>
    <x v="1"/>
    <x v="1"/>
    <x v="0"/>
    <x v="2"/>
  </r>
  <r>
    <n v="1967"/>
    <n v="39"/>
    <x v="0"/>
    <n v="157"/>
    <n v="67"/>
    <x v="1372"/>
    <x v="0"/>
    <s v="139/93"/>
    <x v="1"/>
    <x v="0"/>
    <x v="2"/>
    <x v="2"/>
    <x v="0"/>
    <x v="0"/>
    <x v="1"/>
    <x v="0"/>
    <x v="1"/>
  </r>
  <r>
    <n v="8"/>
    <n v="38"/>
    <x v="1"/>
    <n v="173"/>
    <n v="60"/>
    <x v="1373"/>
    <x v="2"/>
    <s v="151/107"/>
    <x v="1"/>
    <x v="0"/>
    <x v="2"/>
    <x v="0"/>
    <x v="1"/>
    <x v="1"/>
    <x v="1"/>
    <x v="0"/>
    <x v="0"/>
  </r>
  <r>
    <n v="1363"/>
    <n v="30"/>
    <x v="1"/>
    <n v="150"/>
    <n v="81"/>
    <x v="1374"/>
    <x v="1"/>
    <s v="132/109"/>
    <x v="0"/>
    <x v="0"/>
    <x v="1"/>
    <x v="2"/>
    <x v="0"/>
    <x v="1"/>
    <x v="1"/>
    <x v="0"/>
    <x v="0"/>
  </r>
  <r>
    <n v="1365"/>
    <n v="19"/>
    <x v="0"/>
    <n v="157"/>
    <n v="97"/>
    <x v="1375"/>
    <x v="1"/>
    <s v="114/100"/>
    <x v="0"/>
    <x v="1"/>
    <x v="1"/>
    <x v="3"/>
    <x v="1"/>
    <x v="0"/>
    <x v="0"/>
    <x v="0"/>
    <x v="1"/>
  </r>
  <r>
    <n v="1366"/>
    <n v="37"/>
    <x v="1"/>
    <n v="166"/>
    <n v="92"/>
    <x v="1376"/>
    <x v="1"/>
    <s v="122/97"/>
    <x v="2"/>
    <x v="1"/>
    <x v="1"/>
    <x v="1"/>
    <x v="0"/>
    <x v="1"/>
    <x v="1"/>
    <x v="0"/>
    <x v="0"/>
  </r>
  <r>
    <n v="419"/>
    <n v="38"/>
    <x v="1"/>
    <n v="184"/>
    <n v="74"/>
    <x v="1377"/>
    <x v="1"/>
    <s v="141/93"/>
    <x v="1"/>
    <x v="0"/>
    <x v="2"/>
    <x v="3"/>
    <x v="1"/>
    <x v="0"/>
    <x v="0"/>
    <x v="1"/>
    <x v="0"/>
  </r>
  <r>
    <n v="1370"/>
    <n v="34"/>
    <x v="0"/>
    <n v="188"/>
    <n v="59"/>
    <x v="1378"/>
    <x v="0"/>
    <s v="143/76"/>
    <x v="1"/>
    <x v="1"/>
    <x v="1"/>
    <x v="1"/>
    <x v="1"/>
    <x v="1"/>
    <x v="1"/>
    <x v="0"/>
    <x v="2"/>
  </r>
  <r>
    <n v="483"/>
    <n v="38"/>
    <x v="0"/>
    <n v="167"/>
    <n v="66"/>
    <x v="1379"/>
    <x v="0"/>
    <s v="126/81"/>
    <x v="1"/>
    <x v="0"/>
    <x v="2"/>
    <x v="0"/>
    <x v="1"/>
    <x v="0"/>
    <x v="0"/>
    <x v="0"/>
    <x v="0"/>
  </r>
  <r>
    <n v="652"/>
    <n v="38"/>
    <x v="1"/>
    <n v="157"/>
    <n v="65"/>
    <x v="1380"/>
    <x v="2"/>
    <s v="130/104"/>
    <x v="2"/>
    <x v="1"/>
    <x v="2"/>
    <x v="3"/>
    <x v="0"/>
    <x v="1"/>
    <x v="0"/>
    <x v="0"/>
    <x v="2"/>
  </r>
  <r>
    <n v="1371"/>
    <n v="26"/>
    <x v="0"/>
    <n v="177"/>
    <n v="79"/>
    <x v="1381"/>
    <x v="2"/>
    <s v="147/106"/>
    <x v="2"/>
    <x v="0"/>
    <x v="1"/>
    <x v="1"/>
    <x v="0"/>
    <x v="1"/>
    <x v="1"/>
    <x v="1"/>
    <x v="2"/>
  </r>
  <r>
    <n v="1372"/>
    <n v="28"/>
    <x v="0"/>
    <n v="182"/>
    <n v="67"/>
    <x v="1382"/>
    <x v="1"/>
    <s v="113/103"/>
    <x v="0"/>
    <x v="0"/>
    <x v="1"/>
    <x v="1"/>
    <x v="1"/>
    <x v="1"/>
    <x v="0"/>
    <x v="0"/>
    <x v="2"/>
  </r>
  <r>
    <n v="911"/>
    <n v="38"/>
    <x v="0"/>
    <n v="154"/>
    <n v="92"/>
    <x v="1383"/>
    <x v="2"/>
    <s v="143/93"/>
    <x v="0"/>
    <x v="1"/>
    <x v="2"/>
    <x v="0"/>
    <x v="0"/>
    <x v="0"/>
    <x v="0"/>
    <x v="0"/>
    <x v="1"/>
  </r>
  <r>
    <n v="914"/>
    <n v="38"/>
    <x v="0"/>
    <n v="171"/>
    <n v="74"/>
    <x v="1384"/>
    <x v="1"/>
    <s v="148/75"/>
    <x v="0"/>
    <x v="0"/>
    <x v="2"/>
    <x v="3"/>
    <x v="1"/>
    <x v="1"/>
    <x v="1"/>
    <x v="0"/>
    <x v="2"/>
  </r>
  <r>
    <n v="1002"/>
    <n v="38"/>
    <x v="0"/>
    <n v="169"/>
    <n v="93"/>
    <x v="1385"/>
    <x v="0"/>
    <s v="135/77"/>
    <x v="0"/>
    <x v="1"/>
    <x v="2"/>
    <x v="0"/>
    <x v="1"/>
    <x v="1"/>
    <x v="0"/>
    <x v="0"/>
    <x v="1"/>
  </r>
  <r>
    <n v="1373"/>
    <n v="32"/>
    <x v="0"/>
    <n v="186"/>
    <n v="73"/>
    <x v="1386"/>
    <x v="1"/>
    <s v="151/91"/>
    <x v="0"/>
    <x v="1"/>
    <x v="1"/>
    <x v="3"/>
    <x v="0"/>
    <x v="1"/>
    <x v="0"/>
    <x v="0"/>
    <x v="0"/>
  </r>
  <r>
    <n v="1376"/>
    <n v="72"/>
    <x v="1"/>
    <n v="170"/>
    <n v="64"/>
    <x v="1387"/>
    <x v="2"/>
    <s v="118/94"/>
    <x v="2"/>
    <x v="1"/>
    <x v="0"/>
    <x v="0"/>
    <x v="0"/>
    <x v="0"/>
    <x v="1"/>
    <x v="0"/>
    <x v="2"/>
  </r>
  <r>
    <n v="1381"/>
    <n v="22"/>
    <x v="1"/>
    <n v="186"/>
    <n v="58"/>
    <x v="1388"/>
    <x v="0"/>
    <s v="138/84"/>
    <x v="2"/>
    <x v="0"/>
    <x v="1"/>
    <x v="2"/>
    <x v="0"/>
    <x v="1"/>
    <x v="1"/>
    <x v="1"/>
    <x v="2"/>
  </r>
  <r>
    <n v="1156"/>
    <n v="38"/>
    <x v="1"/>
    <n v="181"/>
    <n v="55"/>
    <x v="1389"/>
    <x v="0"/>
    <s v="118/103"/>
    <x v="2"/>
    <x v="1"/>
    <x v="2"/>
    <x v="1"/>
    <x v="1"/>
    <x v="0"/>
    <x v="0"/>
    <x v="0"/>
    <x v="0"/>
  </r>
  <r>
    <n v="1385"/>
    <n v="67"/>
    <x v="1"/>
    <n v="183"/>
    <n v="65"/>
    <x v="1390"/>
    <x v="0"/>
    <s v="131/82"/>
    <x v="2"/>
    <x v="1"/>
    <x v="1"/>
    <x v="0"/>
    <x v="0"/>
    <x v="1"/>
    <x v="1"/>
    <x v="1"/>
    <x v="2"/>
  </r>
  <r>
    <n v="1387"/>
    <n v="70"/>
    <x v="1"/>
    <n v="160"/>
    <n v="84"/>
    <x v="1391"/>
    <x v="1"/>
    <s v="137/78"/>
    <x v="2"/>
    <x v="0"/>
    <x v="0"/>
    <x v="1"/>
    <x v="1"/>
    <x v="0"/>
    <x v="0"/>
    <x v="0"/>
    <x v="1"/>
  </r>
  <r>
    <n v="1408"/>
    <n v="38"/>
    <x v="0"/>
    <n v="170"/>
    <n v="79"/>
    <x v="1392"/>
    <x v="1"/>
    <s v="126/88"/>
    <x v="1"/>
    <x v="0"/>
    <x v="2"/>
    <x v="2"/>
    <x v="0"/>
    <x v="1"/>
    <x v="0"/>
    <x v="1"/>
    <x v="0"/>
  </r>
  <r>
    <n v="1565"/>
    <n v="38"/>
    <x v="1"/>
    <n v="158"/>
    <n v="67"/>
    <x v="1393"/>
    <x v="0"/>
    <s v="152/109"/>
    <x v="0"/>
    <x v="0"/>
    <x v="2"/>
    <x v="0"/>
    <x v="1"/>
    <x v="1"/>
    <x v="1"/>
    <x v="0"/>
    <x v="0"/>
  </r>
  <r>
    <n v="1388"/>
    <n v="73"/>
    <x v="0"/>
    <n v="162"/>
    <n v="54"/>
    <x v="1394"/>
    <x v="2"/>
    <s v="134/85"/>
    <x v="2"/>
    <x v="1"/>
    <x v="0"/>
    <x v="2"/>
    <x v="1"/>
    <x v="0"/>
    <x v="1"/>
    <x v="0"/>
    <x v="0"/>
  </r>
  <r>
    <n v="1623"/>
    <n v="38"/>
    <x v="1"/>
    <n v="187"/>
    <n v="65"/>
    <x v="1395"/>
    <x v="0"/>
    <s v="110/94"/>
    <x v="0"/>
    <x v="0"/>
    <x v="2"/>
    <x v="0"/>
    <x v="0"/>
    <x v="1"/>
    <x v="0"/>
    <x v="1"/>
    <x v="2"/>
  </r>
  <r>
    <n v="1728"/>
    <n v="38"/>
    <x v="0"/>
    <n v="161"/>
    <n v="96"/>
    <x v="1396"/>
    <x v="0"/>
    <s v="125/91"/>
    <x v="1"/>
    <x v="1"/>
    <x v="2"/>
    <x v="2"/>
    <x v="1"/>
    <x v="1"/>
    <x v="1"/>
    <x v="1"/>
    <x v="1"/>
  </r>
  <r>
    <n v="1739"/>
    <n v="38"/>
    <x v="1"/>
    <n v="167"/>
    <n v="90"/>
    <x v="1397"/>
    <x v="1"/>
    <s v="132/86"/>
    <x v="1"/>
    <x v="0"/>
    <x v="2"/>
    <x v="2"/>
    <x v="0"/>
    <x v="1"/>
    <x v="0"/>
    <x v="1"/>
    <x v="1"/>
  </r>
  <r>
    <n v="1391"/>
    <n v="51"/>
    <x v="1"/>
    <n v="156"/>
    <n v="64"/>
    <x v="1398"/>
    <x v="0"/>
    <s v="140/83"/>
    <x v="0"/>
    <x v="0"/>
    <x v="1"/>
    <x v="3"/>
    <x v="0"/>
    <x v="1"/>
    <x v="0"/>
    <x v="1"/>
    <x v="1"/>
  </r>
  <r>
    <n v="1826"/>
    <n v="38"/>
    <x v="1"/>
    <n v="186"/>
    <n v="64"/>
    <x v="1399"/>
    <x v="1"/>
    <s v="148/74"/>
    <x v="2"/>
    <x v="0"/>
    <x v="2"/>
    <x v="3"/>
    <x v="0"/>
    <x v="1"/>
    <x v="0"/>
    <x v="0"/>
    <x v="0"/>
  </r>
  <r>
    <n v="1843"/>
    <n v="38"/>
    <x v="1"/>
    <n v="162"/>
    <n v="72"/>
    <x v="1400"/>
    <x v="0"/>
    <s v="128/106"/>
    <x v="1"/>
    <x v="1"/>
    <x v="2"/>
    <x v="0"/>
    <x v="0"/>
    <x v="0"/>
    <x v="0"/>
    <x v="0"/>
    <x v="0"/>
  </r>
  <r>
    <n v="1392"/>
    <n v="29"/>
    <x v="1"/>
    <n v="173"/>
    <n v="67"/>
    <x v="1401"/>
    <x v="2"/>
    <s v="153/101"/>
    <x v="0"/>
    <x v="1"/>
    <x v="1"/>
    <x v="2"/>
    <x v="0"/>
    <x v="0"/>
    <x v="0"/>
    <x v="0"/>
    <x v="0"/>
  </r>
  <r>
    <n v="1940"/>
    <n v="38"/>
    <x v="1"/>
    <n v="163"/>
    <n v="58"/>
    <x v="1402"/>
    <x v="2"/>
    <s v="150/84"/>
    <x v="0"/>
    <x v="1"/>
    <x v="2"/>
    <x v="2"/>
    <x v="1"/>
    <x v="1"/>
    <x v="0"/>
    <x v="0"/>
    <x v="2"/>
  </r>
  <r>
    <n v="1393"/>
    <n v="52"/>
    <x v="0"/>
    <n v="153"/>
    <n v="96"/>
    <x v="1403"/>
    <x v="1"/>
    <s v="159/86"/>
    <x v="0"/>
    <x v="0"/>
    <x v="1"/>
    <x v="3"/>
    <x v="0"/>
    <x v="0"/>
    <x v="0"/>
    <x v="0"/>
    <x v="1"/>
  </r>
  <r>
    <n v="1394"/>
    <n v="52"/>
    <x v="1"/>
    <n v="177"/>
    <n v="51"/>
    <x v="1404"/>
    <x v="2"/>
    <s v="144/70"/>
    <x v="1"/>
    <x v="1"/>
    <x v="1"/>
    <x v="0"/>
    <x v="1"/>
    <x v="0"/>
    <x v="1"/>
    <x v="0"/>
    <x v="1"/>
  </r>
  <r>
    <n v="1396"/>
    <n v="57"/>
    <x v="1"/>
    <n v="150"/>
    <n v="62"/>
    <x v="1405"/>
    <x v="1"/>
    <s v="132/97"/>
    <x v="2"/>
    <x v="0"/>
    <x v="1"/>
    <x v="3"/>
    <x v="0"/>
    <x v="0"/>
    <x v="0"/>
    <x v="0"/>
    <x v="2"/>
  </r>
  <r>
    <n v="1399"/>
    <n v="46"/>
    <x v="1"/>
    <n v="187"/>
    <n v="94"/>
    <x v="1406"/>
    <x v="2"/>
    <s v="149/82"/>
    <x v="0"/>
    <x v="1"/>
    <x v="1"/>
    <x v="3"/>
    <x v="1"/>
    <x v="0"/>
    <x v="1"/>
    <x v="0"/>
    <x v="2"/>
  </r>
  <r>
    <n v="1401"/>
    <n v="28"/>
    <x v="0"/>
    <n v="187"/>
    <n v="80"/>
    <x v="1407"/>
    <x v="1"/>
    <s v="159/84"/>
    <x v="0"/>
    <x v="0"/>
    <x v="1"/>
    <x v="1"/>
    <x v="0"/>
    <x v="1"/>
    <x v="0"/>
    <x v="1"/>
    <x v="0"/>
  </r>
  <r>
    <n v="383"/>
    <n v="37"/>
    <x v="1"/>
    <n v="162"/>
    <n v="53"/>
    <x v="1408"/>
    <x v="2"/>
    <s v="117/89"/>
    <x v="0"/>
    <x v="0"/>
    <x v="2"/>
    <x v="3"/>
    <x v="0"/>
    <x v="1"/>
    <x v="1"/>
    <x v="1"/>
    <x v="0"/>
  </r>
  <r>
    <n v="1402"/>
    <n v="58"/>
    <x v="1"/>
    <n v="187"/>
    <n v="90"/>
    <x v="1409"/>
    <x v="1"/>
    <s v="121/84"/>
    <x v="1"/>
    <x v="0"/>
    <x v="1"/>
    <x v="2"/>
    <x v="0"/>
    <x v="0"/>
    <x v="1"/>
    <x v="1"/>
    <x v="1"/>
  </r>
  <r>
    <n v="1403"/>
    <n v="54"/>
    <x v="0"/>
    <n v="170"/>
    <n v="57"/>
    <x v="1410"/>
    <x v="2"/>
    <s v="143/75"/>
    <x v="0"/>
    <x v="0"/>
    <x v="1"/>
    <x v="0"/>
    <x v="0"/>
    <x v="1"/>
    <x v="0"/>
    <x v="1"/>
    <x v="0"/>
  </r>
  <r>
    <n v="1406"/>
    <n v="47"/>
    <x v="0"/>
    <n v="159"/>
    <n v="95"/>
    <x v="1411"/>
    <x v="1"/>
    <s v="132/102"/>
    <x v="1"/>
    <x v="1"/>
    <x v="1"/>
    <x v="2"/>
    <x v="0"/>
    <x v="0"/>
    <x v="0"/>
    <x v="0"/>
    <x v="2"/>
  </r>
  <r>
    <n v="1412"/>
    <n v="76"/>
    <x v="1"/>
    <n v="168"/>
    <n v="91"/>
    <x v="1412"/>
    <x v="0"/>
    <s v="142/99"/>
    <x v="0"/>
    <x v="1"/>
    <x v="0"/>
    <x v="1"/>
    <x v="0"/>
    <x v="0"/>
    <x v="1"/>
    <x v="1"/>
    <x v="0"/>
  </r>
  <r>
    <n v="774"/>
    <n v="37"/>
    <x v="0"/>
    <n v="187"/>
    <n v="58"/>
    <x v="1413"/>
    <x v="2"/>
    <s v="126/89"/>
    <x v="0"/>
    <x v="0"/>
    <x v="2"/>
    <x v="1"/>
    <x v="1"/>
    <x v="1"/>
    <x v="0"/>
    <x v="1"/>
    <x v="0"/>
  </r>
  <r>
    <n v="884"/>
    <n v="37"/>
    <x v="1"/>
    <n v="175"/>
    <n v="74"/>
    <x v="1414"/>
    <x v="1"/>
    <s v="127/104"/>
    <x v="0"/>
    <x v="0"/>
    <x v="2"/>
    <x v="1"/>
    <x v="1"/>
    <x v="1"/>
    <x v="1"/>
    <x v="1"/>
    <x v="2"/>
  </r>
  <r>
    <n v="921"/>
    <n v="37"/>
    <x v="1"/>
    <n v="152"/>
    <n v="84"/>
    <x v="1415"/>
    <x v="2"/>
    <s v="114/106"/>
    <x v="1"/>
    <x v="1"/>
    <x v="2"/>
    <x v="1"/>
    <x v="0"/>
    <x v="0"/>
    <x v="1"/>
    <x v="1"/>
    <x v="0"/>
  </r>
  <r>
    <n v="1415"/>
    <n v="79"/>
    <x v="0"/>
    <n v="154"/>
    <n v="62"/>
    <x v="1416"/>
    <x v="1"/>
    <s v="128/97"/>
    <x v="0"/>
    <x v="0"/>
    <x v="0"/>
    <x v="3"/>
    <x v="1"/>
    <x v="1"/>
    <x v="1"/>
    <x v="1"/>
    <x v="0"/>
  </r>
  <r>
    <n v="1419"/>
    <n v="59"/>
    <x v="0"/>
    <n v="176"/>
    <n v="58"/>
    <x v="1417"/>
    <x v="0"/>
    <s v="143/73"/>
    <x v="0"/>
    <x v="1"/>
    <x v="1"/>
    <x v="3"/>
    <x v="1"/>
    <x v="1"/>
    <x v="1"/>
    <x v="1"/>
    <x v="1"/>
  </r>
  <r>
    <n v="1246"/>
    <n v="37"/>
    <x v="0"/>
    <n v="154"/>
    <n v="84"/>
    <x v="1418"/>
    <x v="1"/>
    <s v="135/91"/>
    <x v="0"/>
    <x v="0"/>
    <x v="2"/>
    <x v="1"/>
    <x v="0"/>
    <x v="0"/>
    <x v="1"/>
    <x v="1"/>
    <x v="2"/>
  </r>
  <r>
    <n v="1422"/>
    <n v="57"/>
    <x v="0"/>
    <n v="170"/>
    <n v="72"/>
    <x v="1419"/>
    <x v="2"/>
    <s v="159/95"/>
    <x v="1"/>
    <x v="1"/>
    <x v="1"/>
    <x v="3"/>
    <x v="1"/>
    <x v="1"/>
    <x v="0"/>
    <x v="0"/>
    <x v="1"/>
  </r>
  <r>
    <n v="1423"/>
    <n v="25"/>
    <x v="0"/>
    <n v="173"/>
    <n v="88"/>
    <x v="1420"/>
    <x v="2"/>
    <s v="135/88"/>
    <x v="1"/>
    <x v="0"/>
    <x v="1"/>
    <x v="1"/>
    <x v="1"/>
    <x v="0"/>
    <x v="1"/>
    <x v="0"/>
    <x v="1"/>
  </r>
  <r>
    <n v="1338"/>
    <n v="37"/>
    <x v="1"/>
    <n v="169"/>
    <n v="74"/>
    <x v="1421"/>
    <x v="0"/>
    <s v="139/98"/>
    <x v="2"/>
    <x v="1"/>
    <x v="2"/>
    <x v="1"/>
    <x v="1"/>
    <x v="1"/>
    <x v="0"/>
    <x v="0"/>
    <x v="0"/>
  </r>
  <r>
    <n v="1425"/>
    <n v="57"/>
    <x v="1"/>
    <n v="181"/>
    <n v="88"/>
    <x v="1422"/>
    <x v="1"/>
    <s v="151/85"/>
    <x v="1"/>
    <x v="0"/>
    <x v="1"/>
    <x v="3"/>
    <x v="1"/>
    <x v="1"/>
    <x v="1"/>
    <x v="0"/>
    <x v="1"/>
  </r>
  <r>
    <n v="1426"/>
    <n v="31"/>
    <x v="0"/>
    <n v="181"/>
    <n v="70"/>
    <x v="1423"/>
    <x v="1"/>
    <s v="126/91"/>
    <x v="2"/>
    <x v="1"/>
    <x v="1"/>
    <x v="1"/>
    <x v="0"/>
    <x v="1"/>
    <x v="0"/>
    <x v="0"/>
    <x v="1"/>
  </r>
  <r>
    <n v="1627"/>
    <n v="37"/>
    <x v="0"/>
    <n v="179"/>
    <n v="88"/>
    <x v="1424"/>
    <x v="2"/>
    <s v="127/96"/>
    <x v="1"/>
    <x v="0"/>
    <x v="2"/>
    <x v="0"/>
    <x v="1"/>
    <x v="0"/>
    <x v="1"/>
    <x v="0"/>
    <x v="0"/>
  </r>
  <r>
    <n v="1630"/>
    <n v="37"/>
    <x v="1"/>
    <n v="170"/>
    <n v="55"/>
    <x v="1425"/>
    <x v="1"/>
    <s v="127/72"/>
    <x v="2"/>
    <x v="1"/>
    <x v="2"/>
    <x v="1"/>
    <x v="1"/>
    <x v="1"/>
    <x v="1"/>
    <x v="0"/>
    <x v="1"/>
  </r>
  <r>
    <n v="1752"/>
    <n v="37"/>
    <x v="0"/>
    <n v="150"/>
    <n v="64"/>
    <x v="1426"/>
    <x v="1"/>
    <s v="126/106"/>
    <x v="2"/>
    <x v="1"/>
    <x v="2"/>
    <x v="2"/>
    <x v="1"/>
    <x v="1"/>
    <x v="1"/>
    <x v="0"/>
    <x v="1"/>
  </r>
  <r>
    <n v="1760"/>
    <n v="37"/>
    <x v="0"/>
    <n v="163"/>
    <n v="99"/>
    <x v="1427"/>
    <x v="1"/>
    <s v="126/86"/>
    <x v="1"/>
    <x v="1"/>
    <x v="2"/>
    <x v="1"/>
    <x v="0"/>
    <x v="0"/>
    <x v="1"/>
    <x v="0"/>
    <x v="0"/>
  </r>
  <r>
    <n v="1882"/>
    <n v="37"/>
    <x v="0"/>
    <n v="164"/>
    <n v="66"/>
    <x v="1428"/>
    <x v="1"/>
    <s v="132/82"/>
    <x v="0"/>
    <x v="0"/>
    <x v="2"/>
    <x v="1"/>
    <x v="0"/>
    <x v="0"/>
    <x v="1"/>
    <x v="1"/>
    <x v="0"/>
  </r>
  <r>
    <n v="1427"/>
    <n v="49"/>
    <x v="0"/>
    <n v="154"/>
    <n v="72"/>
    <x v="1429"/>
    <x v="0"/>
    <s v="122/81"/>
    <x v="2"/>
    <x v="0"/>
    <x v="1"/>
    <x v="3"/>
    <x v="0"/>
    <x v="0"/>
    <x v="0"/>
    <x v="1"/>
    <x v="1"/>
  </r>
  <r>
    <n v="1430"/>
    <n v="55"/>
    <x v="1"/>
    <n v="165"/>
    <n v="75"/>
    <x v="1430"/>
    <x v="1"/>
    <s v="117/90"/>
    <x v="0"/>
    <x v="1"/>
    <x v="1"/>
    <x v="2"/>
    <x v="1"/>
    <x v="1"/>
    <x v="1"/>
    <x v="1"/>
    <x v="0"/>
  </r>
  <r>
    <n v="1431"/>
    <n v="50"/>
    <x v="1"/>
    <n v="182"/>
    <n v="54"/>
    <x v="1431"/>
    <x v="1"/>
    <s v="131/87"/>
    <x v="1"/>
    <x v="1"/>
    <x v="1"/>
    <x v="0"/>
    <x v="0"/>
    <x v="0"/>
    <x v="0"/>
    <x v="0"/>
    <x v="2"/>
  </r>
  <r>
    <n v="1432"/>
    <n v="40"/>
    <x v="0"/>
    <n v="170"/>
    <n v="80"/>
    <x v="1432"/>
    <x v="2"/>
    <s v="111/78"/>
    <x v="0"/>
    <x v="0"/>
    <x v="1"/>
    <x v="2"/>
    <x v="0"/>
    <x v="0"/>
    <x v="1"/>
    <x v="0"/>
    <x v="1"/>
  </r>
  <r>
    <n v="1433"/>
    <n v="32"/>
    <x v="0"/>
    <n v="158"/>
    <n v="74"/>
    <x v="1433"/>
    <x v="0"/>
    <s v="112/95"/>
    <x v="2"/>
    <x v="1"/>
    <x v="1"/>
    <x v="1"/>
    <x v="0"/>
    <x v="1"/>
    <x v="0"/>
    <x v="1"/>
    <x v="0"/>
  </r>
  <r>
    <n v="456"/>
    <n v="36"/>
    <x v="0"/>
    <n v="154"/>
    <n v="75"/>
    <x v="1434"/>
    <x v="0"/>
    <s v="138/85"/>
    <x v="2"/>
    <x v="0"/>
    <x v="2"/>
    <x v="3"/>
    <x v="0"/>
    <x v="1"/>
    <x v="0"/>
    <x v="1"/>
    <x v="2"/>
  </r>
  <r>
    <n v="590"/>
    <n v="36"/>
    <x v="0"/>
    <n v="184"/>
    <n v="88"/>
    <x v="1435"/>
    <x v="0"/>
    <s v="150/82"/>
    <x v="1"/>
    <x v="1"/>
    <x v="2"/>
    <x v="2"/>
    <x v="0"/>
    <x v="1"/>
    <x v="0"/>
    <x v="0"/>
    <x v="1"/>
  </r>
  <r>
    <n v="593"/>
    <n v="36"/>
    <x v="1"/>
    <n v="184"/>
    <n v="73"/>
    <x v="1436"/>
    <x v="0"/>
    <s v="140/97"/>
    <x v="2"/>
    <x v="0"/>
    <x v="2"/>
    <x v="2"/>
    <x v="0"/>
    <x v="1"/>
    <x v="0"/>
    <x v="1"/>
    <x v="1"/>
  </r>
  <r>
    <n v="670"/>
    <n v="36"/>
    <x v="1"/>
    <n v="172"/>
    <n v="75"/>
    <x v="1437"/>
    <x v="2"/>
    <s v="140/101"/>
    <x v="1"/>
    <x v="1"/>
    <x v="2"/>
    <x v="1"/>
    <x v="1"/>
    <x v="0"/>
    <x v="0"/>
    <x v="1"/>
    <x v="2"/>
  </r>
  <r>
    <n v="780"/>
    <n v="36"/>
    <x v="0"/>
    <n v="183"/>
    <n v="51"/>
    <x v="1438"/>
    <x v="1"/>
    <s v="143/84"/>
    <x v="1"/>
    <x v="1"/>
    <x v="2"/>
    <x v="3"/>
    <x v="1"/>
    <x v="0"/>
    <x v="1"/>
    <x v="1"/>
    <x v="0"/>
  </r>
  <r>
    <n v="786"/>
    <n v="36"/>
    <x v="1"/>
    <n v="167"/>
    <n v="50"/>
    <x v="1439"/>
    <x v="1"/>
    <s v="145/102"/>
    <x v="2"/>
    <x v="0"/>
    <x v="2"/>
    <x v="2"/>
    <x v="1"/>
    <x v="1"/>
    <x v="0"/>
    <x v="0"/>
    <x v="2"/>
  </r>
  <r>
    <n v="794"/>
    <n v="36"/>
    <x v="0"/>
    <n v="185"/>
    <n v="73"/>
    <x v="1440"/>
    <x v="1"/>
    <s v="112/79"/>
    <x v="2"/>
    <x v="1"/>
    <x v="2"/>
    <x v="2"/>
    <x v="0"/>
    <x v="0"/>
    <x v="0"/>
    <x v="1"/>
    <x v="0"/>
  </r>
  <r>
    <n v="850"/>
    <n v="36"/>
    <x v="1"/>
    <n v="160"/>
    <n v="77"/>
    <x v="1441"/>
    <x v="0"/>
    <s v="115/86"/>
    <x v="0"/>
    <x v="1"/>
    <x v="2"/>
    <x v="0"/>
    <x v="1"/>
    <x v="0"/>
    <x v="0"/>
    <x v="1"/>
    <x v="2"/>
  </r>
  <r>
    <n v="1435"/>
    <n v="42"/>
    <x v="0"/>
    <n v="184"/>
    <n v="99"/>
    <x v="1442"/>
    <x v="0"/>
    <s v="137/105"/>
    <x v="0"/>
    <x v="0"/>
    <x v="1"/>
    <x v="1"/>
    <x v="0"/>
    <x v="1"/>
    <x v="0"/>
    <x v="1"/>
    <x v="1"/>
  </r>
  <r>
    <n v="874"/>
    <n v="36"/>
    <x v="0"/>
    <n v="181"/>
    <n v="77"/>
    <x v="1443"/>
    <x v="1"/>
    <s v="116/104"/>
    <x v="0"/>
    <x v="1"/>
    <x v="2"/>
    <x v="0"/>
    <x v="0"/>
    <x v="0"/>
    <x v="0"/>
    <x v="1"/>
    <x v="0"/>
  </r>
  <r>
    <n v="1437"/>
    <n v="50"/>
    <x v="1"/>
    <n v="171"/>
    <n v="93"/>
    <x v="1444"/>
    <x v="2"/>
    <s v="117/79"/>
    <x v="2"/>
    <x v="1"/>
    <x v="1"/>
    <x v="0"/>
    <x v="1"/>
    <x v="0"/>
    <x v="1"/>
    <x v="1"/>
    <x v="0"/>
  </r>
  <r>
    <n v="1440"/>
    <n v="19"/>
    <x v="0"/>
    <n v="166"/>
    <n v="51"/>
    <x v="1445"/>
    <x v="0"/>
    <s v="126/87"/>
    <x v="2"/>
    <x v="1"/>
    <x v="1"/>
    <x v="1"/>
    <x v="0"/>
    <x v="1"/>
    <x v="1"/>
    <x v="1"/>
    <x v="1"/>
  </r>
  <r>
    <n v="1444"/>
    <n v="57"/>
    <x v="0"/>
    <n v="152"/>
    <n v="77"/>
    <x v="1446"/>
    <x v="2"/>
    <s v="124/93"/>
    <x v="0"/>
    <x v="0"/>
    <x v="1"/>
    <x v="2"/>
    <x v="0"/>
    <x v="0"/>
    <x v="0"/>
    <x v="1"/>
    <x v="0"/>
  </r>
  <r>
    <n v="1447"/>
    <n v="68"/>
    <x v="0"/>
    <n v="158"/>
    <n v="52"/>
    <x v="1447"/>
    <x v="0"/>
    <s v="148/75"/>
    <x v="1"/>
    <x v="0"/>
    <x v="1"/>
    <x v="2"/>
    <x v="0"/>
    <x v="1"/>
    <x v="0"/>
    <x v="1"/>
    <x v="0"/>
  </r>
  <r>
    <n v="1448"/>
    <n v="23"/>
    <x v="0"/>
    <n v="178"/>
    <n v="84"/>
    <x v="1448"/>
    <x v="2"/>
    <s v="111/82"/>
    <x v="1"/>
    <x v="1"/>
    <x v="1"/>
    <x v="2"/>
    <x v="0"/>
    <x v="1"/>
    <x v="1"/>
    <x v="1"/>
    <x v="2"/>
  </r>
  <r>
    <n v="1411"/>
    <n v="36"/>
    <x v="1"/>
    <n v="169"/>
    <n v="86"/>
    <x v="1449"/>
    <x v="0"/>
    <s v="115/75"/>
    <x v="1"/>
    <x v="1"/>
    <x v="2"/>
    <x v="3"/>
    <x v="0"/>
    <x v="0"/>
    <x v="0"/>
    <x v="1"/>
    <x v="1"/>
  </r>
  <r>
    <n v="1646"/>
    <n v="36"/>
    <x v="0"/>
    <n v="186"/>
    <n v="92"/>
    <x v="1450"/>
    <x v="1"/>
    <s v="110/85"/>
    <x v="0"/>
    <x v="1"/>
    <x v="2"/>
    <x v="3"/>
    <x v="0"/>
    <x v="0"/>
    <x v="1"/>
    <x v="0"/>
    <x v="2"/>
  </r>
  <r>
    <n v="1451"/>
    <n v="24"/>
    <x v="0"/>
    <n v="162"/>
    <n v="69"/>
    <x v="1451"/>
    <x v="0"/>
    <s v="136/98"/>
    <x v="0"/>
    <x v="1"/>
    <x v="1"/>
    <x v="1"/>
    <x v="1"/>
    <x v="1"/>
    <x v="1"/>
    <x v="0"/>
    <x v="2"/>
  </r>
  <r>
    <n v="1452"/>
    <n v="68"/>
    <x v="0"/>
    <n v="181"/>
    <n v="54"/>
    <x v="1452"/>
    <x v="0"/>
    <s v="146/91"/>
    <x v="0"/>
    <x v="0"/>
    <x v="1"/>
    <x v="1"/>
    <x v="0"/>
    <x v="0"/>
    <x v="1"/>
    <x v="0"/>
    <x v="1"/>
  </r>
  <r>
    <n v="1740"/>
    <n v="36"/>
    <x v="0"/>
    <n v="172"/>
    <n v="91"/>
    <x v="1453"/>
    <x v="2"/>
    <s v="155/76"/>
    <x v="2"/>
    <x v="0"/>
    <x v="2"/>
    <x v="1"/>
    <x v="1"/>
    <x v="0"/>
    <x v="0"/>
    <x v="1"/>
    <x v="1"/>
  </r>
  <r>
    <n v="1455"/>
    <n v="69"/>
    <x v="1"/>
    <n v="189"/>
    <n v="68"/>
    <x v="1454"/>
    <x v="0"/>
    <s v="132/84"/>
    <x v="1"/>
    <x v="1"/>
    <x v="1"/>
    <x v="3"/>
    <x v="0"/>
    <x v="0"/>
    <x v="0"/>
    <x v="1"/>
    <x v="1"/>
  </r>
  <r>
    <n v="1883"/>
    <n v="36"/>
    <x v="0"/>
    <n v="164"/>
    <n v="95"/>
    <x v="1455"/>
    <x v="0"/>
    <s v="126/73"/>
    <x v="2"/>
    <x v="0"/>
    <x v="2"/>
    <x v="2"/>
    <x v="1"/>
    <x v="0"/>
    <x v="0"/>
    <x v="1"/>
    <x v="0"/>
  </r>
  <r>
    <n v="1456"/>
    <n v="32"/>
    <x v="0"/>
    <n v="170"/>
    <n v="96"/>
    <x v="1456"/>
    <x v="0"/>
    <s v="142/82"/>
    <x v="1"/>
    <x v="1"/>
    <x v="1"/>
    <x v="0"/>
    <x v="0"/>
    <x v="0"/>
    <x v="1"/>
    <x v="0"/>
    <x v="0"/>
  </r>
  <r>
    <n v="1459"/>
    <n v="50"/>
    <x v="1"/>
    <n v="155"/>
    <n v="90"/>
    <x v="1457"/>
    <x v="0"/>
    <s v="110/74"/>
    <x v="2"/>
    <x v="0"/>
    <x v="1"/>
    <x v="3"/>
    <x v="0"/>
    <x v="1"/>
    <x v="0"/>
    <x v="0"/>
    <x v="2"/>
  </r>
  <r>
    <n v="62"/>
    <n v="35"/>
    <x v="0"/>
    <n v="172"/>
    <n v="51"/>
    <x v="1458"/>
    <x v="0"/>
    <s v="150/104"/>
    <x v="2"/>
    <x v="0"/>
    <x v="2"/>
    <x v="2"/>
    <x v="1"/>
    <x v="0"/>
    <x v="1"/>
    <x v="1"/>
    <x v="1"/>
  </r>
  <r>
    <n v="1464"/>
    <n v="53"/>
    <x v="1"/>
    <n v="179"/>
    <n v="84"/>
    <x v="1459"/>
    <x v="1"/>
    <s v="133/109"/>
    <x v="2"/>
    <x v="1"/>
    <x v="1"/>
    <x v="0"/>
    <x v="0"/>
    <x v="1"/>
    <x v="1"/>
    <x v="1"/>
    <x v="0"/>
  </r>
  <r>
    <n v="1465"/>
    <n v="46"/>
    <x v="1"/>
    <n v="166"/>
    <n v="63"/>
    <x v="1460"/>
    <x v="2"/>
    <s v="156/90"/>
    <x v="1"/>
    <x v="1"/>
    <x v="1"/>
    <x v="2"/>
    <x v="0"/>
    <x v="1"/>
    <x v="1"/>
    <x v="0"/>
    <x v="2"/>
  </r>
  <r>
    <n v="344"/>
    <n v="35"/>
    <x v="1"/>
    <n v="168"/>
    <n v="79"/>
    <x v="1461"/>
    <x v="0"/>
    <s v="120/98"/>
    <x v="0"/>
    <x v="1"/>
    <x v="2"/>
    <x v="3"/>
    <x v="0"/>
    <x v="0"/>
    <x v="0"/>
    <x v="1"/>
    <x v="1"/>
  </r>
  <r>
    <n v="405"/>
    <n v="35"/>
    <x v="1"/>
    <n v="150"/>
    <n v="63"/>
    <x v="1462"/>
    <x v="1"/>
    <s v="111/88"/>
    <x v="0"/>
    <x v="0"/>
    <x v="2"/>
    <x v="3"/>
    <x v="0"/>
    <x v="1"/>
    <x v="0"/>
    <x v="0"/>
    <x v="2"/>
  </r>
  <r>
    <n v="1470"/>
    <n v="54"/>
    <x v="1"/>
    <n v="183"/>
    <n v="56"/>
    <x v="1463"/>
    <x v="0"/>
    <s v="144/108"/>
    <x v="1"/>
    <x v="1"/>
    <x v="1"/>
    <x v="1"/>
    <x v="0"/>
    <x v="1"/>
    <x v="0"/>
    <x v="1"/>
    <x v="1"/>
  </r>
  <r>
    <n v="1473"/>
    <n v="50"/>
    <x v="1"/>
    <n v="160"/>
    <n v="98"/>
    <x v="1464"/>
    <x v="0"/>
    <s v="111/93"/>
    <x v="0"/>
    <x v="1"/>
    <x v="1"/>
    <x v="3"/>
    <x v="1"/>
    <x v="1"/>
    <x v="1"/>
    <x v="1"/>
    <x v="1"/>
  </r>
  <r>
    <n v="753"/>
    <n v="35"/>
    <x v="0"/>
    <n v="161"/>
    <n v="94"/>
    <x v="1465"/>
    <x v="1"/>
    <s v="156/107"/>
    <x v="0"/>
    <x v="1"/>
    <x v="2"/>
    <x v="3"/>
    <x v="0"/>
    <x v="1"/>
    <x v="1"/>
    <x v="0"/>
    <x v="1"/>
  </r>
  <r>
    <n v="826"/>
    <n v="35"/>
    <x v="0"/>
    <n v="166"/>
    <n v="53"/>
    <x v="1466"/>
    <x v="1"/>
    <s v="159/73"/>
    <x v="1"/>
    <x v="1"/>
    <x v="2"/>
    <x v="3"/>
    <x v="0"/>
    <x v="1"/>
    <x v="0"/>
    <x v="0"/>
    <x v="2"/>
  </r>
  <r>
    <n v="923"/>
    <n v="35"/>
    <x v="1"/>
    <n v="155"/>
    <n v="77"/>
    <x v="1467"/>
    <x v="1"/>
    <s v="149/71"/>
    <x v="2"/>
    <x v="1"/>
    <x v="2"/>
    <x v="2"/>
    <x v="0"/>
    <x v="1"/>
    <x v="1"/>
    <x v="1"/>
    <x v="2"/>
  </r>
  <r>
    <n v="1474"/>
    <n v="79"/>
    <x v="0"/>
    <n v="163"/>
    <n v="74"/>
    <x v="1468"/>
    <x v="1"/>
    <s v="126/70"/>
    <x v="1"/>
    <x v="1"/>
    <x v="0"/>
    <x v="0"/>
    <x v="1"/>
    <x v="0"/>
    <x v="1"/>
    <x v="1"/>
    <x v="0"/>
  </r>
  <r>
    <n v="1476"/>
    <n v="39"/>
    <x v="0"/>
    <n v="168"/>
    <n v="96"/>
    <x v="1469"/>
    <x v="2"/>
    <s v="154/98"/>
    <x v="1"/>
    <x v="0"/>
    <x v="1"/>
    <x v="0"/>
    <x v="1"/>
    <x v="1"/>
    <x v="1"/>
    <x v="1"/>
    <x v="0"/>
  </r>
  <r>
    <n v="1089"/>
    <n v="35"/>
    <x v="0"/>
    <n v="161"/>
    <n v="64"/>
    <x v="1470"/>
    <x v="2"/>
    <s v="116/105"/>
    <x v="0"/>
    <x v="0"/>
    <x v="2"/>
    <x v="2"/>
    <x v="0"/>
    <x v="1"/>
    <x v="0"/>
    <x v="0"/>
    <x v="2"/>
  </r>
  <r>
    <n v="1158"/>
    <n v="35"/>
    <x v="0"/>
    <n v="167"/>
    <n v="54"/>
    <x v="1471"/>
    <x v="1"/>
    <s v="110/81"/>
    <x v="1"/>
    <x v="1"/>
    <x v="2"/>
    <x v="1"/>
    <x v="0"/>
    <x v="1"/>
    <x v="0"/>
    <x v="0"/>
    <x v="2"/>
  </r>
  <r>
    <n v="1477"/>
    <n v="19"/>
    <x v="0"/>
    <n v="164"/>
    <n v="89"/>
    <x v="1472"/>
    <x v="2"/>
    <s v="121/108"/>
    <x v="0"/>
    <x v="0"/>
    <x v="1"/>
    <x v="3"/>
    <x v="0"/>
    <x v="1"/>
    <x v="0"/>
    <x v="1"/>
    <x v="1"/>
  </r>
  <r>
    <n v="1253"/>
    <n v="35"/>
    <x v="1"/>
    <n v="161"/>
    <n v="75"/>
    <x v="1473"/>
    <x v="1"/>
    <s v="115/85"/>
    <x v="2"/>
    <x v="1"/>
    <x v="2"/>
    <x v="0"/>
    <x v="0"/>
    <x v="0"/>
    <x v="0"/>
    <x v="1"/>
    <x v="0"/>
  </r>
  <r>
    <n v="1421"/>
    <n v="35"/>
    <x v="1"/>
    <n v="174"/>
    <n v="51"/>
    <x v="1474"/>
    <x v="2"/>
    <s v="157/76"/>
    <x v="0"/>
    <x v="1"/>
    <x v="2"/>
    <x v="3"/>
    <x v="0"/>
    <x v="0"/>
    <x v="1"/>
    <x v="0"/>
    <x v="0"/>
  </r>
  <r>
    <n v="1480"/>
    <n v="76"/>
    <x v="0"/>
    <n v="157"/>
    <n v="77"/>
    <x v="1475"/>
    <x v="1"/>
    <s v="136/93"/>
    <x v="0"/>
    <x v="1"/>
    <x v="0"/>
    <x v="3"/>
    <x v="0"/>
    <x v="0"/>
    <x v="0"/>
    <x v="1"/>
    <x v="1"/>
  </r>
  <r>
    <n v="1597"/>
    <n v="35"/>
    <x v="1"/>
    <n v="171"/>
    <n v="67"/>
    <x v="1476"/>
    <x v="1"/>
    <s v="156/105"/>
    <x v="1"/>
    <x v="0"/>
    <x v="2"/>
    <x v="1"/>
    <x v="0"/>
    <x v="0"/>
    <x v="0"/>
    <x v="1"/>
    <x v="1"/>
  </r>
  <r>
    <n v="1482"/>
    <n v="50"/>
    <x v="0"/>
    <n v="182"/>
    <n v="68"/>
    <x v="1477"/>
    <x v="0"/>
    <s v="117/71"/>
    <x v="1"/>
    <x v="0"/>
    <x v="1"/>
    <x v="1"/>
    <x v="0"/>
    <x v="0"/>
    <x v="0"/>
    <x v="1"/>
    <x v="2"/>
  </r>
  <r>
    <n v="1733"/>
    <n v="35"/>
    <x v="1"/>
    <n v="163"/>
    <n v="79"/>
    <x v="1478"/>
    <x v="1"/>
    <s v="116/70"/>
    <x v="2"/>
    <x v="0"/>
    <x v="2"/>
    <x v="3"/>
    <x v="0"/>
    <x v="1"/>
    <x v="0"/>
    <x v="0"/>
    <x v="0"/>
  </r>
  <r>
    <n v="1483"/>
    <n v="71"/>
    <x v="0"/>
    <n v="182"/>
    <n v="91"/>
    <x v="1479"/>
    <x v="0"/>
    <s v="139/99"/>
    <x v="2"/>
    <x v="0"/>
    <x v="0"/>
    <x v="3"/>
    <x v="1"/>
    <x v="0"/>
    <x v="0"/>
    <x v="0"/>
    <x v="1"/>
  </r>
  <r>
    <n v="1484"/>
    <n v="55"/>
    <x v="0"/>
    <n v="168"/>
    <n v="66"/>
    <x v="1480"/>
    <x v="1"/>
    <s v="158/108"/>
    <x v="2"/>
    <x v="1"/>
    <x v="1"/>
    <x v="2"/>
    <x v="1"/>
    <x v="0"/>
    <x v="1"/>
    <x v="1"/>
    <x v="0"/>
  </r>
  <r>
    <n v="1487"/>
    <n v="64"/>
    <x v="1"/>
    <n v="189"/>
    <n v="56"/>
    <x v="1481"/>
    <x v="2"/>
    <s v="122/80"/>
    <x v="2"/>
    <x v="1"/>
    <x v="1"/>
    <x v="1"/>
    <x v="1"/>
    <x v="0"/>
    <x v="1"/>
    <x v="1"/>
    <x v="0"/>
  </r>
  <r>
    <n v="1488"/>
    <n v="53"/>
    <x v="0"/>
    <n v="150"/>
    <n v="76"/>
    <x v="1482"/>
    <x v="0"/>
    <s v="119/95"/>
    <x v="0"/>
    <x v="1"/>
    <x v="1"/>
    <x v="0"/>
    <x v="0"/>
    <x v="0"/>
    <x v="0"/>
    <x v="1"/>
    <x v="1"/>
  </r>
  <r>
    <n v="1490"/>
    <n v="41"/>
    <x v="1"/>
    <n v="183"/>
    <n v="83"/>
    <x v="1483"/>
    <x v="1"/>
    <s v="126/73"/>
    <x v="1"/>
    <x v="0"/>
    <x v="1"/>
    <x v="3"/>
    <x v="1"/>
    <x v="0"/>
    <x v="0"/>
    <x v="0"/>
    <x v="1"/>
  </r>
  <r>
    <n v="84"/>
    <n v="34"/>
    <x v="0"/>
    <n v="156"/>
    <n v="67"/>
    <x v="1484"/>
    <x v="2"/>
    <s v="126/108"/>
    <x v="2"/>
    <x v="0"/>
    <x v="2"/>
    <x v="1"/>
    <x v="0"/>
    <x v="0"/>
    <x v="1"/>
    <x v="1"/>
    <x v="1"/>
  </r>
  <r>
    <n v="143"/>
    <n v="34"/>
    <x v="0"/>
    <n v="177"/>
    <n v="51"/>
    <x v="1485"/>
    <x v="1"/>
    <s v="133/82"/>
    <x v="1"/>
    <x v="0"/>
    <x v="2"/>
    <x v="0"/>
    <x v="0"/>
    <x v="1"/>
    <x v="1"/>
    <x v="0"/>
    <x v="0"/>
  </r>
  <r>
    <n v="282"/>
    <n v="34"/>
    <x v="1"/>
    <n v="170"/>
    <n v="64"/>
    <x v="1486"/>
    <x v="1"/>
    <s v="111/86"/>
    <x v="1"/>
    <x v="0"/>
    <x v="2"/>
    <x v="0"/>
    <x v="0"/>
    <x v="0"/>
    <x v="0"/>
    <x v="0"/>
    <x v="2"/>
  </r>
  <r>
    <n v="309"/>
    <n v="34"/>
    <x v="1"/>
    <n v="155"/>
    <n v="63"/>
    <x v="1487"/>
    <x v="2"/>
    <s v="132/74"/>
    <x v="1"/>
    <x v="1"/>
    <x v="2"/>
    <x v="0"/>
    <x v="1"/>
    <x v="1"/>
    <x v="0"/>
    <x v="1"/>
    <x v="1"/>
  </r>
  <r>
    <n v="426"/>
    <n v="34"/>
    <x v="0"/>
    <n v="152"/>
    <n v="59"/>
    <x v="1488"/>
    <x v="1"/>
    <s v="147/91"/>
    <x v="2"/>
    <x v="0"/>
    <x v="2"/>
    <x v="0"/>
    <x v="0"/>
    <x v="0"/>
    <x v="0"/>
    <x v="1"/>
    <x v="0"/>
  </r>
  <r>
    <n v="1491"/>
    <n v="69"/>
    <x v="1"/>
    <n v="162"/>
    <n v="85"/>
    <x v="1489"/>
    <x v="2"/>
    <s v="114/92"/>
    <x v="0"/>
    <x v="1"/>
    <x v="1"/>
    <x v="2"/>
    <x v="0"/>
    <x v="1"/>
    <x v="0"/>
    <x v="0"/>
    <x v="1"/>
  </r>
  <r>
    <n v="508"/>
    <n v="34"/>
    <x v="0"/>
    <n v="184"/>
    <n v="96"/>
    <x v="1490"/>
    <x v="0"/>
    <s v="139/108"/>
    <x v="2"/>
    <x v="1"/>
    <x v="2"/>
    <x v="2"/>
    <x v="0"/>
    <x v="0"/>
    <x v="1"/>
    <x v="1"/>
    <x v="2"/>
  </r>
  <r>
    <n v="1496"/>
    <n v="22"/>
    <x v="0"/>
    <n v="178"/>
    <n v="72"/>
    <x v="1491"/>
    <x v="2"/>
    <s v="136/87"/>
    <x v="0"/>
    <x v="1"/>
    <x v="1"/>
    <x v="2"/>
    <x v="1"/>
    <x v="1"/>
    <x v="0"/>
    <x v="0"/>
    <x v="1"/>
  </r>
  <r>
    <n v="1499"/>
    <n v="21"/>
    <x v="0"/>
    <n v="175"/>
    <n v="74"/>
    <x v="1492"/>
    <x v="2"/>
    <s v="119/90"/>
    <x v="0"/>
    <x v="0"/>
    <x v="1"/>
    <x v="0"/>
    <x v="0"/>
    <x v="0"/>
    <x v="1"/>
    <x v="0"/>
    <x v="0"/>
  </r>
  <r>
    <n v="1500"/>
    <n v="29"/>
    <x v="1"/>
    <n v="166"/>
    <n v="66"/>
    <x v="1493"/>
    <x v="0"/>
    <s v="133/107"/>
    <x v="1"/>
    <x v="1"/>
    <x v="1"/>
    <x v="3"/>
    <x v="1"/>
    <x v="1"/>
    <x v="0"/>
    <x v="1"/>
    <x v="2"/>
  </r>
  <r>
    <n v="833"/>
    <n v="34"/>
    <x v="1"/>
    <n v="186"/>
    <n v="62"/>
    <x v="1494"/>
    <x v="2"/>
    <s v="158/86"/>
    <x v="0"/>
    <x v="0"/>
    <x v="2"/>
    <x v="3"/>
    <x v="1"/>
    <x v="0"/>
    <x v="0"/>
    <x v="1"/>
    <x v="1"/>
  </r>
  <r>
    <n v="857"/>
    <n v="34"/>
    <x v="1"/>
    <n v="153"/>
    <n v="64"/>
    <x v="1495"/>
    <x v="2"/>
    <s v="125/80"/>
    <x v="1"/>
    <x v="1"/>
    <x v="2"/>
    <x v="0"/>
    <x v="0"/>
    <x v="1"/>
    <x v="1"/>
    <x v="1"/>
    <x v="1"/>
  </r>
  <r>
    <n v="1501"/>
    <n v="62"/>
    <x v="1"/>
    <n v="156"/>
    <n v="95"/>
    <x v="1496"/>
    <x v="1"/>
    <s v="112/109"/>
    <x v="0"/>
    <x v="0"/>
    <x v="1"/>
    <x v="2"/>
    <x v="0"/>
    <x v="1"/>
    <x v="0"/>
    <x v="1"/>
    <x v="1"/>
  </r>
  <r>
    <n v="1020"/>
    <n v="34"/>
    <x v="1"/>
    <n v="169"/>
    <n v="68"/>
    <x v="1497"/>
    <x v="2"/>
    <s v="136/97"/>
    <x v="2"/>
    <x v="0"/>
    <x v="2"/>
    <x v="3"/>
    <x v="0"/>
    <x v="0"/>
    <x v="0"/>
    <x v="0"/>
    <x v="2"/>
  </r>
  <r>
    <n v="1503"/>
    <n v="44"/>
    <x v="1"/>
    <n v="154"/>
    <n v="60"/>
    <x v="1498"/>
    <x v="0"/>
    <s v="111/71"/>
    <x v="0"/>
    <x v="1"/>
    <x v="1"/>
    <x v="1"/>
    <x v="1"/>
    <x v="0"/>
    <x v="1"/>
    <x v="1"/>
    <x v="1"/>
  </r>
  <r>
    <n v="1505"/>
    <n v="68"/>
    <x v="0"/>
    <n v="152"/>
    <n v="83"/>
    <x v="1499"/>
    <x v="0"/>
    <s v="151/89"/>
    <x v="0"/>
    <x v="1"/>
    <x v="1"/>
    <x v="0"/>
    <x v="1"/>
    <x v="0"/>
    <x v="0"/>
    <x v="0"/>
    <x v="1"/>
  </r>
  <r>
    <n v="1106"/>
    <n v="34"/>
    <x v="0"/>
    <n v="157"/>
    <n v="68"/>
    <x v="1500"/>
    <x v="0"/>
    <s v="155/72"/>
    <x v="2"/>
    <x v="0"/>
    <x v="2"/>
    <x v="3"/>
    <x v="0"/>
    <x v="0"/>
    <x v="1"/>
    <x v="0"/>
    <x v="2"/>
  </r>
  <r>
    <n v="1507"/>
    <n v="53"/>
    <x v="0"/>
    <n v="188"/>
    <n v="52"/>
    <x v="1501"/>
    <x v="2"/>
    <s v="154/80"/>
    <x v="1"/>
    <x v="0"/>
    <x v="1"/>
    <x v="3"/>
    <x v="0"/>
    <x v="0"/>
    <x v="1"/>
    <x v="1"/>
    <x v="1"/>
  </r>
  <r>
    <n v="1510"/>
    <n v="60"/>
    <x v="1"/>
    <n v="174"/>
    <n v="63"/>
    <x v="1502"/>
    <x v="0"/>
    <s v="143/78"/>
    <x v="0"/>
    <x v="1"/>
    <x v="1"/>
    <x v="1"/>
    <x v="0"/>
    <x v="0"/>
    <x v="0"/>
    <x v="1"/>
    <x v="1"/>
  </r>
  <r>
    <n v="1189"/>
    <n v="34"/>
    <x v="1"/>
    <n v="153"/>
    <n v="79"/>
    <x v="1503"/>
    <x v="2"/>
    <s v="143/102"/>
    <x v="0"/>
    <x v="0"/>
    <x v="2"/>
    <x v="1"/>
    <x v="0"/>
    <x v="1"/>
    <x v="1"/>
    <x v="1"/>
    <x v="0"/>
  </r>
  <r>
    <n v="1237"/>
    <n v="34"/>
    <x v="0"/>
    <n v="167"/>
    <n v="89"/>
    <x v="1504"/>
    <x v="2"/>
    <s v="126/83"/>
    <x v="1"/>
    <x v="1"/>
    <x v="2"/>
    <x v="2"/>
    <x v="1"/>
    <x v="0"/>
    <x v="1"/>
    <x v="0"/>
    <x v="0"/>
  </r>
  <r>
    <n v="1244"/>
    <n v="34"/>
    <x v="0"/>
    <n v="151"/>
    <n v="77"/>
    <x v="1505"/>
    <x v="0"/>
    <s v="130/99"/>
    <x v="2"/>
    <x v="1"/>
    <x v="2"/>
    <x v="2"/>
    <x v="0"/>
    <x v="0"/>
    <x v="1"/>
    <x v="0"/>
    <x v="1"/>
  </r>
  <r>
    <n v="1511"/>
    <n v="44"/>
    <x v="0"/>
    <n v="152"/>
    <n v="75"/>
    <x v="1506"/>
    <x v="1"/>
    <s v="115/87"/>
    <x v="0"/>
    <x v="1"/>
    <x v="1"/>
    <x v="2"/>
    <x v="0"/>
    <x v="1"/>
    <x v="0"/>
    <x v="0"/>
    <x v="1"/>
  </r>
  <r>
    <n v="1436"/>
    <n v="34"/>
    <x v="0"/>
    <n v="188"/>
    <n v="69"/>
    <x v="1507"/>
    <x v="1"/>
    <s v="135/103"/>
    <x v="2"/>
    <x v="0"/>
    <x v="2"/>
    <x v="3"/>
    <x v="1"/>
    <x v="0"/>
    <x v="0"/>
    <x v="1"/>
    <x v="0"/>
  </r>
  <r>
    <n v="1601"/>
    <n v="34"/>
    <x v="1"/>
    <n v="165"/>
    <n v="74"/>
    <x v="1508"/>
    <x v="0"/>
    <s v="157/79"/>
    <x v="0"/>
    <x v="1"/>
    <x v="2"/>
    <x v="3"/>
    <x v="1"/>
    <x v="1"/>
    <x v="1"/>
    <x v="1"/>
    <x v="1"/>
  </r>
  <r>
    <n v="1626"/>
    <n v="34"/>
    <x v="1"/>
    <n v="150"/>
    <n v="70"/>
    <x v="1509"/>
    <x v="2"/>
    <s v="117/96"/>
    <x v="1"/>
    <x v="0"/>
    <x v="2"/>
    <x v="0"/>
    <x v="1"/>
    <x v="1"/>
    <x v="1"/>
    <x v="1"/>
    <x v="0"/>
  </r>
  <r>
    <n v="1775"/>
    <n v="34"/>
    <x v="1"/>
    <n v="151"/>
    <n v="77"/>
    <x v="1510"/>
    <x v="1"/>
    <s v="123/78"/>
    <x v="2"/>
    <x v="0"/>
    <x v="2"/>
    <x v="3"/>
    <x v="0"/>
    <x v="0"/>
    <x v="0"/>
    <x v="0"/>
    <x v="2"/>
  </r>
  <r>
    <n v="1783"/>
    <n v="34"/>
    <x v="0"/>
    <n v="189"/>
    <n v="93"/>
    <x v="1511"/>
    <x v="0"/>
    <s v="151/81"/>
    <x v="1"/>
    <x v="0"/>
    <x v="2"/>
    <x v="0"/>
    <x v="1"/>
    <x v="1"/>
    <x v="1"/>
    <x v="1"/>
    <x v="1"/>
  </r>
  <r>
    <n v="1786"/>
    <n v="34"/>
    <x v="1"/>
    <n v="157"/>
    <n v="64"/>
    <x v="1512"/>
    <x v="0"/>
    <s v="112/96"/>
    <x v="2"/>
    <x v="1"/>
    <x v="2"/>
    <x v="2"/>
    <x v="0"/>
    <x v="1"/>
    <x v="0"/>
    <x v="1"/>
    <x v="2"/>
  </r>
  <r>
    <n v="1513"/>
    <n v="37"/>
    <x v="0"/>
    <n v="178"/>
    <n v="70"/>
    <x v="1513"/>
    <x v="2"/>
    <s v="123/109"/>
    <x v="2"/>
    <x v="0"/>
    <x v="1"/>
    <x v="0"/>
    <x v="0"/>
    <x v="1"/>
    <x v="1"/>
    <x v="1"/>
    <x v="2"/>
  </r>
  <r>
    <n v="1841"/>
    <n v="34"/>
    <x v="0"/>
    <n v="177"/>
    <n v="64"/>
    <x v="1514"/>
    <x v="2"/>
    <s v="126/73"/>
    <x v="1"/>
    <x v="1"/>
    <x v="2"/>
    <x v="2"/>
    <x v="1"/>
    <x v="1"/>
    <x v="1"/>
    <x v="1"/>
    <x v="0"/>
  </r>
  <r>
    <n v="1887"/>
    <n v="34"/>
    <x v="1"/>
    <n v="181"/>
    <n v="99"/>
    <x v="1515"/>
    <x v="0"/>
    <s v="127/101"/>
    <x v="0"/>
    <x v="1"/>
    <x v="2"/>
    <x v="0"/>
    <x v="1"/>
    <x v="1"/>
    <x v="0"/>
    <x v="0"/>
    <x v="2"/>
  </r>
  <r>
    <n v="1900"/>
    <n v="34"/>
    <x v="1"/>
    <n v="168"/>
    <n v="97"/>
    <x v="1516"/>
    <x v="0"/>
    <s v="131/85"/>
    <x v="2"/>
    <x v="0"/>
    <x v="2"/>
    <x v="2"/>
    <x v="0"/>
    <x v="0"/>
    <x v="0"/>
    <x v="1"/>
    <x v="0"/>
  </r>
  <r>
    <n v="1927"/>
    <n v="34"/>
    <x v="1"/>
    <n v="177"/>
    <n v="78"/>
    <x v="1517"/>
    <x v="0"/>
    <s v="134/85"/>
    <x v="1"/>
    <x v="1"/>
    <x v="2"/>
    <x v="3"/>
    <x v="1"/>
    <x v="0"/>
    <x v="0"/>
    <x v="1"/>
    <x v="0"/>
  </r>
  <r>
    <n v="1517"/>
    <n v="57"/>
    <x v="0"/>
    <n v="174"/>
    <n v="69"/>
    <x v="1518"/>
    <x v="1"/>
    <s v="110/105"/>
    <x v="1"/>
    <x v="0"/>
    <x v="1"/>
    <x v="1"/>
    <x v="1"/>
    <x v="0"/>
    <x v="0"/>
    <x v="1"/>
    <x v="2"/>
  </r>
  <r>
    <n v="1963"/>
    <n v="34"/>
    <x v="0"/>
    <n v="164"/>
    <n v="75"/>
    <x v="1519"/>
    <x v="1"/>
    <s v="147/70"/>
    <x v="2"/>
    <x v="0"/>
    <x v="2"/>
    <x v="2"/>
    <x v="0"/>
    <x v="1"/>
    <x v="0"/>
    <x v="1"/>
    <x v="0"/>
  </r>
  <r>
    <n v="1522"/>
    <n v="64"/>
    <x v="0"/>
    <n v="171"/>
    <n v="58"/>
    <x v="1520"/>
    <x v="0"/>
    <s v="112/106"/>
    <x v="0"/>
    <x v="1"/>
    <x v="1"/>
    <x v="3"/>
    <x v="1"/>
    <x v="1"/>
    <x v="1"/>
    <x v="0"/>
    <x v="2"/>
  </r>
  <r>
    <n v="44"/>
    <n v="33"/>
    <x v="1"/>
    <n v="189"/>
    <n v="57"/>
    <x v="1521"/>
    <x v="1"/>
    <s v="122/109"/>
    <x v="2"/>
    <x v="0"/>
    <x v="2"/>
    <x v="2"/>
    <x v="1"/>
    <x v="0"/>
    <x v="1"/>
    <x v="1"/>
    <x v="0"/>
  </r>
  <r>
    <n v="116"/>
    <n v="33"/>
    <x v="0"/>
    <n v="176"/>
    <n v="52"/>
    <x v="1522"/>
    <x v="2"/>
    <s v="158/87"/>
    <x v="1"/>
    <x v="1"/>
    <x v="2"/>
    <x v="2"/>
    <x v="1"/>
    <x v="0"/>
    <x v="1"/>
    <x v="0"/>
    <x v="2"/>
  </r>
  <r>
    <n v="1523"/>
    <n v="43"/>
    <x v="0"/>
    <n v="165"/>
    <n v="94"/>
    <x v="1523"/>
    <x v="1"/>
    <s v="135/84"/>
    <x v="2"/>
    <x v="1"/>
    <x v="1"/>
    <x v="1"/>
    <x v="0"/>
    <x v="0"/>
    <x v="1"/>
    <x v="1"/>
    <x v="0"/>
  </r>
  <r>
    <n v="1525"/>
    <n v="60"/>
    <x v="0"/>
    <n v="163"/>
    <n v="78"/>
    <x v="1524"/>
    <x v="1"/>
    <s v="122/72"/>
    <x v="0"/>
    <x v="1"/>
    <x v="1"/>
    <x v="0"/>
    <x v="1"/>
    <x v="1"/>
    <x v="1"/>
    <x v="1"/>
    <x v="0"/>
  </r>
  <r>
    <n v="359"/>
    <n v="33"/>
    <x v="0"/>
    <n v="172"/>
    <n v="95"/>
    <x v="1525"/>
    <x v="1"/>
    <s v="133/79"/>
    <x v="2"/>
    <x v="1"/>
    <x v="2"/>
    <x v="0"/>
    <x v="0"/>
    <x v="1"/>
    <x v="1"/>
    <x v="0"/>
    <x v="1"/>
  </r>
  <r>
    <n v="381"/>
    <n v="33"/>
    <x v="0"/>
    <n v="151"/>
    <n v="66"/>
    <x v="1526"/>
    <x v="0"/>
    <s v="148/95"/>
    <x v="2"/>
    <x v="0"/>
    <x v="2"/>
    <x v="2"/>
    <x v="1"/>
    <x v="0"/>
    <x v="1"/>
    <x v="0"/>
    <x v="0"/>
  </r>
  <r>
    <n v="411"/>
    <n v="33"/>
    <x v="0"/>
    <n v="174"/>
    <n v="72"/>
    <x v="1527"/>
    <x v="1"/>
    <s v="129/72"/>
    <x v="0"/>
    <x v="1"/>
    <x v="2"/>
    <x v="2"/>
    <x v="1"/>
    <x v="0"/>
    <x v="0"/>
    <x v="0"/>
    <x v="1"/>
  </r>
  <r>
    <n v="1526"/>
    <n v="29"/>
    <x v="0"/>
    <n v="178"/>
    <n v="57"/>
    <x v="1528"/>
    <x v="1"/>
    <s v="110/78"/>
    <x v="1"/>
    <x v="1"/>
    <x v="1"/>
    <x v="0"/>
    <x v="1"/>
    <x v="0"/>
    <x v="1"/>
    <x v="0"/>
    <x v="1"/>
  </r>
  <r>
    <n v="584"/>
    <n v="33"/>
    <x v="1"/>
    <n v="159"/>
    <n v="73"/>
    <x v="1529"/>
    <x v="1"/>
    <s v="151/72"/>
    <x v="2"/>
    <x v="0"/>
    <x v="2"/>
    <x v="2"/>
    <x v="0"/>
    <x v="1"/>
    <x v="0"/>
    <x v="1"/>
    <x v="2"/>
  </r>
  <r>
    <n v="1528"/>
    <n v="30"/>
    <x v="1"/>
    <n v="168"/>
    <n v="84"/>
    <x v="1530"/>
    <x v="0"/>
    <s v="126/103"/>
    <x v="1"/>
    <x v="0"/>
    <x v="1"/>
    <x v="0"/>
    <x v="1"/>
    <x v="1"/>
    <x v="1"/>
    <x v="1"/>
    <x v="2"/>
  </r>
  <r>
    <n v="1529"/>
    <n v="57"/>
    <x v="0"/>
    <n v="151"/>
    <n v="52"/>
    <x v="1531"/>
    <x v="0"/>
    <s v="118/82"/>
    <x v="2"/>
    <x v="0"/>
    <x v="1"/>
    <x v="3"/>
    <x v="0"/>
    <x v="0"/>
    <x v="0"/>
    <x v="0"/>
    <x v="0"/>
  </r>
  <r>
    <n v="1530"/>
    <n v="79"/>
    <x v="1"/>
    <n v="164"/>
    <n v="94"/>
    <x v="1532"/>
    <x v="1"/>
    <s v="114/82"/>
    <x v="0"/>
    <x v="1"/>
    <x v="0"/>
    <x v="3"/>
    <x v="1"/>
    <x v="1"/>
    <x v="0"/>
    <x v="1"/>
    <x v="2"/>
  </r>
  <r>
    <n v="678"/>
    <n v="33"/>
    <x v="0"/>
    <n v="163"/>
    <n v="51"/>
    <x v="1533"/>
    <x v="0"/>
    <s v="154/84"/>
    <x v="2"/>
    <x v="0"/>
    <x v="2"/>
    <x v="3"/>
    <x v="0"/>
    <x v="0"/>
    <x v="1"/>
    <x v="1"/>
    <x v="2"/>
  </r>
  <r>
    <n v="680"/>
    <n v="33"/>
    <x v="1"/>
    <n v="173"/>
    <n v="85"/>
    <x v="1534"/>
    <x v="0"/>
    <s v="128/82"/>
    <x v="0"/>
    <x v="0"/>
    <x v="2"/>
    <x v="1"/>
    <x v="0"/>
    <x v="1"/>
    <x v="1"/>
    <x v="1"/>
    <x v="2"/>
  </r>
  <r>
    <n v="797"/>
    <n v="33"/>
    <x v="0"/>
    <n v="162"/>
    <n v="75"/>
    <x v="1535"/>
    <x v="0"/>
    <s v="134/77"/>
    <x v="1"/>
    <x v="0"/>
    <x v="2"/>
    <x v="1"/>
    <x v="1"/>
    <x v="0"/>
    <x v="1"/>
    <x v="1"/>
    <x v="1"/>
  </r>
  <r>
    <n v="809"/>
    <n v="33"/>
    <x v="1"/>
    <n v="159"/>
    <n v="69"/>
    <x v="1536"/>
    <x v="2"/>
    <s v="157/87"/>
    <x v="0"/>
    <x v="1"/>
    <x v="2"/>
    <x v="0"/>
    <x v="1"/>
    <x v="1"/>
    <x v="1"/>
    <x v="1"/>
    <x v="2"/>
  </r>
  <r>
    <n v="1531"/>
    <n v="35"/>
    <x v="0"/>
    <n v="152"/>
    <n v="89"/>
    <x v="1537"/>
    <x v="2"/>
    <s v="110/94"/>
    <x v="2"/>
    <x v="0"/>
    <x v="1"/>
    <x v="1"/>
    <x v="0"/>
    <x v="0"/>
    <x v="0"/>
    <x v="0"/>
    <x v="2"/>
  </r>
  <r>
    <n v="1532"/>
    <n v="42"/>
    <x v="0"/>
    <n v="160"/>
    <n v="56"/>
    <x v="1538"/>
    <x v="0"/>
    <s v="156/73"/>
    <x v="0"/>
    <x v="0"/>
    <x v="1"/>
    <x v="2"/>
    <x v="1"/>
    <x v="0"/>
    <x v="0"/>
    <x v="1"/>
    <x v="0"/>
  </r>
  <r>
    <n v="942"/>
    <n v="33"/>
    <x v="1"/>
    <n v="167"/>
    <n v="71"/>
    <x v="1539"/>
    <x v="0"/>
    <s v="125/93"/>
    <x v="1"/>
    <x v="1"/>
    <x v="2"/>
    <x v="1"/>
    <x v="0"/>
    <x v="0"/>
    <x v="1"/>
    <x v="0"/>
    <x v="0"/>
  </r>
  <r>
    <n v="1533"/>
    <n v="50"/>
    <x v="1"/>
    <n v="179"/>
    <n v="76"/>
    <x v="1540"/>
    <x v="1"/>
    <s v="145/79"/>
    <x v="0"/>
    <x v="1"/>
    <x v="1"/>
    <x v="0"/>
    <x v="1"/>
    <x v="0"/>
    <x v="0"/>
    <x v="1"/>
    <x v="0"/>
  </r>
  <r>
    <n v="1138"/>
    <n v="33"/>
    <x v="0"/>
    <n v="166"/>
    <n v="92"/>
    <x v="1541"/>
    <x v="1"/>
    <s v="136/98"/>
    <x v="1"/>
    <x v="1"/>
    <x v="2"/>
    <x v="2"/>
    <x v="1"/>
    <x v="1"/>
    <x v="1"/>
    <x v="1"/>
    <x v="2"/>
  </r>
  <r>
    <n v="1655"/>
    <n v="33"/>
    <x v="1"/>
    <n v="155"/>
    <n v="82"/>
    <x v="1542"/>
    <x v="2"/>
    <s v="130/93"/>
    <x v="1"/>
    <x v="1"/>
    <x v="2"/>
    <x v="0"/>
    <x v="1"/>
    <x v="0"/>
    <x v="1"/>
    <x v="0"/>
    <x v="1"/>
  </r>
  <r>
    <n v="1535"/>
    <n v="57"/>
    <x v="1"/>
    <n v="167"/>
    <n v="76"/>
    <x v="1543"/>
    <x v="1"/>
    <s v="136/81"/>
    <x v="2"/>
    <x v="0"/>
    <x v="1"/>
    <x v="1"/>
    <x v="1"/>
    <x v="0"/>
    <x v="1"/>
    <x v="1"/>
    <x v="1"/>
  </r>
  <r>
    <n v="1539"/>
    <n v="61"/>
    <x v="1"/>
    <n v="171"/>
    <n v="93"/>
    <x v="1544"/>
    <x v="2"/>
    <s v="124/76"/>
    <x v="1"/>
    <x v="0"/>
    <x v="1"/>
    <x v="1"/>
    <x v="0"/>
    <x v="0"/>
    <x v="0"/>
    <x v="1"/>
    <x v="2"/>
  </r>
  <r>
    <n v="1540"/>
    <n v="53"/>
    <x v="0"/>
    <n v="155"/>
    <n v="72"/>
    <x v="1545"/>
    <x v="0"/>
    <s v="145/83"/>
    <x v="0"/>
    <x v="0"/>
    <x v="1"/>
    <x v="3"/>
    <x v="0"/>
    <x v="1"/>
    <x v="0"/>
    <x v="1"/>
    <x v="0"/>
  </r>
  <r>
    <n v="1544"/>
    <n v="73"/>
    <x v="0"/>
    <n v="164"/>
    <n v="82"/>
    <x v="1546"/>
    <x v="2"/>
    <s v="144/81"/>
    <x v="0"/>
    <x v="1"/>
    <x v="0"/>
    <x v="1"/>
    <x v="1"/>
    <x v="0"/>
    <x v="0"/>
    <x v="0"/>
    <x v="0"/>
  </r>
  <r>
    <n v="1545"/>
    <n v="54"/>
    <x v="0"/>
    <n v="177"/>
    <n v="99"/>
    <x v="1547"/>
    <x v="0"/>
    <s v="114/79"/>
    <x v="0"/>
    <x v="0"/>
    <x v="1"/>
    <x v="0"/>
    <x v="0"/>
    <x v="1"/>
    <x v="0"/>
    <x v="1"/>
    <x v="1"/>
  </r>
  <r>
    <n v="45"/>
    <n v="32"/>
    <x v="0"/>
    <n v="170"/>
    <n v="90"/>
    <x v="1548"/>
    <x v="1"/>
    <s v="154/84"/>
    <x v="0"/>
    <x v="1"/>
    <x v="2"/>
    <x v="2"/>
    <x v="0"/>
    <x v="0"/>
    <x v="1"/>
    <x v="0"/>
    <x v="1"/>
  </r>
  <r>
    <n v="107"/>
    <n v="32"/>
    <x v="0"/>
    <n v="150"/>
    <n v="52"/>
    <x v="1549"/>
    <x v="1"/>
    <s v="130/106"/>
    <x v="1"/>
    <x v="0"/>
    <x v="2"/>
    <x v="1"/>
    <x v="0"/>
    <x v="0"/>
    <x v="1"/>
    <x v="0"/>
    <x v="1"/>
  </r>
  <r>
    <n v="130"/>
    <n v="32"/>
    <x v="1"/>
    <n v="158"/>
    <n v="83"/>
    <x v="1550"/>
    <x v="1"/>
    <s v="142/101"/>
    <x v="2"/>
    <x v="1"/>
    <x v="2"/>
    <x v="1"/>
    <x v="0"/>
    <x v="1"/>
    <x v="1"/>
    <x v="0"/>
    <x v="0"/>
  </r>
  <r>
    <n v="1546"/>
    <n v="25"/>
    <x v="1"/>
    <n v="167"/>
    <n v="85"/>
    <x v="1551"/>
    <x v="0"/>
    <s v="150/102"/>
    <x v="1"/>
    <x v="0"/>
    <x v="1"/>
    <x v="3"/>
    <x v="1"/>
    <x v="0"/>
    <x v="0"/>
    <x v="1"/>
    <x v="1"/>
  </r>
  <r>
    <n v="1548"/>
    <n v="66"/>
    <x v="0"/>
    <n v="162"/>
    <n v="90"/>
    <x v="1552"/>
    <x v="0"/>
    <s v="141/80"/>
    <x v="2"/>
    <x v="0"/>
    <x v="1"/>
    <x v="0"/>
    <x v="0"/>
    <x v="0"/>
    <x v="0"/>
    <x v="1"/>
    <x v="1"/>
  </r>
  <r>
    <n v="1549"/>
    <n v="45"/>
    <x v="1"/>
    <n v="164"/>
    <n v="66"/>
    <x v="1553"/>
    <x v="0"/>
    <s v="157/107"/>
    <x v="1"/>
    <x v="0"/>
    <x v="1"/>
    <x v="1"/>
    <x v="1"/>
    <x v="0"/>
    <x v="0"/>
    <x v="0"/>
    <x v="0"/>
  </r>
  <r>
    <n v="1551"/>
    <n v="75"/>
    <x v="0"/>
    <n v="178"/>
    <n v="97"/>
    <x v="1554"/>
    <x v="2"/>
    <s v="128/75"/>
    <x v="2"/>
    <x v="1"/>
    <x v="0"/>
    <x v="0"/>
    <x v="0"/>
    <x v="1"/>
    <x v="1"/>
    <x v="0"/>
    <x v="1"/>
  </r>
  <r>
    <n v="1553"/>
    <n v="71"/>
    <x v="1"/>
    <n v="152"/>
    <n v="97"/>
    <x v="1555"/>
    <x v="2"/>
    <s v="113/102"/>
    <x v="1"/>
    <x v="0"/>
    <x v="0"/>
    <x v="0"/>
    <x v="0"/>
    <x v="1"/>
    <x v="1"/>
    <x v="0"/>
    <x v="0"/>
  </r>
  <r>
    <n v="560"/>
    <n v="32"/>
    <x v="1"/>
    <n v="167"/>
    <n v="78"/>
    <x v="1556"/>
    <x v="2"/>
    <s v="134/87"/>
    <x v="2"/>
    <x v="0"/>
    <x v="2"/>
    <x v="2"/>
    <x v="1"/>
    <x v="0"/>
    <x v="1"/>
    <x v="1"/>
    <x v="2"/>
  </r>
  <r>
    <n v="928"/>
    <n v="32"/>
    <x v="0"/>
    <n v="160"/>
    <n v="79"/>
    <x v="1557"/>
    <x v="2"/>
    <s v="153/91"/>
    <x v="2"/>
    <x v="0"/>
    <x v="2"/>
    <x v="3"/>
    <x v="0"/>
    <x v="0"/>
    <x v="0"/>
    <x v="1"/>
    <x v="0"/>
  </r>
  <r>
    <n v="1075"/>
    <n v="32"/>
    <x v="0"/>
    <n v="180"/>
    <n v="81"/>
    <x v="1558"/>
    <x v="1"/>
    <s v="118/96"/>
    <x v="1"/>
    <x v="0"/>
    <x v="2"/>
    <x v="0"/>
    <x v="0"/>
    <x v="0"/>
    <x v="0"/>
    <x v="0"/>
    <x v="2"/>
  </r>
  <r>
    <n v="1555"/>
    <n v="46"/>
    <x v="1"/>
    <n v="152"/>
    <n v="52"/>
    <x v="1559"/>
    <x v="0"/>
    <s v="152/88"/>
    <x v="2"/>
    <x v="0"/>
    <x v="1"/>
    <x v="3"/>
    <x v="0"/>
    <x v="1"/>
    <x v="1"/>
    <x v="1"/>
    <x v="2"/>
  </r>
  <r>
    <n v="1557"/>
    <n v="57"/>
    <x v="1"/>
    <n v="189"/>
    <n v="84"/>
    <x v="1560"/>
    <x v="2"/>
    <s v="120/75"/>
    <x v="1"/>
    <x v="0"/>
    <x v="1"/>
    <x v="2"/>
    <x v="0"/>
    <x v="1"/>
    <x v="1"/>
    <x v="1"/>
    <x v="1"/>
  </r>
  <r>
    <n v="1560"/>
    <n v="28"/>
    <x v="1"/>
    <n v="180"/>
    <n v="80"/>
    <x v="1561"/>
    <x v="0"/>
    <s v="151/72"/>
    <x v="2"/>
    <x v="0"/>
    <x v="1"/>
    <x v="1"/>
    <x v="1"/>
    <x v="1"/>
    <x v="1"/>
    <x v="1"/>
    <x v="2"/>
  </r>
  <r>
    <n v="1229"/>
    <n v="32"/>
    <x v="1"/>
    <n v="172"/>
    <n v="68"/>
    <x v="1562"/>
    <x v="0"/>
    <s v="156/97"/>
    <x v="0"/>
    <x v="1"/>
    <x v="2"/>
    <x v="1"/>
    <x v="0"/>
    <x v="0"/>
    <x v="0"/>
    <x v="1"/>
    <x v="1"/>
  </r>
  <r>
    <n v="1312"/>
    <n v="32"/>
    <x v="0"/>
    <n v="185"/>
    <n v="55"/>
    <x v="1563"/>
    <x v="0"/>
    <s v="149/80"/>
    <x v="1"/>
    <x v="0"/>
    <x v="2"/>
    <x v="0"/>
    <x v="1"/>
    <x v="0"/>
    <x v="0"/>
    <x v="1"/>
    <x v="0"/>
  </r>
  <r>
    <n v="1323"/>
    <n v="32"/>
    <x v="0"/>
    <n v="159"/>
    <n v="82"/>
    <x v="1564"/>
    <x v="2"/>
    <s v="142/102"/>
    <x v="2"/>
    <x v="0"/>
    <x v="2"/>
    <x v="3"/>
    <x v="0"/>
    <x v="0"/>
    <x v="1"/>
    <x v="0"/>
    <x v="0"/>
  </r>
  <r>
    <n v="1561"/>
    <n v="40"/>
    <x v="1"/>
    <n v="181"/>
    <n v="80"/>
    <x v="1565"/>
    <x v="2"/>
    <s v="112/89"/>
    <x v="1"/>
    <x v="0"/>
    <x v="1"/>
    <x v="0"/>
    <x v="1"/>
    <x v="0"/>
    <x v="0"/>
    <x v="1"/>
    <x v="2"/>
  </r>
  <r>
    <n v="1563"/>
    <n v="63"/>
    <x v="0"/>
    <n v="179"/>
    <n v="73"/>
    <x v="1566"/>
    <x v="2"/>
    <s v="157/72"/>
    <x v="1"/>
    <x v="0"/>
    <x v="1"/>
    <x v="0"/>
    <x v="1"/>
    <x v="0"/>
    <x v="1"/>
    <x v="1"/>
    <x v="0"/>
  </r>
  <r>
    <n v="1566"/>
    <n v="43"/>
    <x v="1"/>
    <n v="177"/>
    <n v="99"/>
    <x v="1567"/>
    <x v="0"/>
    <s v="115/89"/>
    <x v="2"/>
    <x v="0"/>
    <x v="1"/>
    <x v="0"/>
    <x v="1"/>
    <x v="0"/>
    <x v="0"/>
    <x v="1"/>
    <x v="1"/>
  </r>
  <r>
    <n v="1493"/>
    <n v="32"/>
    <x v="1"/>
    <n v="183"/>
    <n v="55"/>
    <x v="1568"/>
    <x v="0"/>
    <s v="155/97"/>
    <x v="2"/>
    <x v="1"/>
    <x v="2"/>
    <x v="0"/>
    <x v="0"/>
    <x v="1"/>
    <x v="1"/>
    <x v="1"/>
    <x v="0"/>
  </r>
  <r>
    <n v="1577"/>
    <n v="32"/>
    <x v="1"/>
    <n v="166"/>
    <n v="64"/>
    <x v="1569"/>
    <x v="2"/>
    <s v="149/92"/>
    <x v="0"/>
    <x v="1"/>
    <x v="2"/>
    <x v="0"/>
    <x v="1"/>
    <x v="0"/>
    <x v="0"/>
    <x v="1"/>
    <x v="1"/>
  </r>
  <r>
    <n v="1952"/>
    <n v="32"/>
    <x v="1"/>
    <n v="169"/>
    <n v="62"/>
    <x v="1570"/>
    <x v="2"/>
    <s v="153/78"/>
    <x v="1"/>
    <x v="1"/>
    <x v="2"/>
    <x v="2"/>
    <x v="0"/>
    <x v="0"/>
    <x v="1"/>
    <x v="0"/>
    <x v="0"/>
  </r>
  <r>
    <n v="1971"/>
    <n v="32"/>
    <x v="0"/>
    <n v="157"/>
    <n v="82"/>
    <x v="1571"/>
    <x v="1"/>
    <s v="144/76"/>
    <x v="0"/>
    <x v="0"/>
    <x v="2"/>
    <x v="2"/>
    <x v="1"/>
    <x v="0"/>
    <x v="1"/>
    <x v="1"/>
    <x v="1"/>
  </r>
  <r>
    <n v="66"/>
    <n v="31"/>
    <x v="0"/>
    <n v="160"/>
    <n v="71"/>
    <x v="1572"/>
    <x v="1"/>
    <s v="142/71"/>
    <x v="0"/>
    <x v="0"/>
    <x v="2"/>
    <x v="3"/>
    <x v="0"/>
    <x v="1"/>
    <x v="1"/>
    <x v="1"/>
    <x v="2"/>
  </r>
  <r>
    <n v="83"/>
    <n v="31"/>
    <x v="0"/>
    <n v="151"/>
    <n v="91"/>
    <x v="1573"/>
    <x v="2"/>
    <s v="158/95"/>
    <x v="1"/>
    <x v="1"/>
    <x v="2"/>
    <x v="0"/>
    <x v="0"/>
    <x v="1"/>
    <x v="1"/>
    <x v="0"/>
    <x v="2"/>
  </r>
  <r>
    <n v="104"/>
    <n v="31"/>
    <x v="0"/>
    <n v="161"/>
    <n v="94"/>
    <x v="1574"/>
    <x v="0"/>
    <s v="137/99"/>
    <x v="1"/>
    <x v="0"/>
    <x v="2"/>
    <x v="2"/>
    <x v="0"/>
    <x v="1"/>
    <x v="0"/>
    <x v="1"/>
    <x v="2"/>
  </r>
  <r>
    <n v="1567"/>
    <n v="63"/>
    <x v="1"/>
    <n v="180"/>
    <n v="63"/>
    <x v="1575"/>
    <x v="2"/>
    <s v="120/101"/>
    <x v="1"/>
    <x v="0"/>
    <x v="1"/>
    <x v="2"/>
    <x v="0"/>
    <x v="1"/>
    <x v="0"/>
    <x v="1"/>
    <x v="0"/>
  </r>
  <r>
    <n v="177"/>
    <n v="31"/>
    <x v="1"/>
    <n v="157"/>
    <n v="72"/>
    <x v="1576"/>
    <x v="0"/>
    <s v="150/105"/>
    <x v="1"/>
    <x v="0"/>
    <x v="2"/>
    <x v="0"/>
    <x v="1"/>
    <x v="1"/>
    <x v="1"/>
    <x v="0"/>
    <x v="0"/>
  </r>
  <r>
    <n v="1568"/>
    <n v="53"/>
    <x v="0"/>
    <n v="183"/>
    <n v="99"/>
    <x v="1577"/>
    <x v="0"/>
    <s v="136/90"/>
    <x v="0"/>
    <x v="0"/>
    <x v="1"/>
    <x v="1"/>
    <x v="1"/>
    <x v="0"/>
    <x v="1"/>
    <x v="0"/>
    <x v="0"/>
  </r>
  <r>
    <n v="1571"/>
    <n v="74"/>
    <x v="0"/>
    <n v="185"/>
    <n v="55"/>
    <x v="1578"/>
    <x v="0"/>
    <s v="156/91"/>
    <x v="0"/>
    <x v="0"/>
    <x v="0"/>
    <x v="3"/>
    <x v="1"/>
    <x v="0"/>
    <x v="0"/>
    <x v="1"/>
    <x v="0"/>
  </r>
  <r>
    <n v="1574"/>
    <n v="72"/>
    <x v="0"/>
    <n v="186"/>
    <n v="99"/>
    <x v="1579"/>
    <x v="2"/>
    <s v="140/106"/>
    <x v="0"/>
    <x v="0"/>
    <x v="0"/>
    <x v="2"/>
    <x v="0"/>
    <x v="1"/>
    <x v="0"/>
    <x v="0"/>
    <x v="2"/>
  </r>
  <r>
    <n v="1578"/>
    <n v="38"/>
    <x v="1"/>
    <n v="184"/>
    <n v="52"/>
    <x v="1580"/>
    <x v="0"/>
    <s v="140/98"/>
    <x v="0"/>
    <x v="0"/>
    <x v="1"/>
    <x v="2"/>
    <x v="0"/>
    <x v="0"/>
    <x v="0"/>
    <x v="0"/>
    <x v="0"/>
  </r>
  <r>
    <n v="1579"/>
    <n v="64"/>
    <x v="0"/>
    <n v="186"/>
    <n v="96"/>
    <x v="1581"/>
    <x v="0"/>
    <s v="156/99"/>
    <x v="0"/>
    <x v="1"/>
    <x v="1"/>
    <x v="3"/>
    <x v="1"/>
    <x v="0"/>
    <x v="0"/>
    <x v="0"/>
    <x v="0"/>
  </r>
  <r>
    <n v="817"/>
    <n v="31"/>
    <x v="0"/>
    <n v="178"/>
    <n v="54"/>
    <x v="1582"/>
    <x v="0"/>
    <s v="111/107"/>
    <x v="1"/>
    <x v="1"/>
    <x v="2"/>
    <x v="1"/>
    <x v="0"/>
    <x v="0"/>
    <x v="1"/>
    <x v="1"/>
    <x v="1"/>
  </r>
  <r>
    <n v="1581"/>
    <n v="70"/>
    <x v="0"/>
    <n v="178"/>
    <n v="90"/>
    <x v="1583"/>
    <x v="1"/>
    <s v="147/88"/>
    <x v="1"/>
    <x v="0"/>
    <x v="0"/>
    <x v="0"/>
    <x v="1"/>
    <x v="0"/>
    <x v="1"/>
    <x v="1"/>
    <x v="0"/>
  </r>
  <r>
    <n v="1036"/>
    <n v="31"/>
    <x v="1"/>
    <n v="175"/>
    <n v="61"/>
    <x v="1584"/>
    <x v="1"/>
    <s v="115/102"/>
    <x v="0"/>
    <x v="0"/>
    <x v="2"/>
    <x v="2"/>
    <x v="0"/>
    <x v="1"/>
    <x v="0"/>
    <x v="0"/>
    <x v="1"/>
  </r>
  <r>
    <n v="1078"/>
    <n v="31"/>
    <x v="1"/>
    <n v="159"/>
    <n v="58"/>
    <x v="1585"/>
    <x v="0"/>
    <s v="149/94"/>
    <x v="2"/>
    <x v="0"/>
    <x v="2"/>
    <x v="3"/>
    <x v="0"/>
    <x v="0"/>
    <x v="0"/>
    <x v="0"/>
    <x v="2"/>
  </r>
  <r>
    <n v="1583"/>
    <n v="27"/>
    <x v="0"/>
    <n v="177"/>
    <n v="73"/>
    <x v="1586"/>
    <x v="1"/>
    <s v="149/107"/>
    <x v="2"/>
    <x v="1"/>
    <x v="1"/>
    <x v="2"/>
    <x v="0"/>
    <x v="1"/>
    <x v="1"/>
    <x v="1"/>
    <x v="1"/>
  </r>
  <r>
    <n v="1588"/>
    <n v="58"/>
    <x v="0"/>
    <n v="166"/>
    <n v="98"/>
    <x v="1587"/>
    <x v="0"/>
    <s v="128/80"/>
    <x v="2"/>
    <x v="1"/>
    <x v="1"/>
    <x v="1"/>
    <x v="0"/>
    <x v="1"/>
    <x v="1"/>
    <x v="1"/>
    <x v="0"/>
  </r>
  <r>
    <n v="1206"/>
    <n v="31"/>
    <x v="1"/>
    <n v="154"/>
    <n v="99"/>
    <x v="1588"/>
    <x v="0"/>
    <s v="146/103"/>
    <x v="1"/>
    <x v="0"/>
    <x v="2"/>
    <x v="3"/>
    <x v="1"/>
    <x v="1"/>
    <x v="0"/>
    <x v="0"/>
    <x v="2"/>
  </r>
  <r>
    <n v="1591"/>
    <n v="42"/>
    <x v="0"/>
    <n v="180"/>
    <n v="83"/>
    <x v="1589"/>
    <x v="1"/>
    <s v="159/95"/>
    <x v="1"/>
    <x v="1"/>
    <x v="1"/>
    <x v="2"/>
    <x v="1"/>
    <x v="0"/>
    <x v="1"/>
    <x v="0"/>
    <x v="0"/>
  </r>
  <r>
    <n v="1592"/>
    <n v="43"/>
    <x v="1"/>
    <n v="152"/>
    <n v="64"/>
    <x v="1590"/>
    <x v="1"/>
    <s v="117/74"/>
    <x v="2"/>
    <x v="1"/>
    <x v="1"/>
    <x v="1"/>
    <x v="0"/>
    <x v="1"/>
    <x v="0"/>
    <x v="0"/>
    <x v="0"/>
  </r>
  <r>
    <n v="1386"/>
    <n v="31"/>
    <x v="0"/>
    <n v="171"/>
    <n v="64"/>
    <x v="1591"/>
    <x v="1"/>
    <s v="116/77"/>
    <x v="1"/>
    <x v="1"/>
    <x v="2"/>
    <x v="2"/>
    <x v="0"/>
    <x v="0"/>
    <x v="0"/>
    <x v="0"/>
    <x v="1"/>
  </r>
  <r>
    <n v="1404"/>
    <n v="31"/>
    <x v="1"/>
    <n v="178"/>
    <n v="52"/>
    <x v="1592"/>
    <x v="1"/>
    <s v="126/89"/>
    <x v="1"/>
    <x v="1"/>
    <x v="2"/>
    <x v="1"/>
    <x v="0"/>
    <x v="1"/>
    <x v="0"/>
    <x v="0"/>
    <x v="1"/>
  </r>
  <r>
    <n v="1413"/>
    <n v="31"/>
    <x v="0"/>
    <n v="184"/>
    <n v="62"/>
    <x v="1593"/>
    <x v="1"/>
    <s v="155/104"/>
    <x v="2"/>
    <x v="0"/>
    <x v="2"/>
    <x v="0"/>
    <x v="0"/>
    <x v="1"/>
    <x v="1"/>
    <x v="0"/>
    <x v="1"/>
  </r>
  <r>
    <n v="1595"/>
    <n v="19"/>
    <x v="0"/>
    <n v="185"/>
    <n v="78"/>
    <x v="1594"/>
    <x v="0"/>
    <s v="150/73"/>
    <x v="1"/>
    <x v="0"/>
    <x v="1"/>
    <x v="0"/>
    <x v="0"/>
    <x v="0"/>
    <x v="1"/>
    <x v="1"/>
    <x v="1"/>
  </r>
  <r>
    <n v="1441"/>
    <n v="31"/>
    <x v="0"/>
    <n v="161"/>
    <n v="74"/>
    <x v="1595"/>
    <x v="1"/>
    <s v="141/107"/>
    <x v="0"/>
    <x v="0"/>
    <x v="2"/>
    <x v="1"/>
    <x v="0"/>
    <x v="1"/>
    <x v="1"/>
    <x v="1"/>
    <x v="1"/>
  </r>
  <r>
    <n v="1556"/>
    <n v="31"/>
    <x v="1"/>
    <n v="163"/>
    <n v="96"/>
    <x v="1596"/>
    <x v="2"/>
    <s v="152/81"/>
    <x v="2"/>
    <x v="1"/>
    <x v="2"/>
    <x v="2"/>
    <x v="1"/>
    <x v="1"/>
    <x v="1"/>
    <x v="1"/>
    <x v="1"/>
  </r>
  <r>
    <n v="1605"/>
    <n v="76"/>
    <x v="1"/>
    <n v="151"/>
    <n v="76"/>
    <x v="1597"/>
    <x v="0"/>
    <s v="159/82"/>
    <x v="0"/>
    <x v="1"/>
    <x v="0"/>
    <x v="0"/>
    <x v="1"/>
    <x v="1"/>
    <x v="1"/>
    <x v="1"/>
    <x v="2"/>
  </r>
  <r>
    <n v="1718"/>
    <n v="31"/>
    <x v="0"/>
    <n v="169"/>
    <n v="55"/>
    <x v="1598"/>
    <x v="0"/>
    <s v="134/100"/>
    <x v="2"/>
    <x v="0"/>
    <x v="2"/>
    <x v="2"/>
    <x v="1"/>
    <x v="0"/>
    <x v="1"/>
    <x v="0"/>
    <x v="1"/>
  </r>
  <r>
    <n v="1729"/>
    <n v="31"/>
    <x v="1"/>
    <n v="153"/>
    <n v="56"/>
    <x v="1599"/>
    <x v="2"/>
    <s v="146/77"/>
    <x v="1"/>
    <x v="0"/>
    <x v="2"/>
    <x v="3"/>
    <x v="1"/>
    <x v="0"/>
    <x v="1"/>
    <x v="0"/>
    <x v="0"/>
  </r>
  <r>
    <n v="1787"/>
    <n v="31"/>
    <x v="0"/>
    <n v="178"/>
    <n v="83"/>
    <x v="1600"/>
    <x v="1"/>
    <s v="127/99"/>
    <x v="1"/>
    <x v="0"/>
    <x v="2"/>
    <x v="2"/>
    <x v="1"/>
    <x v="0"/>
    <x v="0"/>
    <x v="0"/>
    <x v="1"/>
  </r>
  <r>
    <n v="1606"/>
    <n v="68"/>
    <x v="0"/>
    <n v="179"/>
    <n v="51"/>
    <x v="1601"/>
    <x v="0"/>
    <s v="155/87"/>
    <x v="2"/>
    <x v="1"/>
    <x v="1"/>
    <x v="0"/>
    <x v="1"/>
    <x v="1"/>
    <x v="0"/>
    <x v="0"/>
    <x v="0"/>
  </r>
  <r>
    <n v="1607"/>
    <n v="71"/>
    <x v="0"/>
    <n v="179"/>
    <n v="66"/>
    <x v="1602"/>
    <x v="0"/>
    <s v="142/90"/>
    <x v="1"/>
    <x v="1"/>
    <x v="0"/>
    <x v="3"/>
    <x v="0"/>
    <x v="1"/>
    <x v="1"/>
    <x v="1"/>
    <x v="1"/>
  </r>
  <r>
    <n v="192"/>
    <n v="30"/>
    <x v="0"/>
    <n v="184"/>
    <n v="54"/>
    <x v="1603"/>
    <x v="2"/>
    <s v="137/72"/>
    <x v="0"/>
    <x v="1"/>
    <x v="2"/>
    <x v="3"/>
    <x v="1"/>
    <x v="1"/>
    <x v="0"/>
    <x v="0"/>
    <x v="0"/>
  </r>
  <r>
    <n v="1611"/>
    <n v="69"/>
    <x v="0"/>
    <n v="164"/>
    <n v="79"/>
    <x v="1604"/>
    <x v="2"/>
    <s v="157/81"/>
    <x v="2"/>
    <x v="0"/>
    <x v="1"/>
    <x v="1"/>
    <x v="1"/>
    <x v="0"/>
    <x v="0"/>
    <x v="0"/>
    <x v="1"/>
  </r>
  <r>
    <n v="1612"/>
    <n v="23"/>
    <x v="0"/>
    <n v="165"/>
    <n v="78"/>
    <x v="1605"/>
    <x v="1"/>
    <s v="145/102"/>
    <x v="0"/>
    <x v="0"/>
    <x v="1"/>
    <x v="3"/>
    <x v="1"/>
    <x v="1"/>
    <x v="0"/>
    <x v="0"/>
    <x v="1"/>
  </r>
  <r>
    <n v="524"/>
    <n v="30"/>
    <x v="0"/>
    <n v="177"/>
    <n v="65"/>
    <x v="1606"/>
    <x v="0"/>
    <s v="148/88"/>
    <x v="2"/>
    <x v="0"/>
    <x v="2"/>
    <x v="1"/>
    <x v="1"/>
    <x v="1"/>
    <x v="0"/>
    <x v="1"/>
    <x v="2"/>
  </r>
  <r>
    <n v="1614"/>
    <n v="41"/>
    <x v="0"/>
    <n v="175"/>
    <n v="70"/>
    <x v="1607"/>
    <x v="1"/>
    <s v="140/90"/>
    <x v="1"/>
    <x v="1"/>
    <x v="1"/>
    <x v="0"/>
    <x v="1"/>
    <x v="0"/>
    <x v="0"/>
    <x v="0"/>
    <x v="1"/>
  </r>
  <r>
    <n v="1615"/>
    <n v="50"/>
    <x v="1"/>
    <n v="151"/>
    <n v="71"/>
    <x v="1608"/>
    <x v="1"/>
    <s v="136/96"/>
    <x v="0"/>
    <x v="1"/>
    <x v="1"/>
    <x v="1"/>
    <x v="0"/>
    <x v="1"/>
    <x v="0"/>
    <x v="0"/>
    <x v="1"/>
  </r>
  <r>
    <n v="765"/>
    <n v="30"/>
    <x v="0"/>
    <n v="167"/>
    <n v="68"/>
    <x v="1609"/>
    <x v="0"/>
    <s v="110/75"/>
    <x v="1"/>
    <x v="1"/>
    <x v="2"/>
    <x v="3"/>
    <x v="0"/>
    <x v="0"/>
    <x v="0"/>
    <x v="1"/>
    <x v="0"/>
  </r>
  <r>
    <n v="778"/>
    <n v="30"/>
    <x v="1"/>
    <n v="185"/>
    <n v="80"/>
    <x v="1610"/>
    <x v="1"/>
    <s v="111/92"/>
    <x v="0"/>
    <x v="0"/>
    <x v="2"/>
    <x v="0"/>
    <x v="0"/>
    <x v="1"/>
    <x v="0"/>
    <x v="1"/>
    <x v="2"/>
  </r>
  <r>
    <n v="1618"/>
    <n v="60"/>
    <x v="0"/>
    <n v="172"/>
    <n v="65"/>
    <x v="1611"/>
    <x v="2"/>
    <s v="111/81"/>
    <x v="0"/>
    <x v="1"/>
    <x v="1"/>
    <x v="1"/>
    <x v="0"/>
    <x v="1"/>
    <x v="1"/>
    <x v="1"/>
    <x v="0"/>
  </r>
  <r>
    <n v="879"/>
    <n v="30"/>
    <x v="1"/>
    <n v="177"/>
    <n v="96"/>
    <x v="1612"/>
    <x v="2"/>
    <s v="124/93"/>
    <x v="2"/>
    <x v="1"/>
    <x v="2"/>
    <x v="2"/>
    <x v="0"/>
    <x v="1"/>
    <x v="0"/>
    <x v="1"/>
    <x v="2"/>
  </r>
  <r>
    <n v="892"/>
    <n v="30"/>
    <x v="0"/>
    <n v="153"/>
    <n v="95"/>
    <x v="1613"/>
    <x v="2"/>
    <s v="139/87"/>
    <x v="1"/>
    <x v="1"/>
    <x v="2"/>
    <x v="2"/>
    <x v="0"/>
    <x v="1"/>
    <x v="0"/>
    <x v="1"/>
    <x v="0"/>
  </r>
  <r>
    <n v="970"/>
    <n v="30"/>
    <x v="0"/>
    <n v="171"/>
    <n v="57"/>
    <x v="1614"/>
    <x v="2"/>
    <s v="116/91"/>
    <x v="1"/>
    <x v="1"/>
    <x v="2"/>
    <x v="1"/>
    <x v="0"/>
    <x v="1"/>
    <x v="1"/>
    <x v="0"/>
    <x v="0"/>
  </r>
  <r>
    <n v="974"/>
    <n v="30"/>
    <x v="0"/>
    <n v="185"/>
    <n v="99"/>
    <x v="1615"/>
    <x v="2"/>
    <s v="144/99"/>
    <x v="2"/>
    <x v="1"/>
    <x v="2"/>
    <x v="2"/>
    <x v="1"/>
    <x v="1"/>
    <x v="1"/>
    <x v="1"/>
    <x v="0"/>
  </r>
  <r>
    <n v="1009"/>
    <n v="30"/>
    <x v="0"/>
    <n v="163"/>
    <n v="50"/>
    <x v="1616"/>
    <x v="1"/>
    <s v="145/109"/>
    <x v="2"/>
    <x v="0"/>
    <x v="2"/>
    <x v="0"/>
    <x v="0"/>
    <x v="1"/>
    <x v="1"/>
    <x v="1"/>
    <x v="2"/>
  </r>
  <r>
    <n v="1620"/>
    <n v="43"/>
    <x v="1"/>
    <n v="181"/>
    <n v="98"/>
    <x v="1617"/>
    <x v="2"/>
    <s v="116/73"/>
    <x v="1"/>
    <x v="0"/>
    <x v="1"/>
    <x v="1"/>
    <x v="0"/>
    <x v="0"/>
    <x v="1"/>
    <x v="0"/>
    <x v="1"/>
  </r>
  <r>
    <n v="1621"/>
    <n v="45"/>
    <x v="1"/>
    <n v="187"/>
    <n v="92"/>
    <x v="1618"/>
    <x v="2"/>
    <s v="146/107"/>
    <x v="1"/>
    <x v="0"/>
    <x v="1"/>
    <x v="0"/>
    <x v="0"/>
    <x v="1"/>
    <x v="1"/>
    <x v="0"/>
    <x v="1"/>
  </r>
  <r>
    <n v="1245"/>
    <n v="30"/>
    <x v="0"/>
    <n v="155"/>
    <n v="97"/>
    <x v="1619"/>
    <x v="2"/>
    <s v="137/100"/>
    <x v="0"/>
    <x v="1"/>
    <x v="2"/>
    <x v="0"/>
    <x v="0"/>
    <x v="0"/>
    <x v="1"/>
    <x v="0"/>
    <x v="1"/>
  </r>
  <r>
    <n v="1350"/>
    <n v="30"/>
    <x v="1"/>
    <n v="160"/>
    <n v="68"/>
    <x v="1620"/>
    <x v="1"/>
    <s v="147/92"/>
    <x v="2"/>
    <x v="0"/>
    <x v="2"/>
    <x v="1"/>
    <x v="0"/>
    <x v="1"/>
    <x v="0"/>
    <x v="1"/>
    <x v="2"/>
  </r>
  <r>
    <n v="1622"/>
    <n v="67"/>
    <x v="1"/>
    <n v="152"/>
    <n v="66"/>
    <x v="1621"/>
    <x v="0"/>
    <s v="141/80"/>
    <x v="1"/>
    <x v="0"/>
    <x v="1"/>
    <x v="3"/>
    <x v="1"/>
    <x v="0"/>
    <x v="1"/>
    <x v="1"/>
    <x v="1"/>
  </r>
  <r>
    <n v="1485"/>
    <n v="30"/>
    <x v="1"/>
    <n v="152"/>
    <n v="94"/>
    <x v="1622"/>
    <x v="0"/>
    <s v="154/101"/>
    <x v="1"/>
    <x v="0"/>
    <x v="2"/>
    <x v="0"/>
    <x v="1"/>
    <x v="0"/>
    <x v="0"/>
    <x v="1"/>
    <x v="1"/>
  </r>
  <r>
    <n v="1624"/>
    <n v="66"/>
    <x v="0"/>
    <n v="152"/>
    <n v="51"/>
    <x v="1623"/>
    <x v="1"/>
    <s v="151/93"/>
    <x v="2"/>
    <x v="1"/>
    <x v="1"/>
    <x v="1"/>
    <x v="1"/>
    <x v="1"/>
    <x v="1"/>
    <x v="0"/>
    <x v="2"/>
  </r>
  <r>
    <n v="1640"/>
    <n v="30"/>
    <x v="0"/>
    <n v="153"/>
    <n v="89"/>
    <x v="1624"/>
    <x v="0"/>
    <s v="111/75"/>
    <x v="0"/>
    <x v="0"/>
    <x v="2"/>
    <x v="2"/>
    <x v="0"/>
    <x v="1"/>
    <x v="1"/>
    <x v="1"/>
    <x v="1"/>
  </r>
  <r>
    <n v="32"/>
    <n v="29"/>
    <x v="0"/>
    <n v="189"/>
    <n v="81"/>
    <x v="1625"/>
    <x v="1"/>
    <s v="121/99"/>
    <x v="1"/>
    <x v="0"/>
    <x v="2"/>
    <x v="2"/>
    <x v="1"/>
    <x v="1"/>
    <x v="0"/>
    <x v="0"/>
    <x v="1"/>
  </r>
  <r>
    <n v="158"/>
    <n v="29"/>
    <x v="0"/>
    <n v="154"/>
    <n v="74"/>
    <x v="1626"/>
    <x v="2"/>
    <s v="135/77"/>
    <x v="0"/>
    <x v="1"/>
    <x v="2"/>
    <x v="3"/>
    <x v="1"/>
    <x v="1"/>
    <x v="0"/>
    <x v="1"/>
    <x v="2"/>
  </r>
  <r>
    <n v="273"/>
    <n v="29"/>
    <x v="0"/>
    <n v="189"/>
    <n v="99"/>
    <x v="1627"/>
    <x v="0"/>
    <s v="146/104"/>
    <x v="0"/>
    <x v="1"/>
    <x v="2"/>
    <x v="3"/>
    <x v="0"/>
    <x v="0"/>
    <x v="0"/>
    <x v="1"/>
    <x v="0"/>
  </r>
  <r>
    <n v="370"/>
    <n v="29"/>
    <x v="0"/>
    <n v="168"/>
    <n v="81"/>
    <x v="1628"/>
    <x v="1"/>
    <s v="131/92"/>
    <x v="0"/>
    <x v="0"/>
    <x v="2"/>
    <x v="3"/>
    <x v="0"/>
    <x v="1"/>
    <x v="0"/>
    <x v="1"/>
    <x v="2"/>
  </r>
  <r>
    <n v="429"/>
    <n v="29"/>
    <x v="1"/>
    <n v="172"/>
    <n v="95"/>
    <x v="1629"/>
    <x v="1"/>
    <s v="142/79"/>
    <x v="1"/>
    <x v="1"/>
    <x v="2"/>
    <x v="3"/>
    <x v="1"/>
    <x v="0"/>
    <x v="1"/>
    <x v="0"/>
    <x v="2"/>
  </r>
  <r>
    <n v="1625"/>
    <n v="24"/>
    <x v="1"/>
    <n v="179"/>
    <n v="53"/>
    <x v="1630"/>
    <x v="2"/>
    <s v="152/86"/>
    <x v="2"/>
    <x v="0"/>
    <x v="1"/>
    <x v="0"/>
    <x v="1"/>
    <x v="1"/>
    <x v="1"/>
    <x v="1"/>
    <x v="1"/>
  </r>
  <r>
    <n v="1628"/>
    <n v="58"/>
    <x v="1"/>
    <n v="181"/>
    <n v="83"/>
    <x v="1631"/>
    <x v="0"/>
    <s v="131/85"/>
    <x v="2"/>
    <x v="1"/>
    <x v="1"/>
    <x v="2"/>
    <x v="1"/>
    <x v="1"/>
    <x v="1"/>
    <x v="0"/>
    <x v="2"/>
  </r>
  <r>
    <n v="1631"/>
    <n v="71"/>
    <x v="0"/>
    <n v="162"/>
    <n v="66"/>
    <x v="1632"/>
    <x v="1"/>
    <s v="136/86"/>
    <x v="0"/>
    <x v="1"/>
    <x v="0"/>
    <x v="1"/>
    <x v="0"/>
    <x v="0"/>
    <x v="0"/>
    <x v="1"/>
    <x v="1"/>
  </r>
  <r>
    <n v="1633"/>
    <n v="45"/>
    <x v="1"/>
    <n v="185"/>
    <n v="74"/>
    <x v="1633"/>
    <x v="0"/>
    <s v="116/83"/>
    <x v="0"/>
    <x v="0"/>
    <x v="1"/>
    <x v="1"/>
    <x v="0"/>
    <x v="0"/>
    <x v="1"/>
    <x v="0"/>
    <x v="1"/>
  </r>
  <r>
    <n v="1636"/>
    <n v="66"/>
    <x v="0"/>
    <n v="159"/>
    <n v="69"/>
    <x v="1634"/>
    <x v="0"/>
    <s v="152/96"/>
    <x v="0"/>
    <x v="0"/>
    <x v="1"/>
    <x v="3"/>
    <x v="1"/>
    <x v="0"/>
    <x v="1"/>
    <x v="1"/>
    <x v="0"/>
  </r>
  <r>
    <n v="699"/>
    <n v="29"/>
    <x v="0"/>
    <n v="178"/>
    <n v="86"/>
    <x v="1635"/>
    <x v="0"/>
    <s v="133/108"/>
    <x v="1"/>
    <x v="1"/>
    <x v="2"/>
    <x v="1"/>
    <x v="0"/>
    <x v="0"/>
    <x v="0"/>
    <x v="1"/>
    <x v="0"/>
  </r>
  <r>
    <n v="1637"/>
    <n v="24"/>
    <x v="0"/>
    <n v="188"/>
    <n v="65"/>
    <x v="1636"/>
    <x v="0"/>
    <s v="138/106"/>
    <x v="2"/>
    <x v="0"/>
    <x v="1"/>
    <x v="0"/>
    <x v="0"/>
    <x v="0"/>
    <x v="1"/>
    <x v="0"/>
    <x v="1"/>
  </r>
  <r>
    <n v="762"/>
    <n v="29"/>
    <x v="1"/>
    <n v="184"/>
    <n v="84"/>
    <x v="1637"/>
    <x v="0"/>
    <s v="128/94"/>
    <x v="2"/>
    <x v="0"/>
    <x v="2"/>
    <x v="3"/>
    <x v="1"/>
    <x v="0"/>
    <x v="0"/>
    <x v="1"/>
    <x v="2"/>
  </r>
  <r>
    <n v="1641"/>
    <n v="47"/>
    <x v="0"/>
    <n v="181"/>
    <n v="58"/>
    <x v="1638"/>
    <x v="0"/>
    <s v="155/73"/>
    <x v="1"/>
    <x v="1"/>
    <x v="1"/>
    <x v="1"/>
    <x v="0"/>
    <x v="1"/>
    <x v="0"/>
    <x v="1"/>
    <x v="2"/>
  </r>
  <r>
    <n v="787"/>
    <n v="29"/>
    <x v="0"/>
    <n v="152"/>
    <n v="69"/>
    <x v="1639"/>
    <x v="2"/>
    <s v="140/75"/>
    <x v="2"/>
    <x v="1"/>
    <x v="2"/>
    <x v="3"/>
    <x v="1"/>
    <x v="0"/>
    <x v="0"/>
    <x v="1"/>
    <x v="0"/>
  </r>
  <r>
    <n v="1643"/>
    <n v="68"/>
    <x v="0"/>
    <n v="155"/>
    <n v="91"/>
    <x v="1640"/>
    <x v="2"/>
    <s v="118/72"/>
    <x v="0"/>
    <x v="1"/>
    <x v="1"/>
    <x v="1"/>
    <x v="1"/>
    <x v="0"/>
    <x v="1"/>
    <x v="0"/>
    <x v="0"/>
  </r>
  <r>
    <n v="1649"/>
    <n v="47"/>
    <x v="1"/>
    <n v="182"/>
    <n v="71"/>
    <x v="1641"/>
    <x v="1"/>
    <s v="110/95"/>
    <x v="1"/>
    <x v="1"/>
    <x v="1"/>
    <x v="2"/>
    <x v="0"/>
    <x v="0"/>
    <x v="0"/>
    <x v="1"/>
    <x v="2"/>
  </r>
  <r>
    <n v="939"/>
    <n v="29"/>
    <x v="0"/>
    <n v="160"/>
    <n v="74"/>
    <x v="1642"/>
    <x v="1"/>
    <s v="133/77"/>
    <x v="0"/>
    <x v="1"/>
    <x v="2"/>
    <x v="1"/>
    <x v="1"/>
    <x v="1"/>
    <x v="1"/>
    <x v="0"/>
    <x v="1"/>
  </r>
  <r>
    <n v="945"/>
    <n v="29"/>
    <x v="0"/>
    <n v="187"/>
    <n v="98"/>
    <x v="1643"/>
    <x v="1"/>
    <s v="148/75"/>
    <x v="1"/>
    <x v="0"/>
    <x v="2"/>
    <x v="2"/>
    <x v="1"/>
    <x v="0"/>
    <x v="1"/>
    <x v="1"/>
    <x v="1"/>
  </r>
  <r>
    <n v="1062"/>
    <n v="29"/>
    <x v="1"/>
    <n v="176"/>
    <n v="73"/>
    <x v="1644"/>
    <x v="1"/>
    <s v="115/98"/>
    <x v="0"/>
    <x v="1"/>
    <x v="2"/>
    <x v="3"/>
    <x v="0"/>
    <x v="1"/>
    <x v="0"/>
    <x v="1"/>
    <x v="2"/>
  </r>
  <r>
    <n v="1650"/>
    <n v="46"/>
    <x v="1"/>
    <n v="177"/>
    <n v="71"/>
    <x v="1645"/>
    <x v="0"/>
    <s v="137/78"/>
    <x v="0"/>
    <x v="0"/>
    <x v="1"/>
    <x v="3"/>
    <x v="1"/>
    <x v="1"/>
    <x v="1"/>
    <x v="1"/>
    <x v="1"/>
  </r>
  <r>
    <n v="1340"/>
    <n v="29"/>
    <x v="1"/>
    <n v="188"/>
    <n v="83"/>
    <x v="1646"/>
    <x v="2"/>
    <s v="150/107"/>
    <x v="1"/>
    <x v="0"/>
    <x v="2"/>
    <x v="0"/>
    <x v="1"/>
    <x v="0"/>
    <x v="0"/>
    <x v="0"/>
    <x v="1"/>
  </r>
  <r>
    <n v="1651"/>
    <n v="66"/>
    <x v="1"/>
    <n v="157"/>
    <n v="83"/>
    <x v="1647"/>
    <x v="0"/>
    <s v="153/91"/>
    <x v="0"/>
    <x v="1"/>
    <x v="1"/>
    <x v="1"/>
    <x v="1"/>
    <x v="0"/>
    <x v="1"/>
    <x v="0"/>
    <x v="1"/>
  </r>
  <r>
    <n v="1653"/>
    <n v="46"/>
    <x v="0"/>
    <n v="186"/>
    <n v="87"/>
    <x v="1648"/>
    <x v="2"/>
    <s v="148/88"/>
    <x v="2"/>
    <x v="0"/>
    <x v="1"/>
    <x v="3"/>
    <x v="1"/>
    <x v="0"/>
    <x v="0"/>
    <x v="0"/>
    <x v="2"/>
  </r>
  <r>
    <n v="1654"/>
    <n v="47"/>
    <x v="1"/>
    <n v="171"/>
    <n v="95"/>
    <x v="1649"/>
    <x v="0"/>
    <s v="134/107"/>
    <x v="0"/>
    <x v="1"/>
    <x v="1"/>
    <x v="3"/>
    <x v="1"/>
    <x v="1"/>
    <x v="1"/>
    <x v="0"/>
    <x v="1"/>
  </r>
  <r>
    <n v="1538"/>
    <n v="29"/>
    <x v="1"/>
    <n v="157"/>
    <n v="56"/>
    <x v="1650"/>
    <x v="0"/>
    <s v="119/100"/>
    <x v="0"/>
    <x v="1"/>
    <x v="2"/>
    <x v="2"/>
    <x v="0"/>
    <x v="1"/>
    <x v="1"/>
    <x v="1"/>
    <x v="1"/>
  </r>
  <r>
    <n v="1759"/>
    <n v="29"/>
    <x v="0"/>
    <n v="178"/>
    <n v="84"/>
    <x v="1651"/>
    <x v="2"/>
    <s v="157/87"/>
    <x v="0"/>
    <x v="1"/>
    <x v="2"/>
    <x v="1"/>
    <x v="0"/>
    <x v="1"/>
    <x v="1"/>
    <x v="0"/>
    <x v="2"/>
  </r>
  <r>
    <n v="1821"/>
    <n v="29"/>
    <x v="1"/>
    <n v="187"/>
    <n v="64"/>
    <x v="1652"/>
    <x v="2"/>
    <s v="130/79"/>
    <x v="1"/>
    <x v="1"/>
    <x v="2"/>
    <x v="1"/>
    <x v="1"/>
    <x v="0"/>
    <x v="0"/>
    <x v="0"/>
    <x v="2"/>
  </r>
  <r>
    <n v="1834"/>
    <n v="29"/>
    <x v="1"/>
    <n v="189"/>
    <n v="72"/>
    <x v="1653"/>
    <x v="1"/>
    <s v="133/108"/>
    <x v="2"/>
    <x v="1"/>
    <x v="2"/>
    <x v="2"/>
    <x v="0"/>
    <x v="1"/>
    <x v="0"/>
    <x v="0"/>
    <x v="0"/>
  </r>
  <r>
    <n v="1657"/>
    <n v="36"/>
    <x v="1"/>
    <n v="181"/>
    <n v="56"/>
    <x v="1654"/>
    <x v="0"/>
    <s v="159/71"/>
    <x v="2"/>
    <x v="1"/>
    <x v="1"/>
    <x v="1"/>
    <x v="1"/>
    <x v="0"/>
    <x v="1"/>
    <x v="0"/>
    <x v="0"/>
  </r>
  <r>
    <n v="1658"/>
    <n v="35"/>
    <x v="1"/>
    <n v="184"/>
    <n v="50"/>
    <x v="1655"/>
    <x v="0"/>
    <s v="123/101"/>
    <x v="0"/>
    <x v="0"/>
    <x v="1"/>
    <x v="1"/>
    <x v="0"/>
    <x v="0"/>
    <x v="0"/>
    <x v="1"/>
    <x v="1"/>
  </r>
  <r>
    <n v="1951"/>
    <n v="29"/>
    <x v="1"/>
    <n v="170"/>
    <n v="58"/>
    <x v="1656"/>
    <x v="0"/>
    <s v="126/106"/>
    <x v="2"/>
    <x v="0"/>
    <x v="2"/>
    <x v="0"/>
    <x v="0"/>
    <x v="0"/>
    <x v="1"/>
    <x v="1"/>
    <x v="2"/>
  </r>
  <r>
    <n v="1659"/>
    <n v="18"/>
    <x v="1"/>
    <n v="164"/>
    <n v="82"/>
    <x v="1657"/>
    <x v="0"/>
    <s v="151/101"/>
    <x v="0"/>
    <x v="0"/>
    <x v="1"/>
    <x v="3"/>
    <x v="0"/>
    <x v="0"/>
    <x v="0"/>
    <x v="1"/>
    <x v="0"/>
  </r>
  <r>
    <n v="14"/>
    <n v="28"/>
    <x v="0"/>
    <n v="183"/>
    <n v="61"/>
    <x v="1658"/>
    <x v="1"/>
    <s v="142/77"/>
    <x v="2"/>
    <x v="1"/>
    <x v="2"/>
    <x v="3"/>
    <x v="1"/>
    <x v="0"/>
    <x v="0"/>
    <x v="1"/>
    <x v="2"/>
  </r>
  <r>
    <n v="141"/>
    <n v="28"/>
    <x v="0"/>
    <n v="152"/>
    <n v="50"/>
    <x v="1659"/>
    <x v="2"/>
    <s v="141/75"/>
    <x v="0"/>
    <x v="0"/>
    <x v="2"/>
    <x v="0"/>
    <x v="0"/>
    <x v="0"/>
    <x v="1"/>
    <x v="1"/>
    <x v="2"/>
  </r>
  <r>
    <n v="231"/>
    <n v="28"/>
    <x v="1"/>
    <n v="185"/>
    <n v="87"/>
    <x v="1660"/>
    <x v="1"/>
    <s v="121/74"/>
    <x v="0"/>
    <x v="1"/>
    <x v="2"/>
    <x v="2"/>
    <x v="1"/>
    <x v="0"/>
    <x v="1"/>
    <x v="1"/>
    <x v="1"/>
  </r>
  <r>
    <n v="306"/>
    <n v="28"/>
    <x v="1"/>
    <n v="167"/>
    <n v="85"/>
    <x v="1661"/>
    <x v="2"/>
    <s v="152/78"/>
    <x v="2"/>
    <x v="0"/>
    <x v="2"/>
    <x v="0"/>
    <x v="0"/>
    <x v="1"/>
    <x v="0"/>
    <x v="0"/>
    <x v="1"/>
  </r>
  <r>
    <n v="317"/>
    <n v="28"/>
    <x v="1"/>
    <n v="189"/>
    <n v="77"/>
    <x v="1662"/>
    <x v="0"/>
    <s v="127/72"/>
    <x v="1"/>
    <x v="0"/>
    <x v="2"/>
    <x v="1"/>
    <x v="0"/>
    <x v="1"/>
    <x v="0"/>
    <x v="1"/>
    <x v="2"/>
  </r>
  <r>
    <n v="347"/>
    <n v="28"/>
    <x v="1"/>
    <n v="157"/>
    <n v="67"/>
    <x v="1663"/>
    <x v="2"/>
    <s v="155/91"/>
    <x v="0"/>
    <x v="1"/>
    <x v="2"/>
    <x v="1"/>
    <x v="1"/>
    <x v="0"/>
    <x v="0"/>
    <x v="1"/>
    <x v="0"/>
  </r>
  <r>
    <n v="390"/>
    <n v="28"/>
    <x v="0"/>
    <n v="152"/>
    <n v="71"/>
    <x v="1664"/>
    <x v="1"/>
    <s v="118/85"/>
    <x v="1"/>
    <x v="0"/>
    <x v="2"/>
    <x v="1"/>
    <x v="0"/>
    <x v="0"/>
    <x v="1"/>
    <x v="0"/>
    <x v="2"/>
  </r>
  <r>
    <n v="735"/>
    <n v="28"/>
    <x v="1"/>
    <n v="159"/>
    <n v="55"/>
    <x v="1665"/>
    <x v="0"/>
    <s v="145/104"/>
    <x v="2"/>
    <x v="0"/>
    <x v="2"/>
    <x v="0"/>
    <x v="0"/>
    <x v="0"/>
    <x v="0"/>
    <x v="1"/>
    <x v="0"/>
  </r>
  <r>
    <n v="1660"/>
    <n v="31"/>
    <x v="0"/>
    <n v="154"/>
    <n v="50"/>
    <x v="1666"/>
    <x v="2"/>
    <s v="137/108"/>
    <x v="0"/>
    <x v="0"/>
    <x v="1"/>
    <x v="2"/>
    <x v="1"/>
    <x v="0"/>
    <x v="0"/>
    <x v="0"/>
    <x v="2"/>
  </r>
  <r>
    <n v="1661"/>
    <n v="68"/>
    <x v="0"/>
    <n v="155"/>
    <n v="73"/>
    <x v="1667"/>
    <x v="0"/>
    <s v="149/109"/>
    <x v="1"/>
    <x v="1"/>
    <x v="1"/>
    <x v="3"/>
    <x v="1"/>
    <x v="0"/>
    <x v="0"/>
    <x v="0"/>
    <x v="0"/>
  </r>
  <r>
    <n v="1662"/>
    <n v="64"/>
    <x v="1"/>
    <n v="174"/>
    <n v="53"/>
    <x v="1668"/>
    <x v="0"/>
    <s v="122/81"/>
    <x v="0"/>
    <x v="1"/>
    <x v="1"/>
    <x v="1"/>
    <x v="1"/>
    <x v="1"/>
    <x v="1"/>
    <x v="0"/>
    <x v="2"/>
  </r>
  <r>
    <n v="1663"/>
    <n v="67"/>
    <x v="1"/>
    <n v="189"/>
    <n v="53"/>
    <x v="1669"/>
    <x v="1"/>
    <s v="117/84"/>
    <x v="0"/>
    <x v="0"/>
    <x v="1"/>
    <x v="3"/>
    <x v="0"/>
    <x v="0"/>
    <x v="1"/>
    <x v="0"/>
    <x v="0"/>
  </r>
  <r>
    <n v="1665"/>
    <n v="71"/>
    <x v="0"/>
    <n v="156"/>
    <n v="76"/>
    <x v="1670"/>
    <x v="0"/>
    <s v="152/96"/>
    <x v="0"/>
    <x v="1"/>
    <x v="0"/>
    <x v="3"/>
    <x v="1"/>
    <x v="0"/>
    <x v="0"/>
    <x v="1"/>
    <x v="1"/>
  </r>
  <r>
    <n v="1669"/>
    <n v="47"/>
    <x v="0"/>
    <n v="167"/>
    <n v="77"/>
    <x v="1671"/>
    <x v="2"/>
    <s v="110/76"/>
    <x v="0"/>
    <x v="0"/>
    <x v="1"/>
    <x v="1"/>
    <x v="1"/>
    <x v="0"/>
    <x v="0"/>
    <x v="0"/>
    <x v="2"/>
  </r>
  <r>
    <n v="1670"/>
    <n v="55"/>
    <x v="0"/>
    <n v="151"/>
    <n v="91"/>
    <x v="1672"/>
    <x v="0"/>
    <s v="135/76"/>
    <x v="0"/>
    <x v="1"/>
    <x v="1"/>
    <x v="3"/>
    <x v="1"/>
    <x v="0"/>
    <x v="1"/>
    <x v="0"/>
    <x v="1"/>
  </r>
  <r>
    <n v="1289"/>
    <n v="28"/>
    <x v="0"/>
    <n v="155"/>
    <n v="55"/>
    <x v="1673"/>
    <x v="2"/>
    <s v="125/80"/>
    <x v="1"/>
    <x v="0"/>
    <x v="2"/>
    <x v="0"/>
    <x v="1"/>
    <x v="0"/>
    <x v="0"/>
    <x v="1"/>
    <x v="1"/>
  </r>
  <r>
    <n v="1672"/>
    <n v="21"/>
    <x v="0"/>
    <n v="160"/>
    <n v="85"/>
    <x v="1674"/>
    <x v="2"/>
    <s v="125/72"/>
    <x v="1"/>
    <x v="1"/>
    <x v="1"/>
    <x v="3"/>
    <x v="0"/>
    <x v="0"/>
    <x v="1"/>
    <x v="1"/>
    <x v="2"/>
  </r>
  <r>
    <n v="1673"/>
    <n v="18"/>
    <x v="1"/>
    <n v="182"/>
    <n v="55"/>
    <x v="1675"/>
    <x v="1"/>
    <s v="154/79"/>
    <x v="1"/>
    <x v="1"/>
    <x v="1"/>
    <x v="1"/>
    <x v="1"/>
    <x v="1"/>
    <x v="0"/>
    <x v="0"/>
    <x v="2"/>
  </r>
  <r>
    <n v="1675"/>
    <n v="46"/>
    <x v="0"/>
    <n v="176"/>
    <n v="83"/>
    <x v="1676"/>
    <x v="1"/>
    <s v="130/106"/>
    <x v="2"/>
    <x v="0"/>
    <x v="1"/>
    <x v="1"/>
    <x v="1"/>
    <x v="1"/>
    <x v="1"/>
    <x v="0"/>
    <x v="1"/>
  </r>
  <r>
    <n v="1680"/>
    <n v="27"/>
    <x v="0"/>
    <n v="181"/>
    <n v="98"/>
    <x v="1677"/>
    <x v="0"/>
    <s v="133/92"/>
    <x v="1"/>
    <x v="0"/>
    <x v="1"/>
    <x v="1"/>
    <x v="0"/>
    <x v="1"/>
    <x v="1"/>
    <x v="0"/>
    <x v="1"/>
  </r>
  <r>
    <n v="1389"/>
    <n v="28"/>
    <x v="0"/>
    <n v="153"/>
    <n v="54"/>
    <x v="1678"/>
    <x v="1"/>
    <s v="119/80"/>
    <x v="0"/>
    <x v="0"/>
    <x v="2"/>
    <x v="1"/>
    <x v="0"/>
    <x v="0"/>
    <x v="0"/>
    <x v="1"/>
    <x v="2"/>
  </r>
  <r>
    <n v="1682"/>
    <n v="36"/>
    <x v="0"/>
    <n v="152"/>
    <n v="67"/>
    <x v="1679"/>
    <x v="1"/>
    <s v="151/72"/>
    <x v="2"/>
    <x v="1"/>
    <x v="1"/>
    <x v="0"/>
    <x v="1"/>
    <x v="0"/>
    <x v="0"/>
    <x v="0"/>
    <x v="0"/>
  </r>
  <r>
    <n v="1514"/>
    <n v="28"/>
    <x v="1"/>
    <n v="181"/>
    <n v="88"/>
    <x v="1680"/>
    <x v="2"/>
    <s v="126/104"/>
    <x v="1"/>
    <x v="0"/>
    <x v="2"/>
    <x v="3"/>
    <x v="0"/>
    <x v="1"/>
    <x v="0"/>
    <x v="1"/>
    <x v="0"/>
  </r>
  <r>
    <n v="1683"/>
    <n v="63"/>
    <x v="0"/>
    <n v="176"/>
    <n v="62"/>
    <x v="1681"/>
    <x v="0"/>
    <s v="136/72"/>
    <x v="1"/>
    <x v="0"/>
    <x v="1"/>
    <x v="2"/>
    <x v="1"/>
    <x v="1"/>
    <x v="0"/>
    <x v="1"/>
    <x v="2"/>
  </r>
  <r>
    <n v="1593"/>
    <n v="28"/>
    <x v="1"/>
    <n v="170"/>
    <n v="93"/>
    <x v="1682"/>
    <x v="0"/>
    <s v="116/85"/>
    <x v="1"/>
    <x v="1"/>
    <x v="2"/>
    <x v="1"/>
    <x v="0"/>
    <x v="1"/>
    <x v="0"/>
    <x v="0"/>
    <x v="2"/>
  </r>
  <r>
    <n v="1753"/>
    <n v="28"/>
    <x v="1"/>
    <n v="164"/>
    <n v="95"/>
    <x v="1683"/>
    <x v="1"/>
    <s v="155/107"/>
    <x v="0"/>
    <x v="0"/>
    <x v="2"/>
    <x v="3"/>
    <x v="1"/>
    <x v="0"/>
    <x v="1"/>
    <x v="1"/>
    <x v="1"/>
  </r>
  <r>
    <n v="1684"/>
    <n v="51"/>
    <x v="0"/>
    <n v="184"/>
    <n v="98"/>
    <x v="1684"/>
    <x v="1"/>
    <s v="137/86"/>
    <x v="2"/>
    <x v="1"/>
    <x v="1"/>
    <x v="3"/>
    <x v="1"/>
    <x v="1"/>
    <x v="0"/>
    <x v="0"/>
    <x v="1"/>
  </r>
  <r>
    <n v="1685"/>
    <n v="77"/>
    <x v="0"/>
    <n v="180"/>
    <n v="86"/>
    <x v="1685"/>
    <x v="2"/>
    <s v="140/79"/>
    <x v="2"/>
    <x v="0"/>
    <x v="0"/>
    <x v="1"/>
    <x v="0"/>
    <x v="1"/>
    <x v="0"/>
    <x v="0"/>
    <x v="0"/>
  </r>
  <r>
    <n v="1862"/>
    <n v="28"/>
    <x v="1"/>
    <n v="187"/>
    <n v="88"/>
    <x v="1686"/>
    <x v="2"/>
    <s v="121/79"/>
    <x v="0"/>
    <x v="0"/>
    <x v="2"/>
    <x v="1"/>
    <x v="1"/>
    <x v="1"/>
    <x v="0"/>
    <x v="1"/>
    <x v="2"/>
  </r>
  <r>
    <n v="1691"/>
    <n v="67"/>
    <x v="0"/>
    <n v="170"/>
    <n v="67"/>
    <x v="1687"/>
    <x v="2"/>
    <s v="158/76"/>
    <x v="1"/>
    <x v="0"/>
    <x v="1"/>
    <x v="0"/>
    <x v="0"/>
    <x v="0"/>
    <x v="1"/>
    <x v="1"/>
    <x v="0"/>
  </r>
  <r>
    <n v="661"/>
    <n v="27"/>
    <x v="0"/>
    <n v="179"/>
    <n v="83"/>
    <x v="1688"/>
    <x v="2"/>
    <s v="120/72"/>
    <x v="0"/>
    <x v="0"/>
    <x v="2"/>
    <x v="1"/>
    <x v="1"/>
    <x v="0"/>
    <x v="0"/>
    <x v="0"/>
    <x v="1"/>
  </r>
  <r>
    <n v="1693"/>
    <n v="46"/>
    <x v="1"/>
    <n v="179"/>
    <n v="79"/>
    <x v="1689"/>
    <x v="1"/>
    <s v="122/72"/>
    <x v="0"/>
    <x v="1"/>
    <x v="1"/>
    <x v="3"/>
    <x v="0"/>
    <x v="0"/>
    <x v="1"/>
    <x v="1"/>
    <x v="0"/>
  </r>
  <r>
    <n v="1694"/>
    <n v="25"/>
    <x v="0"/>
    <n v="184"/>
    <n v="83"/>
    <x v="1690"/>
    <x v="2"/>
    <s v="111/85"/>
    <x v="1"/>
    <x v="1"/>
    <x v="1"/>
    <x v="3"/>
    <x v="1"/>
    <x v="0"/>
    <x v="1"/>
    <x v="0"/>
    <x v="0"/>
  </r>
  <r>
    <n v="723"/>
    <n v="27"/>
    <x v="0"/>
    <n v="162"/>
    <n v="72"/>
    <x v="1691"/>
    <x v="2"/>
    <s v="125/73"/>
    <x v="0"/>
    <x v="1"/>
    <x v="2"/>
    <x v="3"/>
    <x v="0"/>
    <x v="0"/>
    <x v="1"/>
    <x v="0"/>
    <x v="1"/>
  </r>
  <r>
    <n v="1696"/>
    <n v="74"/>
    <x v="0"/>
    <n v="187"/>
    <n v="52"/>
    <x v="1692"/>
    <x v="2"/>
    <s v="115/76"/>
    <x v="2"/>
    <x v="0"/>
    <x v="0"/>
    <x v="3"/>
    <x v="1"/>
    <x v="0"/>
    <x v="1"/>
    <x v="0"/>
    <x v="0"/>
  </r>
  <r>
    <n v="1697"/>
    <n v="72"/>
    <x v="0"/>
    <n v="180"/>
    <n v="56"/>
    <x v="1693"/>
    <x v="0"/>
    <s v="114/76"/>
    <x v="2"/>
    <x v="1"/>
    <x v="0"/>
    <x v="3"/>
    <x v="1"/>
    <x v="0"/>
    <x v="1"/>
    <x v="0"/>
    <x v="2"/>
  </r>
  <r>
    <n v="872"/>
    <n v="27"/>
    <x v="0"/>
    <n v="158"/>
    <n v="98"/>
    <x v="1694"/>
    <x v="0"/>
    <s v="156/81"/>
    <x v="2"/>
    <x v="1"/>
    <x v="2"/>
    <x v="3"/>
    <x v="0"/>
    <x v="0"/>
    <x v="0"/>
    <x v="0"/>
    <x v="0"/>
  </r>
  <r>
    <n v="940"/>
    <n v="27"/>
    <x v="1"/>
    <n v="186"/>
    <n v="91"/>
    <x v="1695"/>
    <x v="0"/>
    <s v="118/106"/>
    <x v="0"/>
    <x v="1"/>
    <x v="2"/>
    <x v="2"/>
    <x v="0"/>
    <x v="1"/>
    <x v="0"/>
    <x v="0"/>
    <x v="2"/>
  </r>
  <r>
    <n v="1701"/>
    <n v="76"/>
    <x v="1"/>
    <n v="185"/>
    <n v="89"/>
    <x v="1696"/>
    <x v="0"/>
    <s v="130/90"/>
    <x v="1"/>
    <x v="1"/>
    <x v="0"/>
    <x v="1"/>
    <x v="0"/>
    <x v="1"/>
    <x v="0"/>
    <x v="0"/>
    <x v="1"/>
  </r>
  <r>
    <n v="1031"/>
    <n v="27"/>
    <x v="0"/>
    <n v="154"/>
    <n v="79"/>
    <x v="1697"/>
    <x v="1"/>
    <s v="117/98"/>
    <x v="2"/>
    <x v="1"/>
    <x v="2"/>
    <x v="2"/>
    <x v="1"/>
    <x v="1"/>
    <x v="0"/>
    <x v="0"/>
    <x v="2"/>
  </r>
  <r>
    <n v="1704"/>
    <n v="71"/>
    <x v="1"/>
    <n v="184"/>
    <n v="50"/>
    <x v="1698"/>
    <x v="0"/>
    <s v="127/108"/>
    <x v="1"/>
    <x v="0"/>
    <x v="0"/>
    <x v="0"/>
    <x v="1"/>
    <x v="1"/>
    <x v="0"/>
    <x v="0"/>
    <x v="0"/>
  </r>
  <r>
    <n v="1110"/>
    <n v="27"/>
    <x v="0"/>
    <n v="181"/>
    <n v="69"/>
    <x v="1699"/>
    <x v="2"/>
    <s v="118/89"/>
    <x v="0"/>
    <x v="0"/>
    <x v="2"/>
    <x v="0"/>
    <x v="1"/>
    <x v="0"/>
    <x v="0"/>
    <x v="0"/>
    <x v="1"/>
  </r>
  <r>
    <n v="1113"/>
    <n v="27"/>
    <x v="0"/>
    <n v="166"/>
    <n v="70"/>
    <x v="1700"/>
    <x v="0"/>
    <s v="112/78"/>
    <x v="1"/>
    <x v="0"/>
    <x v="2"/>
    <x v="3"/>
    <x v="1"/>
    <x v="1"/>
    <x v="1"/>
    <x v="1"/>
    <x v="2"/>
  </r>
  <r>
    <n v="1706"/>
    <n v="64"/>
    <x v="0"/>
    <n v="165"/>
    <n v="95"/>
    <x v="1701"/>
    <x v="1"/>
    <s v="126/91"/>
    <x v="1"/>
    <x v="0"/>
    <x v="1"/>
    <x v="1"/>
    <x v="1"/>
    <x v="1"/>
    <x v="0"/>
    <x v="1"/>
    <x v="0"/>
  </r>
  <r>
    <n v="1249"/>
    <n v="27"/>
    <x v="1"/>
    <n v="167"/>
    <n v="57"/>
    <x v="1702"/>
    <x v="0"/>
    <s v="130/78"/>
    <x v="2"/>
    <x v="1"/>
    <x v="2"/>
    <x v="2"/>
    <x v="1"/>
    <x v="0"/>
    <x v="0"/>
    <x v="0"/>
    <x v="1"/>
  </r>
  <r>
    <n v="1707"/>
    <n v="54"/>
    <x v="1"/>
    <n v="154"/>
    <n v="98"/>
    <x v="1703"/>
    <x v="0"/>
    <s v="146/89"/>
    <x v="1"/>
    <x v="1"/>
    <x v="1"/>
    <x v="3"/>
    <x v="1"/>
    <x v="1"/>
    <x v="1"/>
    <x v="0"/>
    <x v="0"/>
  </r>
  <r>
    <n v="1360"/>
    <n v="27"/>
    <x v="1"/>
    <n v="152"/>
    <n v="55"/>
    <x v="1704"/>
    <x v="2"/>
    <s v="143/84"/>
    <x v="2"/>
    <x v="0"/>
    <x v="2"/>
    <x v="3"/>
    <x v="0"/>
    <x v="1"/>
    <x v="0"/>
    <x v="1"/>
    <x v="0"/>
  </r>
  <r>
    <n v="1478"/>
    <n v="27"/>
    <x v="0"/>
    <n v="177"/>
    <n v="57"/>
    <x v="1705"/>
    <x v="1"/>
    <s v="156/72"/>
    <x v="2"/>
    <x v="0"/>
    <x v="2"/>
    <x v="3"/>
    <x v="1"/>
    <x v="0"/>
    <x v="1"/>
    <x v="0"/>
    <x v="0"/>
  </r>
  <r>
    <n v="1481"/>
    <n v="27"/>
    <x v="1"/>
    <n v="158"/>
    <n v="65"/>
    <x v="1706"/>
    <x v="1"/>
    <s v="153/88"/>
    <x v="2"/>
    <x v="1"/>
    <x v="2"/>
    <x v="1"/>
    <x v="0"/>
    <x v="0"/>
    <x v="0"/>
    <x v="1"/>
    <x v="2"/>
  </r>
  <r>
    <n v="1516"/>
    <n v="27"/>
    <x v="0"/>
    <n v="165"/>
    <n v="57"/>
    <x v="1707"/>
    <x v="2"/>
    <s v="152/77"/>
    <x v="2"/>
    <x v="0"/>
    <x v="2"/>
    <x v="3"/>
    <x v="1"/>
    <x v="0"/>
    <x v="0"/>
    <x v="0"/>
    <x v="2"/>
  </r>
  <r>
    <n v="1709"/>
    <n v="68"/>
    <x v="0"/>
    <n v="159"/>
    <n v="92"/>
    <x v="1708"/>
    <x v="2"/>
    <s v="143/83"/>
    <x v="0"/>
    <x v="0"/>
    <x v="1"/>
    <x v="2"/>
    <x v="0"/>
    <x v="0"/>
    <x v="0"/>
    <x v="1"/>
    <x v="1"/>
  </r>
  <r>
    <n v="1710"/>
    <n v="50"/>
    <x v="0"/>
    <n v="168"/>
    <n v="78"/>
    <x v="1709"/>
    <x v="2"/>
    <s v="157/92"/>
    <x v="1"/>
    <x v="1"/>
    <x v="1"/>
    <x v="1"/>
    <x v="1"/>
    <x v="0"/>
    <x v="1"/>
    <x v="0"/>
    <x v="1"/>
  </r>
  <r>
    <n v="1681"/>
    <n v="27"/>
    <x v="1"/>
    <n v="159"/>
    <n v="62"/>
    <x v="1710"/>
    <x v="2"/>
    <s v="157/88"/>
    <x v="1"/>
    <x v="1"/>
    <x v="2"/>
    <x v="0"/>
    <x v="1"/>
    <x v="1"/>
    <x v="1"/>
    <x v="0"/>
    <x v="1"/>
  </r>
  <r>
    <n v="1714"/>
    <n v="51"/>
    <x v="1"/>
    <n v="168"/>
    <n v="58"/>
    <x v="1711"/>
    <x v="0"/>
    <s v="145/77"/>
    <x v="0"/>
    <x v="0"/>
    <x v="1"/>
    <x v="1"/>
    <x v="1"/>
    <x v="1"/>
    <x v="0"/>
    <x v="1"/>
    <x v="1"/>
  </r>
  <r>
    <n v="1715"/>
    <n v="52"/>
    <x v="1"/>
    <n v="151"/>
    <n v="96"/>
    <x v="1712"/>
    <x v="0"/>
    <s v="149/91"/>
    <x v="2"/>
    <x v="0"/>
    <x v="1"/>
    <x v="2"/>
    <x v="1"/>
    <x v="0"/>
    <x v="1"/>
    <x v="0"/>
    <x v="0"/>
  </r>
  <r>
    <n v="1719"/>
    <n v="49"/>
    <x v="0"/>
    <n v="168"/>
    <n v="69"/>
    <x v="1713"/>
    <x v="0"/>
    <s v="130/96"/>
    <x v="1"/>
    <x v="0"/>
    <x v="1"/>
    <x v="0"/>
    <x v="0"/>
    <x v="0"/>
    <x v="1"/>
    <x v="0"/>
    <x v="2"/>
  </r>
  <r>
    <n v="1928"/>
    <n v="27"/>
    <x v="1"/>
    <n v="179"/>
    <n v="73"/>
    <x v="1714"/>
    <x v="1"/>
    <s v="151/83"/>
    <x v="1"/>
    <x v="0"/>
    <x v="2"/>
    <x v="2"/>
    <x v="0"/>
    <x v="0"/>
    <x v="0"/>
    <x v="0"/>
    <x v="0"/>
  </r>
  <r>
    <n v="1721"/>
    <n v="63"/>
    <x v="0"/>
    <n v="173"/>
    <n v="76"/>
    <x v="1715"/>
    <x v="1"/>
    <s v="140/95"/>
    <x v="0"/>
    <x v="0"/>
    <x v="1"/>
    <x v="3"/>
    <x v="0"/>
    <x v="1"/>
    <x v="0"/>
    <x v="0"/>
    <x v="0"/>
  </r>
  <r>
    <n v="1723"/>
    <n v="33"/>
    <x v="1"/>
    <n v="183"/>
    <n v="57"/>
    <x v="1716"/>
    <x v="1"/>
    <s v="110/73"/>
    <x v="1"/>
    <x v="0"/>
    <x v="1"/>
    <x v="1"/>
    <x v="0"/>
    <x v="0"/>
    <x v="1"/>
    <x v="0"/>
    <x v="0"/>
  </r>
  <r>
    <n v="69"/>
    <n v="26"/>
    <x v="1"/>
    <n v="157"/>
    <n v="92"/>
    <x v="1717"/>
    <x v="2"/>
    <s v="125/84"/>
    <x v="2"/>
    <x v="1"/>
    <x v="2"/>
    <x v="2"/>
    <x v="0"/>
    <x v="0"/>
    <x v="1"/>
    <x v="0"/>
    <x v="1"/>
  </r>
  <r>
    <n v="1724"/>
    <n v="21"/>
    <x v="0"/>
    <n v="177"/>
    <n v="50"/>
    <x v="1718"/>
    <x v="1"/>
    <s v="113/95"/>
    <x v="0"/>
    <x v="1"/>
    <x v="1"/>
    <x v="2"/>
    <x v="1"/>
    <x v="1"/>
    <x v="0"/>
    <x v="0"/>
    <x v="1"/>
  </r>
  <r>
    <n v="156"/>
    <n v="26"/>
    <x v="1"/>
    <n v="171"/>
    <n v="64"/>
    <x v="1719"/>
    <x v="2"/>
    <s v="112/71"/>
    <x v="0"/>
    <x v="1"/>
    <x v="2"/>
    <x v="1"/>
    <x v="1"/>
    <x v="1"/>
    <x v="0"/>
    <x v="0"/>
    <x v="0"/>
  </r>
  <r>
    <n v="186"/>
    <n v="26"/>
    <x v="1"/>
    <n v="163"/>
    <n v="54"/>
    <x v="1720"/>
    <x v="0"/>
    <s v="118/73"/>
    <x v="1"/>
    <x v="0"/>
    <x v="2"/>
    <x v="0"/>
    <x v="1"/>
    <x v="0"/>
    <x v="0"/>
    <x v="0"/>
    <x v="1"/>
  </r>
  <r>
    <n v="1726"/>
    <n v="54"/>
    <x v="0"/>
    <n v="154"/>
    <n v="98"/>
    <x v="1721"/>
    <x v="0"/>
    <s v="139/73"/>
    <x v="0"/>
    <x v="1"/>
    <x v="1"/>
    <x v="3"/>
    <x v="0"/>
    <x v="0"/>
    <x v="0"/>
    <x v="0"/>
    <x v="0"/>
  </r>
  <r>
    <n v="321"/>
    <n v="26"/>
    <x v="1"/>
    <n v="162"/>
    <n v="75"/>
    <x v="1722"/>
    <x v="0"/>
    <s v="113/97"/>
    <x v="0"/>
    <x v="0"/>
    <x v="2"/>
    <x v="2"/>
    <x v="1"/>
    <x v="1"/>
    <x v="0"/>
    <x v="1"/>
    <x v="2"/>
  </r>
  <r>
    <n v="1727"/>
    <n v="71"/>
    <x v="1"/>
    <n v="170"/>
    <n v="73"/>
    <x v="1723"/>
    <x v="2"/>
    <s v="114/92"/>
    <x v="2"/>
    <x v="1"/>
    <x v="0"/>
    <x v="0"/>
    <x v="1"/>
    <x v="1"/>
    <x v="1"/>
    <x v="1"/>
    <x v="0"/>
  </r>
  <r>
    <n v="1730"/>
    <n v="48"/>
    <x v="0"/>
    <n v="169"/>
    <n v="68"/>
    <x v="1724"/>
    <x v="0"/>
    <s v="157/102"/>
    <x v="0"/>
    <x v="0"/>
    <x v="1"/>
    <x v="1"/>
    <x v="1"/>
    <x v="0"/>
    <x v="1"/>
    <x v="1"/>
    <x v="2"/>
  </r>
  <r>
    <n v="603"/>
    <n v="26"/>
    <x v="1"/>
    <n v="185"/>
    <n v="80"/>
    <x v="1725"/>
    <x v="0"/>
    <s v="143/108"/>
    <x v="2"/>
    <x v="1"/>
    <x v="2"/>
    <x v="1"/>
    <x v="1"/>
    <x v="0"/>
    <x v="0"/>
    <x v="0"/>
    <x v="1"/>
  </r>
  <r>
    <n v="1731"/>
    <n v="72"/>
    <x v="0"/>
    <n v="187"/>
    <n v="71"/>
    <x v="1726"/>
    <x v="0"/>
    <s v="147/85"/>
    <x v="1"/>
    <x v="1"/>
    <x v="0"/>
    <x v="2"/>
    <x v="1"/>
    <x v="1"/>
    <x v="0"/>
    <x v="1"/>
    <x v="1"/>
  </r>
  <r>
    <n v="1732"/>
    <n v="65"/>
    <x v="1"/>
    <n v="174"/>
    <n v="84"/>
    <x v="1727"/>
    <x v="0"/>
    <s v="114/85"/>
    <x v="1"/>
    <x v="1"/>
    <x v="1"/>
    <x v="2"/>
    <x v="0"/>
    <x v="0"/>
    <x v="1"/>
    <x v="1"/>
    <x v="2"/>
  </r>
  <r>
    <n v="829"/>
    <n v="26"/>
    <x v="0"/>
    <n v="161"/>
    <n v="76"/>
    <x v="1728"/>
    <x v="0"/>
    <s v="143/105"/>
    <x v="1"/>
    <x v="1"/>
    <x v="2"/>
    <x v="2"/>
    <x v="0"/>
    <x v="0"/>
    <x v="0"/>
    <x v="0"/>
    <x v="1"/>
  </r>
  <r>
    <n v="841"/>
    <n v="26"/>
    <x v="0"/>
    <n v="161"/>
    <n v="57"/>
    <x v="1729"/>
    <x v="0"/>
    <s v="115/70"/>
    <x v="1"/>
    <x v="1"/>
    <x v="2"/>
    <x v="0"/>
    <x v="0"/>
    <x v="0"/>
    <x v="1"/>
    <x v="1"/>
    <x v="0"/>
  </r>
  <r>
    <n v="966"/>
    <n v="26"/>
    <x v="1"/>
    <n v="169"/>
    <n v="79"/>
    <x v="1730"/>
    <x v="2"/>
    <s v="130/73"/>
    <x v="0"/>
    <x v="0"/>
    <x v="2"/>
    <x v="3"/>
    <x v="0"/>
    <x v="0"/>
    <x v="1"/>
    <x v="1"/>
    <x v="0"/>
  </r>
  <r>
    <n v="1037"/>
    <n v="26"/>
    <x v="0"/>
    <n v="168"/>
    <n v="78"/>
    <x v="1731"/>
    <x v="1"/>
    <s v="153/87"/>
    <x v="1"/>
    <x v="1"/>
    <x v="2"/>
    <x v="3"/>
    <x v="0"/>
    <x v="1"/>
    <x v="1"/>
    <x v="0"/>
    <x v="0"/>
  </r>
  <r>
    <n v="1177"/>
    <n v="26"/>
    <x v="1"/>
    <n v="165"/>
    <n v="53"/>
    <x v="1732"/>
    <x v="1"/>
    <s v="140/79"/>
    <x v="1"/>
    <x v="0"/>
    <x v="2"/>
    <x v="3"/>
    <x v="0"/>
    <x v="0"/>
    <x v="1"/>
    <x v="0"/>
    <x v="2"/>
  </r>
  <r>
    <n v="1296"/>
    <n v="26"/>
    <x v="1"/>
    <n v="175"/>
    <n v="89"/>
    <x v="1733"/>
    <x v="0"/>
    <s v="139/82"/>
    <x v="1"/>
    <x v="1"/>
    <x v="2"/>
    <x v="1"/>
    <x v="0"/>
    <x v="1"/>
    <x v="1"/>
    <x v="0"/>
    <x v="0"/>
  </r>
  <r>
    <n v="1369"/>
    <n v="26"/>
    <x v="0"/>
    <n v="174"/>
    <n v="91"/>
    <x v="1734"/>
    <x v="0"/>
    <s v="132/93"/>
    <x v="1"/>
    <x v="1"/>
    <x v="2"/>
    <x v="2"/>
    <x v="0"/>
    <x v="1"/>
    <x v="0"/>
    <x v="1"/>
    <x v="1"/>
  </r>
  <r>
    <n v="1734"/>
    <n v="24"/>
    <x v="1"/>
    <n v="160"/>
    <n v="78"/>
    <x v="1735"/>
    <x v="0"/>
    <s v="118/87"/>
    <x v="1"/>
    <x v="0"/>
    <x v="1"/>
    <x v="2"/>
    <x v="1"/>
    <x v="1"/>
    <x v="1"/>
    <x v="1"/>
    <x v="0"/>
  </r>
  <r>
    <n v="1390"/>
    <n v="26"/>
    <x v="0"/>
    <n v="171"/>
    <n v="69"/>
    <x v="1736"/>
    <x v="0"/>
    <s v="140/81"/>
    <x v="2"/>
    <x v="1"/>
    <x v="2"/>
    <x v="0"/>
    <x v="0"/>
    <x v="1"/>
    <x v="1"/>
    <x v="0"/>
    <x v="0"/>
  </r>
  <r>
    <n v="1552"/>
    <n v="26"/>
    <x v="1"/>
    <n v="178"/>
    <n v="54"/>
    <x v="1737"/>
    <x v="2"/>
    <s v="149/104"/>
    <x v="0"/>
    <x v="0"/>
    <x v="2"/>
    <x v="1"/>
    <x v="1"/>
    <x v="0"/>
    <x v="1"/>
    <x v="0"/>
    <x v="1"/>
  </r>
  <r>
    <n v="1580"/>
    <n v="26"/>
    <x v="0"/>
    <n v="168"/>
    <n v="62"/>
    <x v="1738"/>
    <x v="0"/>
    <s v="135/89"/>
    <x v="0"/>
    <x v="1"/>
    <x v="2"/>
    <x v="0"/>
    <x v="0"/>
    <x v="0"/>
    <x v="1"/>
    <x v="0"/>
    <x v="1"/>
  </r>
  <r>
    <n v="1582"/>
    <n v="26"/>
    <x v="1"/>
    <n v="156"/>
    <n v="83"/>
    <x v="1739"/>
    <x v="2"/>
    <s v="136/94"/>
    <x v="2"/>
    <x v="1"/>
    <x v="2"/>
    <x v="2"/>
    <x v="1"/>
    <x v="0"/>
    <x v="1"/>
    <x v="1"/>
    <x v="0"/>
  </r>
  <r>
    <n v="1765"/>
    <n v="26"/>
    <x v="1"/>
    <n v="189"/>
    <n v="86"/>
    <x v="1740"/>
    <x v="2"/>
    <s v="153/108"/>
    <x v="2"/>
    <x v="0"/>
    <x v="2"/>
    <x v="3"/>
    <x v="0"/>
    <x v="0"/>
    <x v="1"/>
    <x v="1"/>
    <x v="2"/>
  </r>
  <r>
    <n v="1788"/>
    <n v="26"/>
    <x v="1"/>
    <n v="189"/>
    <n v="95"/>
    <x v="1741"/>
    <x v="2"/>
    <s v="111/74"/>
    <x v="1"/>
    <x v="1"/>
    <x v="2"/>
    <x v="3"/>
    <x v="0"/>
    <x v="0"/>
    <x v="1"/>
    <x v="1"/>
    <x v="1"/>
  </r>
  <r>
    <n v="1794"/>
    <n v="26"/>
    <x v="0"/>
    <n v="156"/>
    <n v="56"/>
    <x v="1742"/>
    <x v="1"/>
    <s v="117/100"/>
    <x v="2"/>
    <x v="1"/>
    <x v="2"/>
    <x v="2"/>
    <x v="1"/>
    <x v="1"/>
    <x v="1"/>
    <x v="1"/>
    <x v="0"/>
  </r>
  <r>
    <n v="1735"/>
    <n v="27"/>
    <x v="1"/>
    <n v="181"/>
    <n v="71"/>
    <x v="1743"/>
    <x v="2"/>
    <s v="154/72"/>
    <x v="2"/>
    <x v="1"/>
    <x v="1"/>
    <x v="0"/>
    <x v="1"/>
    <x v="0"/>
    <x v="0"/>
    <x v="0"/>
    <x v="2"/>
  </r>
  <r>
    <n v="1741"/>
    <n v="65"/>
    <x v="1"/>
    <n v="160"/>
    <n v="83"/>
    <x v="1744"/>
    <x v="1"/>
    <s v="125/109"/>
    <x v="2"/>
    <x v="0"/>
    <x v="1"/>
    <x v="3"/>
    <x v="0"/>
    <x v="1"/>
    <x v="0"/>
    <x v="0"/>
    <x v="1"/>
  </r>
  <r>
    <n v="1742"/>
    <n v="78"/>
    <x v="1"/>
    <n v="170"/>
    <n v="50"/>
    <x v="1745"/>
    <x v="0"/>
    <s v="145/89"/>
    <x v="0"/>
    <x v="1"/>
    <x v="0"/>
    <x v="0"/>
    <x v="0"/>
    <x v="1"/>
    <x v="1"/>
    <x v="0"/>
    <x v="0"/>
  </r>
  <r>
    <n v="1743"/>
    <n v="36"/>
    <x v="0"/>
    <n v="154"/>
    <n v="80"/>
    <x v="1746"/>
    <x v="2"/>
    <s v="133/74"/>
    <x v="1"/>
    <x v="1"/>
    <x v="1"/>
    <x v="2"/>
    <x v="1"/>
    <x v="0"/>
    <x v="1"/>
    <x v="0"/>
    <x v="0"/>
  </r>
  <r>
    <n v="6"/>
    <n v="25"/>
    <x v="0"/>
    <n v="182"/>
    <n v="93"/>
    <x v="1747"/>
    <x v="0"/>
    <s v="142/84"/>
    <x v="0"/>
    <x v="0"/>
    <x v="2"/>
    <x v="1"/>
    <x v="0"/>
    <x v="1"/>
    <x v="0"/>
    <x v="1"/>
    <x v="1"/>
  </r>
  <r>
    <n v="80"/>
    <n v="25"/>
    <x v="1"/>
    <n v="169"/>
    <n v="89"/>
    <x v="1748"/>
    <x v="0"/>
    <s v="151/98"/>
    <x v="2"/>
    <x v="0"/>
    <x v="2"/>
    <x v="2"/>
    <x v="1"/>
    <x v="0"/>
    <x v="1"/>
    <x v="0"/>
    <x v="0"/>
  </r>
  <r>
    <n v="1747"/>
    <n v="35"/>
    <x v="1"/>
    <n v="171"/>
    <n v="66"/>
    <x v="1749"/>
    <x v="0"/>
    <s v="147/71"/>
    <x v="1"/>
    <x v="1"/>
    <x v="1"/>
    <x v="2"/>
    <x v="0"/>
    <x v="1"/>
    <x v="0"/>
    <x v="0"/>
    <x v="0"/>
  </r>
  <r>
    <n v="1751"/>
    <n v="22"/>
    <x v="0"/>
    <n v="153"/>
    <n v="74"/>
    <x v="1750"/>
    <x v="2"/>
    <s v="157/81"/>
    <x v="0"/>
    <x v="1"/>
    <x v="1"/>
    <x v="1"/>
    <x v="1"/>
    <x v="0"/>
    <x v="0"/>
    <x v="1"/>
    <x v="0"/>
  </r>
  <r>
    <n v="1754"/>
    <n v="59"/>
    <x v="1"/>
    <n v="189"/>
    <n v="71"/>
    <x v="1751"/>
    <x v="2"/>
    <s v="124/76"/>
    <x v="0"/>
    <x v="0"/>
    <x v="1"/>
    <x v="2"/>
    <x v="0"/>
    <x v="0"/>
    <x v="0"/>
    <x v="0"/>
    <x v="1"/>
  </r>
  <r>
    <n v="157"/>
    <n v="25"/>
    <x v="0"/>
    <n v="166"/>
    <n v="95"/>
    <x v="1752"/>
    <x v="1"/>
    <s v="134/75"/>
    <x v="0"/>
    <x v="1"/>
    <x v="2"/>
    <x v="2"/>
    <x v="1"/>
    <x v="1"/>
    <x v="0"/>
    <x v="0"/>
    <x v="2"/>
  </r>
  <r>
    <n v="1758"/>
    <n v="72"/>
    <x v="1"/>
    <n v="166"/>
    <n v="83"/>
    <x v="1753"/>
    <x v="2"/>
    <s v="152/82"/>
    <x v="1"/>
    <x v="1"/>
    <x v="0"/>
    <x v="1"/>
    <x v="0"/>
    <x v="1"/>
    <x v="0"/>
    <x v="0"/>
    <x v="2"/>
  </r>
  <r>
    <n v="1761"/>
    <n v="22"/>
    <x v="1"/>
    <n v="169"/>
    <n v="50"/>
    <x v="1754"/>
    <x v="0"/>
    <s v="120/89"/>
    <x v="2"/>
    <x v="0"/>
    <x v="1"/>
    <x v="2"/>
    <x v="0"/>
    <x v="1"/>
    <x v="1"/>
    <x v="1"/>
    <x v="0"/>
  </r>
  <r>
    <n v="423"/>
    <n v="25"/>
    <x v="0"/>
    <n v="183"/>
    <n v="97"/>
    <x v="1755"/>
    <x v="2"/>
    <s v="140/81"/>
    <x v="1"/>
    <x v="0"/>
    <x v="2"/>
    <x v="3"/>
    <x v="0"/>
    <x v="1"/>
    <x v="1"/>
    <x v="1"/>
    <x v="0"/>
  </r>
  <r>
    <n v="1762"/>
    <n v="54"/>
    <x v="1"/>
    <n v="182"/>
    <n v="70"/>
    <x v="1756"/>
    <x v="1"/>
    <s v="119/98"/>
    <x v="2"/>
    <x v="0"/>
    <x v="1"/>
    <x v="2"/>
    <x v="0"/>
    <x v="1"/>
    <x v="0"/>
    <x v="1"/>
    <x v="0"/>
  </r>
  <r>
    <n v="533"/>
    <n v="25"/>
    <x v="0"/>
    <n v="161"/>
    <n v="62"/>
    <x v="1757"/>
    <x v="1"/>
    <s v="135/71"/>
    <x v="0"/>
    <x v="1"/>
    <x v="2"/>
    <x v="0"/>
    <x v="1"/>
    <x v="1"/>
    <x v="0"/>
    <x v="0"/>
    <x v="0"/>
  </r>
  <r>
    <n v="1764"/>
    <n v="47"/>
    <x v="1"/>
    <n v="161"/>
    <n v="55"/>
    <x v="1758"/>
    <x v="0"/>
    <s v="126/82"/>
    <x v="1"/>
    <x v="0"/>
    <x v="1"/>
    <x v="3"/>
    <x v="0"/>
    <x v="1"/>
    <x v="0"/>
    <x v="1"/>
    <x v="0"/>
  </r>
  <r>
    <n v="720"/>
    <n v="25"/>
    <x v="1"/>
    <n v="185"/>
    <n v="67"/>
    <x v="1759"/>
    <x v="0"/>
    <s v="121/80"/>
    <x v="2"/>
    <x v="1"/>
    <x v="2"/>
    <x v="0"/>
    <x v="0"/>
    <x v="0"/>
    <x v="1"/>
    <x v="0"/>
    <x v="1"/>
  </r>
  <r>
    <n v="1766"/>
    <n v="51"/>
    <x v="0"/>
    <n v="169"/>
    <n v="50"/>
    <x v="1760"/>
    <x v="0"/>
    <s v="136/95"/>
    <x v="2"/>
    <x v="0"/>
    <x v="1"/>
    <x v="2"/>
    <x v="0"/>
    <x v="1"/>
    <x v="1"/>
    <x v="0"/>
    <x v="2"/>
  </r>
  <r>
    <n v="886"/>
    <n v="25"/>
    <x v="1"/>
    <n v="159"/>
    <n v="75"/>
    <x v="1761"/>
    <x v="0"/>
    <s v="111/82"/>
    <x v="0"/>
    <x v="1"/>
    <x v="2"/>
    <x v="2"/>
    <x v="0"/>
    <x v="0"/>
    <x v="1"/>
    <x v="0"/>
    <x v="1"/>
  </r>
  <r>
    <n v="1770"/>
    <n v="69"/>
    <x v="0"/>
    <n v="177"/>
    <n v="65"/>
    <x v="1762"/>
    <x v="0"/>
    <s v="143/92"/>
    <x v="1"/>
    <x v="1"/>
    <x v="1"/>
    <x v="3"/>
    <x v="0"/>
    <x v="0"/>
    <x v="0"/>
    <x v="0"/>
    <x v="2"/>
  </r>
  <r>
    <n v="1771"/>
    <n v="75"/>
    <x v="1"/>
    <n v="175"/>
    <n v="93"/>
    <x v="1763"/>
    <x v="0"/>
    <s v="154/98"/>
    <x v="2"/>
    <x v="0"/>
    <x v="0"/>
    <x v="3"/>
    <x v="0"/>
    <x v="0"/>
    <x v="0"/>
    <x v="1"/>
    <x v="2"/>
  </r>
  <r>
    <n v="954"/>
    <n v="25"/>
    <x v="1"/>
    <n v="151"/>
    <n v="82"/>
    <x v="1764"/>
    <x v="0"/>
    <s v="157/75"/>
    <x v="1"/>
    <x v="1"/>
    <x v="2"/>
    <x v="2"/>
    <x v="0"/>
    <x v="1"/>
    <x v="0"/>
    <x v="1"/>
    <x v="1"/>
  </r>
  <r>
    <n v="1776"/>
    <n v="27"/>
    <x v="1"/>
    <n v="186"/>
    <n v="50"/>
    <x v="1765"/>
    <x v="0"/>
    <s v="148/72"/>
    <x v="2"/>
    <x v="0"/>
    <x v="1"/>
    <x v="1"/>
    <x v="0"/>
    <x v="0"/>
    <x v="1"/>
    <x v="0"/>
    <x v="0"/>
  </r>
  <r>
    <n v="1139"/>
    <n v="25"/>
    <x v="0"/>
    <n v="183"/>
    <n v="65"/>
    <x v="1766"/>
    <x v="0"/>
    <s v="124/70"/>
    <x v="0"/>
    <x v="0"/>
    <x v="2"/>
    <x v="3"/>
    <x v="0"/>
    <x v="0"/>
    <x v="1"/>
    <x v="0"/>
    <x v="2"/>
  </r>
  <r>
    <n v="1777"/>
    <n v="47"/>
    <x v="1"/>
    <n v="187"/>
    <n v="85"/>
    <x v="1767"/>
    <x v="2"/>
    <s v="138/88"/>
    <x v="0"/>
    <x v="1"/>
    <x v="1"/>
    <x v="0"/>
    <x v="0"/>
    <x v="0"/>
    <x v="0"/>
    <x v="0"/>
    <x v="2"/>
  </r>
  <r>
    <n v="1260"/>
    <n v="25"/>
    <x v="1"/>
    <n v="165"/>
    <n v="72"/>
    <x v="1768"/>
    <x v="2"/>
    <s v="140/104"/>
    <x v="0"/>
    <x v="0"/>
    <x v="2"/>
    <x v="3"/>
    <x v="1"/>
    <x v="1"/>
    <x v="1"/>
    <x v="0"/>
    <x v="1"/>
  </r>
  <r>
    <n v="1779"/>
    <n v="76"/>
    <x v="1"/>
    <n v="185"/>
    <n v="92"/>
    <x v="1769"/>
    <x v="0"/>
    <s v="116/97"/>
    <x v="0"/>
    <x v="0"/>
    <x v="0"/>
    <x v="2"/>
    <x v="1"/>
    <x v="0"/>
    <x v="1"/>
    <x v="0"/>
    <x v="1"/>
  </r>
  <r>
    <n v="1400"/>
    <n v="25"/>
    <x v="0"/>
    <n v="150"/>
    <n v="59"/>
    <x v="1770"/>
    <x v="2"/>
    <s v="141/106"/>
    <x v="2"/>
    <x v="0"/>
    <x v="2"/>
    <x v="2"/>
    <x v="0"/>
    <x v="0"/>
    <x v="0"/>
    <x v="0"/>
    <x v="2"/>
  </r>
  <r>
    <n v="1780"/>
    <n v="63"/>
    <x v="0"/>
    <n v="175"/>
    <n v="66"/>
    <x v="1771"/>
    <x v="1"/>
    <s v="153/87"/>
    <x v="0"/>
    <x v="1"/>
    <x v="1"/>
    <x v="2"/>
    <x v="1"/>
    <x v="0"/>
    <x v="1"/>
    <x v="1"/>
    <x v="1"/>
  </r>
  <r>
    <n v="1453"/>
    <n v="25"/>
    <x v="0"/>
    <n v="172"/>
    <n v="68"/>
    <x v="1772"/>
    <x v="1"/>
    <s v="133/76"/>
    <x v="0"/>
    <x v="0"/>
    <x v="2"/>
    <x v="0"/>
    <x v="1"/>
    <x v="1"/>
    <x v="0"/>
    <x v="0"/>
    <x v="2"/>
  </r>
  <r>
    <n v="1495"/>
    <n v="25"/>
    <x v="1"/>
    <n v="162"/>
    <n v="67"/>
    <x v="1773"/>
    <x v="2"/>
    <s v="159/98"/>
    <x v="2"/>
    <x v="0"/>
    <x v="2"/>
    <x v="0"/>
    <x v="0"/>
    <x v="0"/>
    <x v="1"/>
    <x v="0"/>
    <x v="2"/>
  </r>
  <r>
    <n v="1520"/>
    <n v="25"/>
    <x v="0"/>
    <n v="150"/>
    <n v="71"/>
    <x v="1774"/>
    <x v="2"/>
    <s v="152/86"/>
    <x v="2"/>
    <x v="1"/>
    <x v="2"/>
    <x v="2"/>
    <x v="1"/>
    <x v="1"/>
    <x v="0"/>
    <x v="0"/>
    <x v="0"/>
  </r>
  <r>
    <n v="1781"/>
    <n v="40"/>
    <x v="0"/>
    <n v="160"/>
    <n v="72"/>
    <x v="1775"/>
    <x v="2"/>
    <s v="114/92"/>
    <x v="0"/>
    <x v="0"/>
    <x v="1"/>
    <x v="1"/>
    <x v="0"/>
    <x v="1"/>
    <x v="0"/>
    <x v="1"/>
    <x v="0"/>
  </r>
  <r>
    <n v="1674"/>
    <n v="25"/>
    <x v="0"/>
    <n v="187"/>
    <n v="65"/>
    <x v="1776"/>
    <x v="2"/>
    <s v="159/76"/>
    <x v="0"/>
    <x v="0"/>
    <x v="2"/>
    <x v="3"/>
    <x v="1"/>
    <x v="1"/>
    <x v="0"/>
    <x v="0"/>
    <x v="2"/>
  </r>
  <r>
    <n v="1784"/>
    <n v="67"/>
    <x v="0"/>
    <n v="171"/>
    <n v="56"/>
    <x v="1777"/>
    <x v="2"/>
    <s v="149/88"/>
    <x v="2"/>
    <x v="0"/>
    <x v="1"/>
    <x v="2"/>
    <x v="0"/>
    <x v="1"/>
    <x v="1"/>
    <x v="1"/>
    <x v="2"/>
  </r>
  <r>
    <n v="1703"/>
    <n v="25"/>
    <x v="1"/>
    <n v="164"/>
    <n v="71"/>
    <x v="1778"/>
    <x v="0"/>
    <s v="143/74"/>
    <x v="1"/>
    <x v="1"/>
    <x v="2"/>
    <x v="1"/>
    <x v="0"/>
    <x v="1"/>
    <x v="0"/>
    <x v="1"/>
    <x v="0"/>
  </r>
  <r>
    <n v="1713"/>
    <n v="25"/>
    <x v="0"/>
    <n v="178"/>
    <n v="63"/>
    <x v="1779"/>
    <x v="0"/>
    <s v="135/83"/>
    <x v="1"/>
    <x v="1"/>
    <x v="2"/>
    <x v="1"/>
    <x v="0"/>
    <x v="0"/>
    <x v="1"/>
    <x v="0"/>
    <x v="1"/>
  </r>
  <r>
    <n v="1938"/>
    <n v="25"/>
    <x v="1"/>
    <n v="157"/>
    <n v="67"/>
    <x v="1780"/>
    <x v="0"/>
    <s v="118/78"/>
    <x v="0"/>
    <x v="1"/>
    <x v="2"/>
    <x v="0"/>
    <x v="1"/>
    <x v="0"/>
    <x v="1"/>
    <x v="0"/>
    <x v="2"/>
  </r>
  <r>
    <n v="1785"/>
    <n v="68"/>
    <x v="0"/>
    <n v="169"/>
    <n v="93"/>
    <x v="1781"/>
    <x v="0"/>
    <s v="156/70"/>
    <x v="0"/>
    <x v="0"/>
    <x v="1"/>
    <x v="3"/>
    <x v="0"/>
    <x v="1"/>
    <x v="0"/>
    <x v="1"/>
    <x v="0"/>
  </r>
  <r>
    <n v="1789"/>
    <n v="57"/>
    <x v="0"/>
    <n v="175"/>
    <n v="94"/>
    <x v="1782"/>
    <x v="1"/>
    <s v="138/102"/>
    <x v="2"/>
    <x v="1"/>
    <x v="1"/>
    <x v="3"/>
    <x v="1"/>
    <x v="1"/>
    <x v="0"/>
    <x v="1"/>
    <x v="0"/>
  </r>
  <r>
    <n v="58"/>
    <n v="24"/>
    <x v="0"/>
    <n v="182"/>
    <n v="55"/>
    <x v="1783"/>
    <x v="1"/>
    <s v="158/83"/>
    <x v="0"/>
    <x v="0"/>
    <x v="2"/>
    <x v="3"/>
    <x v="0"/>
    <x v="1"/>
    <x v="0"/>
    <x v="1"/>
    <x v="0"/>
  </r>
  <r>
    <n v="77"/>
    <n v="24"/>
    <x v="1"/>
    <n v="164"/>
    <n v="68"/>
    <x v="1784"/>
    <x v="1"/>
    <s v="158/77"/>
    <x v="0"/>
    <x v="1"/>
    <x v="2"/>
    <x v="1"/>
    <x v="0"/>
    <x v="1"/>
    <x v="0"/>
    <x v="0"/>
    <x v="2"/>
  </r>
  <r>
    <n v="134"/>
    <n v="24"/>
    <x v="0"/>
    <n v="160"/>
    <n v="69"/>
    <x v="1785"/>
    <x v="0"/>
    <s v="124/83"/>
    <x v="0"/>
    <x v="1"/>
    <x v="2"/>
    <x v="2"/>
    <x v="0"/>
    <x v="1"/>
    <x v="1"/>
    <x v="1"/>
    <x v="0"/>
  </r>
  <r>
    <n v="1790"/>
    <n v="19"/>
    <x v="1"/>
    <n v="179"/>
    <n v="53"/>
    <x v="1786"/>
    <x v="2"/>
    <s v="151/89"/>
    <x v="0"/>
    <x v="0"/>
    <x v="1"/>
    <x v="2"/>
    <x v="0"/>
    <x v="0"/>
    <x v="1"/>
    <x v="1"/>
    <x v="2"/>
  </r>
  <r>
    <n v="212"/>
    <n v="24"/>
    <x v="1"/>
    <n v="189"/>
    <n v="70"/>
    <x v="1787"/>
    <x v="0"/>
    <s v="115/82"/>
    <x v="2"/>
    <x v="1"/>
    <x v="2"/>
    <x v="3"/>
    <x v="0"/>
    <x v="1"/>
    <x v="0"/>
    <x v="0"/>
    <x v="0"/>
  </r>
  <r>
    <n v="1791"/>
    <n v="62"/>
    <x v="0"/>
    <n v="166"/>
    <n v="63"/>
    <x v="1788"/>
    <x v="1"/>
    <s v="139/74"/>
    <x v="2"/>
    <x v="1"/>
    <x v="1"/>
    <x v="1"/>
    <x v="0"/>
    <x v="1"/>
    <x v="1"/>
    <x v="1"/>
    <x v="1"/>
  </r>
  <r>
    <n v="1797"/>
    <n v="60"/>
    <x v="1"/>
    <n v="172"/>
    <n v="51"/>
    <x v="1789"/>
    <x v="0"/>
    <s v="153/95"/>
    <x v="0"/>
    <x v="1"/>
    <x v="1"/>
    <x v="2"/>
    <x v="1"/>
    <x v="1"/>
    <x v="1"/>
    <x v="0"/>
    <x v="0"/>
  </r>
  <r>
    <n v="1798"/>
    <n v="63"/>
    <x v="1"/>
    <n v="173"/>
    <n v="59"/>
    <x v="1790"/>
    <x v="0"/>
    <s v="142/95"/>
    <x v="2"/>
    <x v="1"/>
    <x v="1"/>
    <x v="2"/>
    <x v="0"/>
    <x v="1"/>
    <x v="0"/>
    <x v="1"/>
    <x v="0"/>
  </r>
  <r>
    <n v="1799"/>
    <n v="21"/>
    <x v="1"/>
    <n v="158"/>
    <n v="99"/>
    <x v="1791"/>
    <x v="0"/>
    <s v="135/105"/>
    <x v="2"/>
    <x v="1"/>
    <x v="1"/>
    <x v="1"/>
    <x v="1"/>
    <x v="1"/>
    <x v="1"/>
    <x v="1"/>
    <x v="0"/>
  </r>
  <r>
    <n v="729"/>
    <n v="24"/>
    <x v="1"/>
    <n v="172"/>
    <n v="70"/>
    <x v="1792"/>
    <x v="0"/>
    <s v="157/89"/>
    <x v="1"/>
    <x v="0"/>
    <x v="2"/>
    <x v="1"/>
    <x v="1"/>
    <x v="0"/>
    <x v="1"/>
    <x v="1"/>
    <x v="1"/>
  </r>
  <r>
    <n v="789"/>
    <n v="24"/>
    <x v="0"/>
    <n v="155"/>
    <n v="72"/>
    <x v="1793"/>
    <x v="0"/>
    <s v="113/91"/>
    <x v="2"/>
    <x v="1"/>
    <x v="2"/>
    <x v="1"/>
    <x v="0"/>
    <x v="1"/>
    <x v="0"/>
    <x v="0"/>
    <x v="1"/>
  </r>
  <r>
    <n v="836"/>
    <n v="24"/>
    <x v="1"/>
    <n v="181"/>
    <n v="96"/>
    <x v="1794"/>
    <x v="1"/>
    <s v="128/104"/>
    <x v="0"/>
    <x v="1"/>
    <x v="2"/>
    <x v="2"/>
    <x v="1"/>
    <x v="0"/>
    <x v="0"/>
    <x v="0"/>
    <x v="1"/>
  </r>
  <r>
    <n v="858"/>
    <n v="24"/>
    <x v="1"/>
    <n v="189"/>
    <n v="80"/>
    <x v="1795"/>
    <x v="0"/>
    <s v="141/75"/>
    <x v="2"/>
    <x v="0"/>
    <x v="2"/>
    <x v="2"/>
    <x v="1"/>
    <x v="1"/>
    <x v="0"/>
    <x v="1"/>
    <x v="2"/>
  </r>
  <r>
    <n v="1801"/>
    <n v="75"/>
    <x v="1"/>
    <n v="169"/>
    <n v="86"/>
    <x v="1796"/>
    <x v="2"/>
    <s v="124/70"/>
    <x v="1"/>
    <x v="0"/>
    <x v="0"/>
    <x v="2"/>
    <x v="0"/>
    <x v="1"/>
    <x v="0"/>
    <x v="0"/>
    <x v="1"/>
  </r>
  <r>
    <n v="1803"/>
    <n v="62"/>
    <x v="0"/>
    <n v="166"/>
    <n v="55"/>
    <x v="1797"/>
    <x v="2"/>
    <s v="110/100"/>
    <x v="0"/>
    <x v="1"/>
    <x v="1"/>
    <x v="0"/>
    <x v="1"/>
    <x v="0"/>
    <x v="1"/>
    <x v="1"/>
    <x v="1"/>
  </r>
  <r>
    <n v="1596"/>
    <n v="24"/>
    <x v="0"/>
    <n v="186"/>
    <n v="83"/>
    <x v="1798"/>
    <x v="1"/>
    <s v="145/86"/>
    <x v="2"/>
    <x v="0"/>
    <x v="2"/>
    <x v="0"/>
    <x v="1"/>
    <x v="1"/>
    <x v="1"/>
    <x v="1"/>
    <x v="0"/>
  </r>
  <r>
    <n v="1610"/>
    <n v="24"/>
    <x v="0"/>
    <n v="160"/>
    <n v="74"/>
    <x v="1799"/>
    <x v="0"/>
    <s v="147/72"/>
    <x v="1"/>
    <x v="0"/>
    <x v="2"/>
    <x v="0"/>
    <x v="1"/>
    <x v="0"/>
    <x v="1"/>
    <x v="0"/>
    <x v="2"/>
  </r>
  <r>
    <n v="1804"/>
    <n v="51"/>
    <x v="0"/>
    <n v="180"/>
    <n v="71"/>
    <x v="1800"/>
    <x v="0"/>
    <s v="153/85"/>
    <x v="1"/>
    <x v="1"/>
    <x v="1"/>
    <x v="3"/>
    <x v="0"/>
    <x v="0"/>
    <x v="0"/>
    <x v="0"/>
    <x v="0"/>
  </r>
  <r>
    <n v="1806"/>
    <n v="54"/>
    <x v="1"/>
    <n v="164"/>
    <n v="90"/>
    <x v="1801"/>
    <x v="0"/>
    <s v="156/86"/>
    <x v="2"/>
    <x v="0"/>
    <x v="1"/>
    <x v="0"/>
    <x v="0"/>
    <x v="0"/>
    <x v="0"/>
    <x v="0"/>
    <x v="1"/>
  </r>
  <r>
    <n v="1692"/>
    <n v="24"/>
    <x v="0"/>
    <n v="160"/>
    <n v="72"/>
    <x v="1802"/>
    <x v="2"/>
    <s v="138/98"/>
    <x v="1"/>
    <x v="0"/>
    <x v="2"/>
    <x v="2"/>
    <x v="1"/>
    <x v="0"/>
    <x v="0"/>
    <x v="1"/>
    <x v="1"/>
  </r>
  <r>
    <n v="1807"/>
    <n v="28"/>
    <x v="0"/>
    <n v="180"/>
    <n v="69"/>
    <x v="1803"/>
    <x v="0"/>
    <s v="139/79"/>
    <x v="1"/>
    <x v="0"/>
    <x v="1"/>
    <x v="1"/>
    <x v="1"/>
    <x v="0"/>
    <x v="1"/>
    <x v="1"/>
    <x v="2"/>
  </r>
  <r>
    <n v="1736"/>
    <n v="24"/>
    <x v="1"/>
    <n v="160"/>
    <n v="60"/>
    <x v="1804"/>
    <x v="0"/>
    <s v="133/97"/>
    <x v="2"/>
    <x v="0"/>
    <x v="2"/>
    <x v="1"/>
    <x v="0"/>
    <x v="0"/>
    <x v="0"/>
    <x v="0"/>
    <x v="0"/>
  </r>
  <r>
    <n v="1808"/>
    <n v="23"/>
    <x v="0"/>
    <n v="179"/>
    <n v="50"/>
    <x v="1805"/>
    <x v="0"/>
    <s v="144/90"/>
    <x v="0"/>
    <x v="0"/>
    <x v="1"/>
    <x v="0"/>
    <x v="0"/>
    <x v="1"/>
    <x v="1"/>
    <x v="1"/>
    <x v="2"/>
  </r>
  <r>
    <n v="1809"/>
    <n v="35"/>
    <x v="0"/>
    <n v="169"/>
    <n v="96"/>
    <x v="1806"/>
    <x v="2"/>
    <s v="125/75"/>
    <x v="0"/>
    <x v="1"/>
    <x v="1"/>
    <x v="0"/>
    <x v="1"/>
    <x v="1"/>
    <x v="1"/>
    <x v="1"/>
    <x v="2"/>
  </r>
  <r>
    <n v="1969"/>
    <n v="24"/>
    <x v="1"/>
    <n v="172"/>
    <n v="52"/>
    <x v="1807"/>
    <x v="1"/>
    <s v="134/73"/>
    <x v="2"/>
    <x v="0"/>
    <x v="2"/>
    <x v="2"/>
    <x v="1"/>
    <x v="1"/>
    <x v="0"/>
    <x v="0"/>
    <x v="2"/>
  </r>
  <r>
    <n v="1810"/>
    <n v="38"/>
    <x v="1"/>
    <n v="188"/>
    <n v="55"/>
    <x v="1808"/>
    <x v="2"/>
    <s v="112/90"/>
    <x v="0"/>
    <x v="0"/>
    <x v="1"/>
    <x v="1"/>
    <x v="0"/>
    <x v="0"/>
    <x v="1"/>
    <x v="0"/>
    <x v="0"/>
  </r>
  <r>
    <n v="1811"/>
    <n v="59"/>
    <x v="0"/>
    <n v="161"/>
    <n v="68"/>
    <x v="1809"/>
    <x v="2"/>
    <s v="122/87"/>
    <x v="0"/>
    <x v="1"/>
    <x v="1"/>
    <x v="3"/>
    <x v="1"/>
    <x v="1"/>
    <x v="1"/>
    <x v="1"/>
    <x v="0"/>
  </r>
  <r>
    <n v="1812"/>
    <n v="53"/>
    <x v="1"/>
    <n v="166"/>
    <n v="67"/>
    <x v="1810"/>
    <x v="0"/>
    <s v="133/96"/>
    <x v="1"/>
    <x v="1"/>
    <x v="1"/>
    <x v="2"/>
    <x v="0"/>
    <x v="0"/>
    <x v="1"/>
    <x v="1"/>
    <x v="2"/>
  </r>
  <r>
    <n v="249"/>
    <n v="23"/>
    <x v="0"/>
    <n v="165"/>
    <n v="95"/>
    <x v="1811"/>
    <x v="2"/>
    <s v="125/99"/>
    <x v="1"/>
    <x v="1"/>
    <x v="2"/>
    <x v="2"/>
    <x v="1"/>
    <x v="0"/>
    <x v="0"/>
    <x v="1"/>
    <x v="0"/>
  </r>
  <r>
    <n v="1814"/>
    <n v="55"/>
    <x v="0"/>
    <n v="178"/>
    <n v="94"/>
    <x v="1812"/>
    <x v="0"/>
    <s v="133/109"/>
    <x v="1"/>
    <x v="0"/>
    <x v="1"/>
    <x v="2"/>
    <x v="0"/>
    <x v="1"/>
    <x v="0"/>
    <x v="1"/>
    <x v="2"/>
  </r>
  <r>
    <n v="315"/>
    <n v="23"/>
    <x v="1"/>
    <n v="178"/>
    <n v="89"/>
    <x v="1813"/>
    <x v="0"/>
    <s v="110/90"/>
    <x v="1"/>
    <x v="1"/>
    <x v="2"/>
    <x v="3"/>
    <x v="1"/>
    <x v="0"/>
    <x v="1"/>
    <x v="1"/>
    <x v="0"/>
  </r>
  <r>
    <n v="324"/>
    <n v="23"/>
    <x v="1"/>
    <n v="169"/>
    <n v="94"/>
    <x v="1814"/>
    <x v="0"/>
    <s v="119/92"/>
    <x v="0"/>
    <x v="0"/>
    <x v="2"/>
    <x v="3"/>
    <x v="0"/>
    <x v="0"/>
    <x v="0"/>
    <x v="0"/>
    <x v="2"/>
  </r>
  <r>
    <n v="467"/>
    <n v="23"/>
    <x v="0"/>
    <n v="152"/>
    <n v="53"/>
    <x v="1815"/>
    <x v="2"/>
    <s v="145/86"/>
    <x v="1"/>
    <x v="1"/>
    <x v="2"/>
    <x v="1"/>
    <x v="1"/>
    <x v="1"/>
    <x v="1"/>
    <x v="0"/>
    <x v="0"/>
  </r>
  <r>
    <n v="559"/>
    <n v="23"/>
    <x v="1"/>
    <n v="176"/>
    <n v="53"/>
    <x v="1816"/>
    <x v="0"/>
    <s v="151/91"/>
    <x v="2"/>
    <x v="1"/>
    <x v="2"/>
    <x v="0"/>
    <x v="1"/>
    <x v="0"/>
    <x v="1"/>
    <x v="0"/>
    <x v="1"/>
  </r>
  <r>
    <n v="574"/>
    <n v="23"/>
    <x v="0"/>
    <n v="152"/>
    <n v="84"/>
    <x v="1817"/>
    <x v="0"/>
    <s v="154/82"/>
    <x v="1"/>
    <x v="0"/>
    <x v="2"/>
    <x v="3"/>
    <x v="0"/>
    <x v="1"/>
    <x v="0"/>
    <x v="0"/>
    <x v="1"/>
  </r>
  <r>
    <n v="863"/>
    <n v="23"/>
    <x v="0"/>
    <n v="183"/>
    <n v="76"/>
    <x v="1818"/>
    <x v="2"/>
    <s v="155/86"/>
    <x v="0"/>
    <x v="0"/>
    <x v="2"/>
    <x v="3"/>
    <x v="1"/>
    <x v="0"/>
    <x v="1"/>
    <x v="1"/>
    <x v="0"/>
  </r>
  <r>
    <n v="903"/>
    <n v="23"/>
    <x v="1"/>
    <n v="160"/>
    <n v="60"/>
    <x v="1819"/>
    <x v="0"/>
    <s v="123/80"/>
    <x v="2"/>
    <x v="0"/>
    <x v="2"/>
    <x v="2"/>
    <x v="0"/>
    <x v="1"/>
    <x v="0"/>
    <x v="1"/>
    <x v="1"/>
  </r>
  <r>
    <n v="1816"/>
    <n v="34"/>
    <x v="1"/>
    <n v="160"/>
    <n v="72"/>
    <x v="1820"/>
    <x v="2"/>
    <s v="111/109"/>
    <x v="1"/>
    <x v="0"/>
    <x v="1"/>
    <x v="2"/>
    <x v="1"/>
    <x v="0"/>
    <x v="0"/>
    <x v="1"/>
    <x v="1"/>
  </r>
  <r>
    <n v="1819"/>
    <n v="55"/>
    <x v="0"/>
    <n v="183"/>
    <n v="62"/>
    <x v="1821"/>
    <x v="1"/>
    <s v="154/92"/>
    <x v="1"/>
    <x v="1"/>
    <x v="1"/>
    <x v="1"/>
    <x v="0"/>
    <x v="0"/>
    <x v="0"/>
    <x v="0"/>
    <x v="2"/>
  </r>
  <r>
    <n v="1120"/>
    <n v="23"/>
    <x v="1"/>
    <n v="174"/>
    <n v="52"/>
    <x v="1822"/>
    <x v="0"/>
    <s v="112/107"/>
    <x v="1"/>
    <x v="0"/>
    <x v="2"/>
    <x v="2"/>
    <x v="1"/>
    <x v="0"/>
    <x v="0"/>
    <x v="0"/>
    <x v="0"/>
  </r>
  <r>
    <n v="1822"/>
    <n v="40"/>
    <x v="1"/>
    <n v="173"/>
    <n v="93"/>
    <x v="1823"/>
    <x v="1"/>
    <s v="152/82"/>
    <x v="2"/>
    <x v="0"/>
    <x v="1"/>
    <x v="0"/>
    <x v="0"/>
    <x v="1"/>
    <x v="1"/>
    <x v="0"/>
    <x v="0"/>
  </r>
  <r>
    <n v="1824"/>
    <n v="59"/>
    <x v="1"/>
    <n v="181"/>
    <n v="75"/>
    <x v="1824"/>
    <x v="0"/>
    <s v="113/108"/>
    <x v="0"/>
    <x v="1"/>
    <x v="1"/>
    <x v="1"/>
    <x v="1"/>
    <x v="0"/>
    <x v="1"/>
    <x v="0"/>
    <x v="0"/>
  </r>
  <r>
    <n v="1829"/>
    <n v="48"/>
    <x v="0"/>
    <n v="186"/>
    <n v="76"/>
    <x v="1825"/>
    <x v="2"/>
    <s v="158/93"/>
    <x v="2"/>
    <x v="1"/>
    <x v="1"/>
    <x v="1"/>
    <x v="1"/>
    <x v="1"/>
    <x v="0"/>
    <x v="1"/>
    <x v="0"/>
  </r>
  <r>
    <n v="1830"/>
    <n v="23"/>
    <x v="0"/>
    <n v="189"/>
    <n v="54"/>
    <x v="1826"/>
    <x v="2"/>
    <s v="137/96"/>
    <x v="1"/>
    <x v="0"/>
    <x v="1"/>
    <x v="1"/>
    <x v="0"/>
    <x v="0"/>
    <x v="0"/>
    <x v="1"/>
    <x v="0"/>
  </r>
  <r>
    <n v="1831"/>
    <n v="44"/>
    <x v="0"/>
    <n v="157"/>
    <n v="51"/>
    <x v="1827"/>
    <x v="2"/>
    <s v="110/103"/>
    <x v="0"/>
    <x v="1"/>
    <x v="1"/>
    <x v="3"/>
    <x v="1"/>
    <x v="0"/>
    <x v="0"/>
    <x v="0"/>
    <x v="2"/>
  </r>
  <r>
    <n v="1832"/>
    <n v="57"/>
    <x v="1"/>
    <n v="189"/>
    <n v="82"/>
    <x v="1828"/>
    <x v="2"/>
    <s v="126/106"/>
    <x v="1"/>
    <x v="1"/>
    <x v="1"/>
    <x v="0"/>
    <x v="1"/>
    <x v="0"/>
    <x v="1"/>
    <x v="0"/>
    <x v="2"/>
  </r>
  <r>
    <n v="1833"/>
    <n v="51"/>
    <x v="0"/>
    <n v="172"/>
    <n v="65"/>
    <x v="1829"/>
    <x v="2"/>
    <s v="147/95"/>
    <x v="1"/>
    <x v="0"/>
    <x v="1"/>
    <x v="0"/>
    <x v="0"/>
    <x v="1"/>
    <x v="1"/>
    <x v="0"/>
    <x v="1"/>
  </r>
  <r>
    <n v="1835"/>
    <n v="62"/>
    <x v="0"/>
    <n v="160"/>
    <n v="87"/>
    <x v="1830"/>
    <x v="2"/>
    <s v="130/99"/>
    <x v="2"/>
    <x v="0"/>
    <x v="1"/>
    <x v="0"/>
    <x v="1"/>
    <x v="1"/>
    <x v="0"/>
    <x v="1"/>
    <x v="0"/>
  </r>
  <r>
    <n v="1354"/>
    <n v="23"/>
    <x v="0"/>
    <n v="159"/>
    <n v="93"/>
    <x v="1831"/>
    <x v="2"/>
    <s v="122/105"/>
    <x v="1"/>
    <x v="1"/>
    <x v="2"/>
    <x v="2"/>
    <x v="1"/>
    <x v="1"/>
    <x v="0"/>
    <x v="0"/>
    <x v="0"/>
  </r>
  <r>
    <n v="1837"/>
    <n v="70"/>
    <x v="1"/>
    <n v="178"/>
    <n v="63"/>
    <x v="1832"/>
    <x v="1"/>
    <s v="146/72"/>
    <x v="2"/>
    <x v="0"/>
    <x v="0"/>
    <x v="0"/>
    <x v="0"/>
    <x v="1"/>
    <x v="1"/>
    <x v="0"/>
    <x v="1"/>
  </r>
  <r>
    <n v="1449"/>
    <n v="23"/>
    <x v="0"/>
    <n v="186"/>
    <n v="67"/>
    <x v="1833"/>
    <x v="0"/>
    <s v="153/78"/>
    <x v="2"/>
    <x v="0"/>
    <x v="2"/>
    <x v="0"/>
    <x v="0"/>
    <x v="1"/>
    <x v="1"/>
    <x v="1"/>
    <x v="2"/>
  </r>
  <r>
    <n v="1519"/>
    <n v="23"/>
    <x v="1"/>
    <n v="158"/>
    <n v="81"/>
    <x v="1834"/>
    <x v="2"/>
    <s v="133/97"/>
    <x v="0"/>
    <x v="0"/>
    <x v="2"/>
    <x v="2"/>
    <x v="0"/>
    <x v="1"/>
    <x v="1"/>
    <x v="0"/>
    <x v="1"/>
  </r>
  <r>
    <n v="1838"/>
    <n v="24"/>
    <x v="0"/>
    <n v="179"/>
    <n v="78"/>
    <x v="1835"/>
    <x v="0"/>
    <s v="141/104"/>
    <x v="2"/>
    <x v="0"/>
    <x v="1"/>
    <x v="0"/>
    <x v="0"/>
    <x v="0"/>
    <x v="0"/>
    <x v="0"/>
    <x v="2"/>
  </r>
  <r>
    <n v="1839"/>
    <n v="27"/>
    <x v="0"/>
    <n v="159"/>
    <n v="75"/>
    <x v="1836"/>
    <x v="1"/>
    <s v="128/83"/>
    <x v="0"/>
    <x v="0"/>
    <x v="1"/>
    <x v="2"/>
    <x v="0"/>
    <x v="0"/>
    <x v="1"/>
    <x v="1"/>
    <x v="2"/>
  </r>
  <r>
    <n v="1840"/>
    <n v="62"/>
    <x v="0"/>
    <n v="188"/>
    <n v="84"/>
    <x v="1837"/>
    <x v="0"/>
    <s v="157/91"/>
    <x v="0"/>
    <x v="1"/>
    <x v="1"/>
    <x v="0"/>
    <x v="0"/>
    <x v="0"/>
    <x v="1"/>
    <x v="0"/>
    <x v="1"/>
  </r>
  <r>
    <n v="1842"/>
    <n v="43"/>
    <x v="1"/>
    <n v="185"/>
    <n v="52"/>
    <x v="1838"/>
    <x v="0"/>
    <s v="154/109"/>
    <x v="1"/>
    <x v="0"/>
    <x v="1"/>
    <x v="2"/>
    <x v="1"/>
    <x v="0"/>
    <x v="1"/>
    <x v="0"/>
    <x v="0"/>
  </r>
  <r>
    <n v="149"/>
    <n v="22"/>
    <x v="0"/>
    <n v="182"/>
    <n v="98"/>
    <x v="1839"/>
    <x v="0"/>
    <s v="155/87"/>
    <x v="2"/>
    <x v="0"/>
    <x v="2"/>
    <x v="1"/>
    <x v="0"/>
    <x v="1"/>
    <x v="1"/>
    <x v="1"/>
    <x v="2"/>
  </r>
  <r>
    <n v="1845"/>
    <n v="79"/>
    <x v="0"/>
    <n v="185"/>
    <n v="83"/>
    <x v="1840"/>
    <x v="0"/>
    <s v="111/80"/>
    <x v="0"/>
    <x v="0"/>
    <x v="0"/>
    <x v="3"/>
    <x v="0"/>
    <x v="1"/>
    <x v="0"/>
    <x v="1"/>
    <x v="1"/>
  </r>
  <r>
    <n v="312"/>
    <n v="22"/>
    <x v="1"/>
    <n v="157"/>
    <n v="64"/>
    <x v="1841"/>
    <x v="1"/>
    <s v="133/86"/>
    <x v="0"/>
    <x v="0"/>
    <x v="2"/>
    <x v="0"/>
    <x v="1"/>
    <x v="0"/>
    <x v="0"/>
    <x v="0"/>
    <x v="1"/>
  </r>
  <r>
    <n v="1848"/>
    <n v="19"/>
    <x v="1"/>
    <n v="171"/>
    <n v="90"/>
    <x v="1842"/>
    <x v="1"/>
    <s v="114/72"/>
    <x v="1"/>
    <x v="0"/>
    <x v="1"/>
    <x v="3"/>
    <x v="1"/>
    <x v="1"/>
    <x v="1"/>
    <x v="0"/>
    <x v="1"/>
  </r>
  <r>
    <n v="452"/>
    <n v="22"/>
    <x v="0"/>
    <n v="180"/>
    <n v="65"/>
    <x v="1843"/>
    <x v="1"/>
    <s v="150/76"/>
    <x v="1"/>
    <x v="1"/>
    <x v="2"/>
    <x v="1"/>
    <x v="0"/>
    <x v="1"/>
    <x v="0"/>
    <x v="1"/>
    <x v="0"/>
  </r>
  <r>
    <n v="571"/>
    <n v="22"/>
    <x v="1"/>
    <n v="157"/>
    <n v="91"/>
    <x v="1844"/>
    <x v="1"/>
    <s v="144/79"/>
    <x v="2"/>
    <x v="1"/>
    <x v="2"/>
    <x v="3"/>
    <x v="1"/>
    <x v="1"/>
    <x v="0"/>
    <x v="0"/>
    <x v="1"/>
  </r>
  <r>
    <n v="1850"/>
    <n v="71"/>
    <x v="1"/>
    <n v="180"/>
    <n v="56"/>
    <x v="1845"/>
    <x v="2"/>
    <s v="151/88"/>
    <x v="0"/>
    <x v="1"/>
    <x v="0"/>
    <x v="2"/>
    <x v="0"/>
    <x v="0"/>
    <x v="0"/>
    <x v="0"/>
    <x v="0"/>
  </r>
  <r>
    <n v="639"/>
    <n v="22"/>
    <x v="1"/>
    <n v="189"/>
    <n v="87"/>
    <x v="1846"/>
    <x v="0"/>
    <s v="147/95"/>
    <x v="0"/>
    <x v="1"/>
    <x v="2"/>
    <x v="3"/>
    <x v="1"/>
    <x v="0"/>
    <x v="1"/>
    <x v="1"/>
    <x v="0"/>
  </r>
  <r>
    <n v="646"/>
    <n v="22"/>
    <x v="1"/>
    <n v="175"/>
    <n v="82"/>
    <x v="1847"/>
    <x v="0"/>
    <s v="156/106"/>
    <x v="1"/>
    <x v="1"/>
    <x v="2"/>
    <x v="0"/>
    <x v="1"/>
    <x v="1"/>
    <x v="1"/>
    <x v="0"/>
    <x v="2"/>
  </r>
  <r>
    <n v="1851"/>
    <n v="60"/>
    <x v="0"/>
    <n v="167"/>
    <n v="52"/>
    <x v="1848"/>
    <x v="2"/>
    <s v="149/104"/>
    <x v="0"/>
    <x v="1"/>
    <x v="1"/>
    <x v="1"/>
    <x v="0"/>
    <x v="1"/>
    <x v="1"/>
    <x v="0"/>
    <x v="1"/>
  </r>
  <r>
    <n v="675"/>
    <n v="22"/>
    <x v="0"/>
    <n v="157"/>
    <n v="97"/>
    <x v="1849"/>
    <x v="2"/>
    <s v="142/89"/>
    <x v="2"/>
    <x v="0"/>
    <x v="2"/>
    <x v="2"/>
    <x v="1"/>
    <x v="0"/>
    <x v="1"/>
    <x v="0"/>
    <x v="1"/>
  </r>
  <r>
    <n v="799"/>
    <n v="22"/>
    <x v="1"/>
    <n v="159"/>
    <n v="84"/>
    <x v="1850"/>
    <x v="2"/>
    <s v="137/76"/>
    <x v="2"/>
    <x v="0"/>
    <x v="2"/>
    <x v="0"/>
    <x v="1"/>
    <x v="0"/>
    <x v="0"/>
    <x v="0"/>
    <x v="2"/>
  </r>
  <r>
    <n v="820"/>
    <n v="22"/>
    <x v="0"/>
    <n v="175"/>
    <n v="61"/>
    <x v="1851"/>
    <x v="0"/>
    <s v="113/78"/>
    <x v="2"/>
    <x v="0"/>
    <x v="2"/>
    <x v="2"/>
    <x v="0"/>
    <x v="0"/>
    <x v="1"/>
    <x v="1"/>
    <x v="2"/>
  </r>
  <r>
    <n v="1859"/>
    <n v="38"/>
    <x v="0"/>
    <n v="177"/>
    <n v="63"/>
    <x v="1852"/>
    <x v="1"/>
    <s v="116/98"/>
    <x v="1"/>
    <x v="0"/>
    <x v="1"/>
    <x v="1"/>
    <x v="1"/>
    <x v="0"/>
    <x v="1"/>
    <x v="1"/>
    <x v="0"/>
  </r>
  <r>
    <n v="981"/>
    <n v="22"/>
    <x v="1"/>
    <n v="151"/>
    <n v="78"/>
    <x v="1853"/>
    <x v="1"/>
    <s v="158/99"/>
    <x v="2"/>
    <x v="0"/>
    <x v="2"/>
    <x v="1"/>
    <x v="1"/>
    <x v="0"/>
    <x v="0"/>
    <x v="0"/>
    <x v="1"/>
  </r>
  <r>
    <n v="1860"/>
    <n v="28"/>
    <x v="0"/>
    <n v="181"/>
    <n v="81"/>
    <x v="1854"/>
    <x v="0"/>
    <s v="146/92"/>
    <x v="1"/>
    <x v="0"/>
    <x v="1"/>
    <x v="1"/>
    <x v="0"/>
    <x v="0"/>
    <x v="0"/>
    <x v="1"/>
    <x v="2"/>
  </r>
  <r>
    <n v="1021"/>
    <n v="22"/>
    <x v="1"/>
    <n v="172"/>
    <n v="86"/>
    <x v="1855"/>
    <x v="0"/>
    <s v="134/102"/>
    <x v="2"/>
    <x v="0"/>
    <x v="2"/>
    <x v="0"/>
    <x v="0"/>
    <x v="0"/>
    <x v="0"/>
    <x v="0"/>
    <x v="2"/>
  </r>
  <r>
    <n v="1861"/>
    <n v="57"/>
    <x v="1"/>
    <n v="154"/>
    <n v="55"/>
    <x v="1856"/>
    <x v="0"/>
    <s v="142/77"/>
    <x v="1"/>
    <x v="1"/>
    <x v="1"/>
    <x v="3"/>
    <x v="1"/>
    <x v="1"/>
    <x v="0"/>
    <x v="0"/>
    <x v="2"/>
  </r>
  <r>
    <n v="1066"/>
    <n v="22"/>
    <x v="1"/>
    <n v="178"/>
    <n v="55"/>
    <x v="1857"/>
    <x v="2"/>
    <s v="116/108"/>
    <x v="0"/>
    <x v="0"/>
    <x v="2"/>
    <x v="0"/>
    <x v="1"/>
    <x v="0"/>
    <x v="0"/>
    <x v="0"/>
    <x v="2"/>
  </r>
  <r>
    <n v="1865"/>
    <n v="76"/>
    <x v="1"/>
    <n v="173"/>
    <n v="75"/>
    <x v="1858"/>
    <x v="1"/>
    <s v="112/71"/>
    <x v="1"/>
    <x v="1"/>
    <x v="0"/>
    <x v="1"/>
    <x v="1"/>
    <x v="1"/>
    <x v="1"/>
    <x v="0"/>
    <x v="1"/>
  </r>
  <r>
    <n v="1866"/>
    <n v="56"/>
    <x v="0"/>
    <n v="184"/>
    <n v="83"/>
    <x v="1859"/>
    <x v="1"/>
    <s v="115/90"/>
    <x v="0"/>
    <x v="1"/>
    <x v="1"/>
    <x v="2"/>
    <x v="0"/>
    <x v="1"/>
    <x v="0"/>
    <x v="0"/>
    <x v="1"/>
  </r>
  <r>
    <n v="1867"/>
    <n v="57"/>
    <x v="1"/>
    <n v="172"/>
    <n v="79"/>
    <x v="1860"/>
    <x v="2"/>
    <s v="118/79"/>
    <x v="2"/>
    <x v="0"/>
    <x v="1"/>
    <x v="1"/>
    <x v="1"/>
    <x v="0"/>
    <x v="1"/>
    <x v="0"/>
    <x v="1"/>
  </r>
  <r>
    <n v="1166"/>
    <n v="22"/>
    <x v="1"/>
    <n v="153"/>
    <n v="67"/>
    <x v="1861"/>
    <x v="0"/>
    <s v="115/88"/>
    <x v="0"/>
    <x v="1"/>
    <x v="2"/>
    <x v="3"/>
    <x v="0"/>
    <x v="0"/>
    <x v="0"/>
    <x v="1"/>
    <x v="1"/>
  </r>
  <r>
    <n v="1869"/>
    <n v="71"/>
    <x v="0"/>
    <n v="150"/>
    <n v="70"/>
    <x v="1862"/>
    <x v="0"/>
    <s v="150/93"/>
    <x v="2"/>
    <x v="1"/>
    <x v="0"/>
    <x v="2"/>
    <x v="0"/>
    <x v="1"/>
    <x v="0"/>
    <x v="0"/>
    <x v="0"/>
  </r>
  <r>
    <n v="1358"/>
    <n v="22"/>
    <x v="1"/>
    <n v="185"/>
    <n v="74"/>
    <x v="1863"/>
    <x v="0"/>
    <s v="117/77"/>
    <x v="1"/>
    <x v="0"/>
    <x v="2"/>
    <x v="0"/>
    <x v="1"/>
    <x v="1"/>
    <x v="0"/>
    <x v="1"/>
    <x v="1"/>
  </r>
  <r>
    <n v="1870"/>
    <n v="51"/>
    <x v="0"/>
    <n v="180"/>
    <n v="66"/>
    <x v="1864"/>
    <x v="2"/>
    <s v="131/83"/>
    <x v="2"/>
    <x v="0"/>
    <x v="1"/>
    <x v="2"/>
    <x v="1"/>
    <x v="0"/>
    <x v="0"/>
    <x v="0"/>
    <x v="2"/>
  </r>
  <r>
    <n v="1410"/>
    <n v="22"/>
    <x v="1"/>
    <n v="152"/>
    <n v="84"/>
    <x v="1865"/>
    <x v="1"/>
    <s v="122/96"/>
    <x v="0"/>
    <x v="1"/>
    <x v="2"/>
    <x v="0"/>
    <x v="0"/>
    <x v="1"/>
    <x v="0"/>
    <x v="0"/>
    <x v="1"/>
  </r>
  <r>
    <n v="1479"/>
    <n v="22"/>
    <x v="1"/>
    <n v="173"/>
    <n v="67"/>
    <x v="1866"/>
    <x v="2"/>
    <s v="157/70"/>
    <x v="2"/>
    <x v="1"/>
    <x v="2"/>
    <x v="1"/>
    <x v="0"/>
    <x v="0"/>
    <x v="1"/>
    <x v="0"/>
    <x v="1"/>
  </r>
  <r>
    <n v="1872"/>
    <n v="64"/>
    <x v="0"/>
    <n v="183"/>
    <n v="59"/>
    <x v="1867"/>
    <x v="0"/>
    <s v="142/91"/>
    <x v="2"/>
    <x v="0"/>
    <x v="1"/>
    <x v="1"/>
    <x v="0"/>
    <x v="1"/>
    <x v="0"/>
    <x v="0"/>
    <x v="2"/>
  </r>
  <r>
    <n v="1512"/>
    <n v="22"/>
    <x v="0"/>
    <n v="164"/>
    <n v="97"/>
    <x v="1868"/>
    <x v="0"/>
    <s v="123/88"/>
    <x v="2"/>
    <x v="0"/>
    <x v="2"/>
    <x v="0"/>
    <x v="0"/>
    <x v="0"/>
    <x v="1"/>
    <x v="1"/>
    <x v="2"/>
  </r>
  <r>
    <n v="1543"/>
    <n v="22"/>
    <x v="0"/>
    <n v="185"/>
    <n v="91"/>
    <x v="1869"/>
    <x v="0"/>
    <s v="131/88"/>
    <x v="2"/>
    <x v="1"/>
    <x v="2"/>
    <x v="1"/>
    <x v="0"/>
    <x v="0"/>
    <x v="0"/>
    <x v="1"/>
    <x v="2"/>
  </r>
  <r>
    <n v="1873"/>
    <n v="41"/>
    <x v="1"/>
    <n v="158"/>
    <n v="96"/>
    <x v="1870"/>
    <x v="1"/>
    <s v="138/88"/>
    <x v="2"/>
    <x v="1"/>
    <x v="1"/>
    <x v="2"/>
    <x v="1"/>
    <x v="0"/>
    <x v="1"/>
    <x v="0"/>
    <x v="0"/>
  </r>
  <r>
    <n v="1874"/>
    <n v="71"/>
    <x v="1"/>
    <n v="171"/>
    <n v="91"/>
    <x v="1871"/>
    <x v="1"/>
    <s v="128/75"/>
    <x v="2"/>
    <x v="1"/>
    <x v="0"/>
    <x v="1"/>
    <x v="0"/>
    <x v="1"/>
    <x v="0"/>
    <x v="0"/>
    <x v="1"/>
  </r>
  <r>
    <n v="1876"/>
    <n v="22"/>
    <x v="0"/>
    <n v="174"/>
    <n v="65"/>
    <x v="1872"/>
    <x v="0"/>
    <s v="122/95"/>
    <x v="1"/>
    <x v="1"/>
    <x v="1"/>
    <x v="1"/>
    <x v="1"/>
    <x v="0"/>
    <x v="1"/>
    <x v="0"/>
    <x v="2"/>
  </r>
  <r>
    <n v="63"/>
    <n v="21"/>
    <x v="0"/>
    <n v="174"/>
    <n v="87"/>
    <x v="1873"/>
    <x v="1"/>
    <s v="128/92"/>
    <x v="0"/>
    <x v="0"/>
    <x v="2"/>
    <x v="2"/>
    <x v="0"/>
    <x v="1"/>
    <x v="1"/>
    <x v="1"/>
    <x v="1"/>
  </r>
  <r>
    <n v="1879"/>
    <n v="75"/>
    <x v="0"/>
    <n v="189"/>
    <n v="64"/>
    <x v="1874"/>
    <x v="2"/>
    <s v="156/99"/>
    <x v="1"/>
    <x v="0"/>
    <x v="0"/>
    <x v="3"/>
    <x v="0"/>
    <x v="1"/>
    <x v="1"/>
    <x v="1"/>
    <x v="1"/>
  </r>
  <r>
    <n v="1880"/>
    <n v="53"/>
    <x v="0"/>
    <n v="166"/>
    <n v="76"/>
    <x v="1875"/>
    <x v="0"/>
    <s v="136/76"/>
    <x v="2"/>
    <x v="0"/>
    <x v="1"/>
    <x v="0"/>
    <x v="1"/>
    <x v="0"/>
    <x v="1"/>
    <x v="1"/>
    <x v="0"/>
  </r>
  <r>
    <n v="1886"/>
    <n v="60"/>
    <x v="1"/>
    <n v="166"/>
    <n v="85"/>
    <x v="1876"/>
    <x v="0"/>
    <s v="135/95"/>
    <x v="2"/>
    <x v="0"/>
    <x v="1"/>
    <x v="3"/>
    <x v="0"/>
    <x v="1"/>
    <x v="0"/>
    <x v="0"/>
    <x v="2"/>
  </r>
  <r>
    <n v="1888"/>
    <n v="79"/>
    <x v="0"/>
    <n v="158"/>
    <n v="56"/>
    <x v="1877"/>
    <x v="0"/>
    <s v="123/72"/>
    <x v="0"/>
    <x v="0"/>
    <x v="0"/>
    <x v="1"/>
    <x v="0"/>
    <x v="0"/>
    <x v="1"/>
    <x v="0"/>
    <x v="2"/>
  </r>
  <r>
    <n v="416"/>
    <n v="21"/>
    <x v="0"/>
    <n v="170"/>
    <n v="96"/>
    <x v="1878"/>
    <x v="0"/>
    <s v="154/102"/>
    <x v="0"/>
    <x v="1"/>
    <x v="2"/>
    <x v="3"/>
    <x v="0"/>
    <x v="1"/>
    <x v="1"/>
    <x v="0"/>
    <x v="2"/>
  </r>
  <r>
    <n v="1890"/>
    <n v="62"/>
    <x v="0"/>
    <n v="169"/>
    <n v="64"/>
    <x v="1879"/>
    <x v="0"/>
    <s v="133/104"/>
    <x v="2"/>
    <x v="1"/>
    <x v="1"/>
    <x v="3"/>
    <x v="1"/>
    <x v="0"/>
    <x v="1"/>
    <x v="1"/>
    <x v="1"/>
  </r>
  <r>
    <n v="573"/>
    <n v="21"/>
    <x v="1"/>
    <n v="187"/>
    <n v="80"/>
    <x v="1880"/>
    <x v="1"/>
    <s v="116/104"/>
    <x v="2"/>
    <x v="0"/>
    <x v="2"/>
    <x v="1"/>
    <x v="0"/>
    <x v="1"/>
    <x v="1"/>
    <x v="0"/>
    <x v="1"/>
  </r>
  <r>
    <n v="677"/>
    <n v="21"/>
    <x v="1"/>
    <n v="181"/>
    <n v="88"/>
    <x v="1881"/>
    <x v="0"/>
    <s v="114/92"/>
    <x v="2"/>
    <x v="1"/>
    <x v="2"/>
    <x v="0"/>
    <x v="0"/>
    <x v="0"/>
    <x v="1"/>
    <x v="0"/>
    <x v="1"/>
  </r>
  <r>
    <n v="730"/>
    <n v="21"/>
    <x v="0"/>
    <n v="175"/>
    <n v="89"/>
    <x v="1882"/>
    <x v="2"/>
    <s v="154/71"/>
    <x v="0"/>
    <x v="0"/>
    <x v="2"/>
    <x v="0"/>
    <x v="0"/>
    <x v="1"/>
    <x v="1"/>
    <x v="0"/>
    <x v="1"/>
  </r>
  <r>
    <n v="1892"/>
    <n v="51"/>
    <x v="0"/>
    <n v="176"/>
    <n v="72"/>
    <x v="1883"/>
    <x v="1"/>
    <s v="122/83"/>
    <x v="0"/>
    <x v="0"/>
    <x v="1"/>
    <x v="0"/>
    <x v="0"/>
    <x v="1"/>
    <x v="1"/>
    <x v="0"/>
    <x v="2"/>
  </r>
  <r>
    <n v="1893"/>
    <n v="26"/>
    <x v="1"/>
    <n v="170"/>
    <n v="71"/>
    <x v="1884"/>
    <x v="1"/>
    <s v="130/95"/>
    <x v="1"/>
    <x v="1"/>
    <x v="1"/>
    <x v="0"/>
    <x v="1"/>
    <x v="0"/>
    <x v="0"/>
    <x v="0"/>
    <x v="0"/>
  </r>
  <r>
    <n v="1109"/>
    <n v="21"/>
    <x v="0"/>
    <n v="159"/>
    <n v="57"/>
    <x v="1885"/>
    <x v="0"/>
    <s v="153/74"/>
    <x v="2"/>
    <x v="1"/>
    <x v="2"/>
    <x v="1"/>
    <x v="1"/>
    <x v="0"/>
    <x v="0"/>
    <x v="1"/>
    <x v="1"/>
  </r>
  <r>
    <n v="1896"/>
    <n v="70"/>
    <x v="1"/>
    <n v="165"/>
    <n v="60"/>
    <x v="1886"/>
    <x v="2"/>
    <s v="152/70"/>
    <x v="0"/>
    <x v="0"/>
    <x v="0"/>
    <x v="2"/>
    <x v="1"/>
    <x v="0"/>
    <x v="0"/>
    <x v="1"/>
    <x v="0"/>
  </r>
  <r>
    <n v="1142"/>
    <n v="21"/>
    <x v="0"/>
    <n v="162"/>
    <n v="98"/>
    <x v="1887"/>
    <x v="2"/>
    <s v="143/101"/>
    <x v="0"/>
    <x v="1"/>
    <x v="2"/>
    <x v="1"/>
    <x v="0"/>
    <x v="1"/>
    <x v="0"/>
    <x v="1"/>
    <x v="1"/>
  </r>
  <r>
    <n v="1248"/>
    <n v="21"/>
    <x v="1"/>
    <n v="154"/>
    <n v="95"/>
    <x v="1888"/>
    <x v="1"/>
    <s v="146/82"/>
    <x v="2"/>
    <x v="0"/>
    <x v="2"/>
    <x v="1"/>
    <x v="0"/>
    <x v="1"/>
    <x v="1"/>
    <x v="0"/>
    <x v="0"/>
  </r>
  <r>
    <n v="1897"/>
    <n v="26"/>
    <x v="1"/>
    <n v="158"/>
    <n v="59"/>
    <x v="1889"/>
    <x v="2"/>
    <s v="149/102"/>
    <x v="0"/>
    <x v="0"/>
    <x v="1"/>
    <x v="1"/>
    <x v="1"/>
    <x v="1"/>
    <x v="0"/>
    <x v="0"/>
    <x v="0"/>
  </r>
  <r>
    <n v="1311"/>
    <n v="21"/>
    <x v="1"/>
    <n v="158"/>
    <n v="90"/>
    <x v="1890"/>
    <x v="2"/>
    <s v="116/95"/>
    <x v="2"/>
    <x v="0"/>
    <x v="2"/>
    <x v="0"/>
    <x v="1"/>
    <x v="1"/>
    <x v="1"/>
    <x v="0"/>
    <x v="0"/>
  </r>
  <r>
    <n v="1898"/>
    <n v="26"/>
    <x v="0"/>
    <n v="161"/>
    <n v="74"/>
    <x v="1891"/>
    <x v="2"/>
    <s v="116/80"/>
    <x v="0"/>
    <x v="0"/>
    <x v="1"/>
    <x v="3"/>
    <x v="0"/>
    <x v="0"/>
    <x v="1"/>
    <x v="0"/>
    <x v="1"/>
  </r>
  <r>
    <n v="1416"/>
    <n v="21"/>
    <x v="1"/>
    <n v="150"/>
    <n v="61"/>
    <x v="1892"/>
    <x v="0"/>
    <s v="132/73"/>
    <x v="2"/>
    <x v="1"/>
    <x v="2"/>
    <x v="0"/>
    <x v="1"/>
    <x v="0"/>
    <x v="0"/>
    <x v="1"/>
    <x v="2"/>
  </r>
  <r>
    <n v="1475"/>
    <n v="21"/>
    <x v="1"/>
    <n v="188"/>
    <n v="65"/>
    <x v="1893"/>
    <x v="2"/>
    <s v="115/74"/>
    <x v="0"/>
    <x v="0"/>
    <x v="2"/>
    <x v="1"/>
    <x v="0"/>
    <x v="1"/>
    <x v="1"/>
    <x v="0"/>
    <x v="2"/>
  </r>
  <r>
    <n v="1903"/>
    <n v="78"/>
    <x v="1"/>
    <n v="167"/>
    <n v="90"/>
    <x v="1894"/>
    <x v="2"/>
    <s v="133/87"/>
    <x v="1"/>
    <x v="1"/>
    <x v="0"/>
    <x v="3"/>
    <x v="0"/>
    <x v="1"/>
    <x v="0"/>
    <x v="1"/>
    <x v="1"/>
  </r>
  <r>
    <n v="1542"/>
    <n v="21"/>
    <x v="0"/>
    <n v="189"/>
    <n v="60"/>
    <x v="1895"/>
    <x v="0"/>
    <s v="112/72"/>
    <x v="2"/>
    <x v="1"/>
    <x v="2"/>
    <x v="1"/>
    <x v="0"/>
    <x v="1"/>
    <x v="0"/>
    <x v="1"/>
    <x v="2"/>
  </r>
  <r>
    <n v="1909"/>
    <n v="52"/>
    <x v="1"/>
    <n v="189"/>
    <n v="66"/>
    <x v="1896"/>
    <x v="1"/>
    <s v="145/76"/>
    <x v="1"/>
    <x v="1"/>
    <x v="1"/>
    <x v="0"/>
    <x v="1"/>
    <x v="0"/>
    <x v="1"/>
    <x v="1"/>
    <x v="0"/>
  </r>
  <r>
    <n v="1911"/>
    <n v="67"/>
    <x v="1"/>
    <n v="166"/>
    <n v="86"/>
    <x v="1897"/>
    <x v="1"/>
    <s v="120/83"/>
    <x v="0"/>
    <x v="1"/>
    <x v="1"/>
    <x v="3"/>
    <x v="1"/>
    <x v="1"/>
    <x v="0"/>
    <x v="0"/>
    <x v="0"/>
  </r>
  <r>
    <n v="1916"/>
    <n v="47"/>
    <x v="1"/>
    <n v="175"/>
    <n v="53"/>
    <x v="1898"/>
    <x v="0"/>
    <s v="135/75"/>
    <x v="0"/>
    <x v="0"/>
    <x v="1"/>
    <x v="1"/>
    <x v="1"/>
    <x v="0"/>
    <x v="0"/>
    <x v="0"/>
    <x v="2"/>
  </r>
  <r>
    <n v="1917"/>
    <n v="55"/>
    <x v="1"/>
    <n v="163"/>
    <n v="66"/>
    <x v="1899"/>
    <x v="1"/>
    <s v="125/105"/>
    <x v="2"/>
    <x v="1"/>
    <x v="1"/>
    <x v="0"/>
    <x v="0"/>
    <x v="0"/>
    <x v="1"/>
    <x v="1"/>
    <x v="1"/>
  </r>
  <r>
    <n v="1919"/>
    <n v="29"/>
    <x v="0"/>
    <n v="153"/>
    <n v="99"/>
    <x v="1900"/>
    <x v="2"/>
    <s v="112/106"/>
    <x v="0"/>
    <x v="1"/>
    <x v="1"/>
    <x v="1"/>
    <x v="1"/>
    <x v="0"/>
    <x v="1"/>
    <x v="0"/>
    <x v="1"/>
  </r>
  <r>
    <n v="178"/>
    <n v="20"/>
    <x v="0"/>
    <n v="172"/>
    <n v="52"/>
    <x v="1901"/>
    <x v="0"/>
    <s v="136/80"/>
    <x v="0"/>
    <x v="0"/>
    <x v="2"/>
    <x v="1"/>
    <x v="0"/>
    <x v="1"/>
    <x v="1"/>
    <x v="0"/>
    <x v="2"/>
  </r>
  <r>
    <n v="1920"/>
    <n v="36"/>
    <x v="0"/>
    <n v="188"/>
    <n v="97"/>
    <x v="1902"/>
    <x v="1"/>
    <s v="115/88"/>
    <x v="1"/>
    <x v="0"/>
    <x v="1"/>
    <x v="3"/>
    <x v="0"/>
    <x v="0"/>
    <x v="0"/>
    <x v="0"/>
    <x v="0"/>
  </r>
  <r>
    <n v="1922"/>
    <n v="61"/>
    <x v="1"/>
    <n v="174"/>
    <n v="89"/>
    <x v="1903"/>
    <x v="0"/>
    <s v="132/106"/>
    <x v="2"/>
    <x v="0"/>
    <x v="1"/>
    <x v="0"/>
    <x v="1"/>
    <x v="1"/>
    <x v="1"/>
    <x v="1"/>
    <x v="0"/>
  </r>
  <r>
    <n v="1923"/>
    <n v="76"/>
    <x v="0"/>
    <n v="162"/>
    <n v="60"/>
    <x v="1904"/>
    <x v="2"/>
    <s v="118/72"/>
    <x v="2"/>
    <x v="1"/>
    <x v="0"/>
    <x v="3"/>
    <x v="1"/>
    <x v="1"/>
    <x v="0"/>
    <x v="1"/>
    <x v="2"/>
  </r>
  <r>
    <n v="1926"/>
    <n v="78"/>
    <x v="1"/>
    <n v="187"/>
    <n v="67"/>
    <x v="1905"/>
    <x v="0"/>
    <s v="153/100"/>
    <x v="0"/>
    <x v="0"/>
    <x v="0"/>
    <x v="1"/>
    <x v="0"/>
    <x v="1"/>
    <x v="1"/>
    <x v="0"/>
    <x v="0"/>
  </r>
  <r>
    <n v="1930"/>
    <n v="72"/>
    <x v="1"/>
    <n v="177"/>
    <n v="94"/>
    <x v="1906"/>
    <x v="2"/>
    <s v="121/106"/>
    <x v="1"/>
    <x v="1"/>
    <x v="0"/>
    <x v="3"/>
    <x v="0"/>
    <x v="0"/>
    <x v="0"/>
    <x v="0"/>
    <x v="1"/>
  </r>
  <r>
    <n v="425"/>
    <n v="20"/>
    <x v="1"/>
    <n v="152"/>
    <n v="74"/>
    <x v="1907"/>
    <x v="0"/>
    <s v="117/101"/>
    <x v="2"/>
    <x v="0"/>
    <x v="2"/>
    <x v="0"/>
    <x v="1"/>
    <x v="1"/>
    <x v="0"/>
    <x v="1"/>
    <x v="2"/>
  </r>
  <r>
    <n v="1933"/>
    <n v="29"/>
    <x v="0"/>
    <n v="165"/>
    <n v="91"/>
    <x v="1908"/>
    <x v="0"/>
    <s v="153/72"/>
    <x v="0"/>
    <x v="0"/>
    <x v="1"/>
    <x v="2"/>
    <x v="1"/>
    <x v="1"/>
    <x v="1"/>
    <x v="1"/>
    <x v="2"/>
  </r>
  <r>
    <n v="1934"/>
    <n v="79"/>
    <x v="0"/>
    <n v="171"/>
    <n v="97"/>
    <x v="1909"/>
    <x v="1"/>
    <s v="113/107"/>
    <x v="2"/>
    <x v="1"/>
    <x v="0"/>
    <x v="2"/>
    <x v="0"/>
    <x v="1"/>
    <x v="0"/>
    <x v="1"/>
    <x v="0"/>
  </r>
  <r>
    <n v="1935"/>
    <n v="33"/>
    <x v="0"/>
    <n v="181"/>
    <n v="69"/>
    <x v="1910"/>
    <x v="1"/>
    <s v="121/88"/>
    <x v="2"/>
    <x v="0"/>
    <x v="1"/>
    <x v="0"/>
    <x v="0"/>
    <x v="0"/>
    <x v="0"/>
    <x v="1"/>
    <x v="0"/>
  </r>
  <r>
    <n v="1936"/>
    <n v="41"/>
    <x v="1"/>
    <n v="187"/>
    <n v="86"/>
    <x v="1911"/>
    <x v="2"/>
    <s v="119/70"/>
    <x v="1"/>
    <x v="1"/>
    <x v="1"/>
    <x v="0"/>
    <x v="0"/>
    <x v="1"/>
    <x v="0"/>
    <x v="0"/>
    <x v="2"/>
  </r>
  <r>
    <n v="877"/>
    <n v="20"/>
    <x v="1"/>
    <n v="164"/>
    <n v="89"/>
    <x v="1912"/>
    <x v="2"/>
    <s v="134/84"/>
    <x v="2"/>
    <x v="0"/>
    <x v="2"/>
    <x v="0"/>
    <x v="1"/>
    <x v="0"/>
    <x v="1"/>
    <x v="0"/>
    <x v="1"/>
  </r>
  <r>
    <n v="891"/>
    <n v="20"/>
    <x v="0"/>
    <n v="189"/>
    <n v="86"/>
    <x v="1913"/>
    <x v="0"/>
    <s v="132/97"/>
    <x v="2"/>
    <x v="0"/>
    <x v="2"/>
    <x v="2"/>
    <x v="1"/>
    <x v="1"/>
    <x v="0"/>
    <x v="1"/>
    <x v="2"/>
  </r>
  <r>
    <n v="934"/>
    <n v="20"/>
    <x v="1"/>
    <n v="165"/>
    <n v="87"/>
    <x v="1914"/>
    <x v="1"/>
    <s v="127/72"/>
    <x v="1"/>
    <x v="0"/>
    <x v="2"/>
    <x v="0"/>
    <x v="0"/>
    <x v="1"/>
    <x v="0"/>
    <x v="1"/>
    <x v="2"/>
  </r>
  <r>
    <n v="1937"/>
    <n v="36"/>
    <x v="1"/>
    <n v="157"/>
    <n v="94"/>
    <x v="1915"/>
    <x v="2"/>
    <s v="126/85"/>
    <x v="1"/>
    <x v="1"/>
    <x v="1"/>
    <x v="1"/>
    <x v="1"/>
    <x v="0"/>
    <x v="0"/>
    <x v="0"/>
    <x v="0"/>
  </r>
  <r>
    <n v="1939"/>
    <n v="48"/>
    <x v="1"/>
    <n v="155"/>
    <n v="66"/>
    <x v="1916"/>
    <x v="1"/>
    <s v="118/81"/>
    <x v="1"/>
    <x v="0"/>
    <x v="1"/>
    <x v="3"/>
    <x v="0"/>
    <x v="1"/>
    <x v="1"/>
    <x v="0"/>
    <x v="1"/>
  </r>
  <r>
    <n v="1145"/>
    <n v="20"/>
    <x v="1"/>
    <n v="169"/>
    <n v="61"/>
    <x v="1917"/>
    <x v="0"/>
    <s v="117/88"/>
    <x v="0"/>
    <x v="1"/>
    <x v="2"/>
    <x v="2"/>
    <x v="0"/>
    <x v="0"/>
    <x v="0"/>
    <x v="0"/>
    <x v="2"/>
  </r>
  <r>
    <n v="1147"/>
    <n v="20"/>
    <x v="1"/>
    <n v="166"/>
    <n v="66"/>
    <x v="1918"/>
    <x v="0"/>
    <s v="138/102"/>
    <x v="1"/>
    <x v="0"/>
    <x v="2"/>
    <x v="2"/>
    <x v="1"/>
    <x v="1"/>
    <x v="1"/>
    <x v="1"/>
    <x v="0"/>
  </r>
  <r>
    <n v="1941"/>
    <n v="34"/>
    <x v="1"/>
    <n v="181"/>
    <n v="63"/>
    <x v="1919"/>
    <x v="2"/>
    <s v="111/80"/>
    <x v="0"/>
    <x v="0"/>
    <x v="1"/>
    <x v="1"/>
    <x v="0"/>
    <x v="0"/>
    <x v="1"/>
    <x v="0"/>
    <x v="2"/>
  </r>
  <r>
    <n v="1944"/>
    <n v="71"/>
    <x v="1"/>
    <n v="152"/>
    <n v="80"/>
    <x v="1920"/>
    <x v="1"/>
    <s v="129/108"/>
    <x v="1"/>
    <x v="0"/>
    <x v="0"/>
    <x v="3"/>
    <x v="0"/>
    <x v="1"/>
    <x v="0"/>
    <x v="0"/>
    <x v="1"/>
  </r>
  <r>
    <n v="1945"/>
    <n v="33"/>
    <x v="0"/>
    <n v="161"/>
    <n v="53"/>
    <x v="1921"/>
    <x v="0"/>
    <s v="144/77"/>
    <x v="2"/>
    <x v="1"/>
    <x v="1"/>
    <x v="3"/>
    <x v="1"/>
    <x v="0"/>
    <x v="0"/>
    <x v="1"/>
    <x v="1"/>
  </r>
  <r>
    <n v="1352"/>
    <n v="20"/>
    <x v="0"/>
    <n v="167"/>
    <n v="83"/>
    <x v="1922"/>
    <x v="0"/>
    <s v="134/92"/>
    <x v="2"/>
    <x v="1"/>
    <x v="2"/>
    <x v="2"/>
    <x v="0"/>
    <x v="1"/>
    <x v="1"/>
    <x v="0"/>
    <x v="1"/>
  </r>
  <r>
    <n v="1450"/>
    <n v="20"/>
    <x v="1"/>
    <n v="172"/>
    <n v="60"/>
    <x v="1923"/>
    <x v="2"/>
    <s v="143/86"/>
    <x v="2"/>
    <x v="1"/>
    <x v="2"/>
    <x v="1"/>
    <x v="0"/>
    <x v="1"/>
    <x v="0"/>
    <x v="1"/>
    <x v="1"/>
  </r>
  <r>
    <n v="1678"/>
    <n v="20"/>
    <x v="1"/>
    <n v="180"/>
    <n v="91"/>
    <x v="1924"/>
    <x v="1"/>
    <s v="148/96"/>
    <x v="0"/>
    <x v="0"/>
    <x v="2"/>
    <x v="0"/>
    <x v="1"/>
    <x v="0"/>
    <x v="0"/>
    <x v="0"/>
    <x v="2"/>
  </r>
  <r>
    <n v="1698"/>
    <n v="20"/>
    <x v="1"/>
    <n v="163"/>
    <n v="67"/>
    <x v="1925"/>
    <x v="0"/>
    <s v="143/101"/>
    <x v="0"/>
    <x v="1"/>
    <x v="2"/>
    <x v="3"/>
    <x v="0"/>
    <x v="1"/>
    <x v="0"/>
    <x v="1"/>
    <x v="2"/>
  </r>
  <r>
    <n v="1708"/>
    <n v="20"/>
    <x v="0"/>
    <n v="170"/>
    <n v="99"/>
    <x v="1926"/>
    <x v="2"/>
    <s v="157/75"/>
    <x v="1"/>
    <x v="1"/>
    <x v="2"/>
    <x v="3"/>
    <x v="0"/>
    <x v="0"/>
    <x v="1"/>
    <x v="1"/>
    <x v="2"/>
  </r>
  <r>
    <n v="1756"/>
    <n v="20"/>
    <x v="0"/>
    <n v="171"/>
    <n v="68"/>
    <x v="1927"/>
    <x v="0"/>
    <s v="147/72"/>
    <x v="1"/>
    <x v="0"/>
    <x v="2"/>
    <x v="0"/>
    <x v="0"/>
    <x v="0"/>
    <x v="0"/>
    <x v="1"/>
    <x v="1"/>
  </r>
  <r>
    <n v="1910"/>
    <n v="20"/>
    <x v="0"/>
    <n v="162"/>
    <n v="73"/>
    <x v="1928"/>
    <x v="0"/>
    <s v="145/94"/>
    <x v="2"/>
    <x v="1"/>
    <x v="2"/>
    <x v="0"/>
    <x v="0"/>
    <x v="0"/>
    <x v="0"/>
    <x v="0"/>
    <x v="0"/>
  </r>
  <r>
    <n v="23"/>
    <n v="19"/>
    <x v="1"/>
    <n v="171"/>
    <n v="92"/>
    <x v="1929"/>
    <x v="0"/>
    <s v="127/87"/>
    <x v="0"/>
    <x v="0"/>
    <x v="2"/>
    <x v="0"/>
    <x v="0"/>
    <x v="0"/>
    <x v="0"/>
    <x v="0"/>
    <x v="0"/>
  </r>
  <r>
    <n v="1946"/>
    <n v="23"/>
    <x v="0"/>
    <n v="180"/>
    <n v="67"/>
    <x v="1930"/>
    <x v="0"/>
    <s v="159/103"/>
    <x v="2"/>
    <x v="0"/>
    <x v="1"/>
    <x v="1"/>
    <x v="0"/>
    <x v="0"/>
    <x v="0"/>
    <x v="0"/>
    <x v="1"/>
  </r>
  <r>
    <n v="72"/>
    <n v="19"/>
    <x v="1"/>
    <n v="185"/>
    <n v="81"/>
    <x v="1931"/>
    <x v="0"/>
    <s v="133/84"/>
    <x v="0"/>
    <x v="0"/>
    <x v="2"/>
    <x v="3"/>
    <x v="1"/>
    <x v="1"/>
    <x v="1"/>
    <x v="1"/>
    <x v="1"/>
  </r>
  <r>
    <n v="1947"/>
    <n v="25"/>
    <x v="1"/>
    <n v="178"/>
    <n v="69"/>
    <x v="1932"/>
    <x v="0"/>
    <s v="128/76"/>
    <x v="1"/>
    <x v="0"/>
    <x v="1"/>
    <x v="3"/>
    <x v="1"/>
    <x v="0"/>
    <x v="0"/>
    <x v="1"/>
    <x v="1"/>
  </r>
  <r>
    <n v="217"/>
    <n v="19"/>
    <x v="1"/>
    <n v="172"/>
    <n v="61"/>
    <x v="1933"/>
    <x v="0"/>
    <s v="156/74"/>
    <x v="0"/>
    <x v="1"/>
    <x v="2"/>
    <x v="3"/>
    <x v="0"/>
    <x v="0"/>
    <x v="0"/>
    <x v="0"/>
    <x v="0"/>
  </r>
  <r>
    <n v="1948"/>
    <n v="42"/>
    <x v="1"/>
    <n v="154"/>
    <n v="96"/>
    <x v="1934"/>
    <x v="1"/>
    <s v="140/87"/>
    <x v="1"/>
    <x v="0"/>
    <x v="1"/>
    <x v="2"/>
    <x v="1"/>
    <x v="0"/>
    <x v="1"/>
    <x v="0"/>
    <x v="2"/>
  </r>
  <r>
    <n v="1949"/>
    <n v="35"/>
    <x v="0"/>
    <n v="174"/>
    <n v="92"/>
    <x v="1935"/>
    <x v="0"/>
    <s v="149/83"/>
    <x v="0"/>
    <x v="0"/>
    <x v="1"/>
    <x v="0"/>
    <x v="1"/>
    <x v="1"/>
    <x v="0"/>
    <x v="1"/>
    <x v="1"/>
  </r>
  <r>
    <n v="286"/>
    <n v="19"/>
    <x v="1"/>
    <n v="153"/>
    <n v="93"/>
    <x v="1936"/>
    <x v="1"/>
    <s v="125/85"/>
    <x v="1"/>
    <x v="1"/>
    <x v="2"/>
    <x v="2"/>
    <x v="0"/>
    <x v="0"/>
    <x v="1"/>
    <x v="1"/>
    <x v="1"/>
  </r>
  <r>
    <n v="296"/>
    <n v="19"/>
    <x v="1"/>
    <n v="173"/>
    <n v="93"/>
    <x v="1937"/>
    <x v="2"/>
    <s v="132/71"/>
    <x v="2"/>
    <x v="1"/>
    <x v="2"/>
    <x v="0"/>
    <x v="0"/>
    <x v="1"/>
    <x v="0"/>
    <x v="1"/>
    <x v="1"/>
  </r>
  <r>
    <n v="366"/>
    <n v="19"/>
    <x v="1"/>
    <n v="182"/>
    <n v="91"/>
    <x v="1938"/>
    <x v="0"/>
    <s v="122/102"/>
    <x v="2"/>
    <x v="1"/>
    <x v="2"/>
    <x v="2"/>
    <x v="1"/>
    <x v="0"/>
    <x v="1"/>
    <x v="0"/>
    <x v="2"/>
  </r>
  <r>
    <n v="1955"/>
    <n v="58"/>
    <x v="1"/>
    <n v="153"/>
    <n v="64"/>
    <x v="1939"/>
    <x v="1"/>
    <s v="150/105"/>
    <x v="0"/>
    <x v="1"/>
    <x v="1"/>
    <x v="2"/>
    <x v="0"/>
    <x v="0"/>
    <x v="1"/>
    <x v="1"/>
    <x v="0"/>
  </r>
  <r>
    <n v="503"/>
    <n v="19"/>
    <x v="0"/>
    <n v="188"/>
    <n v="86"/>
    <x v="1940"/>
    <x v="2"/>
    <s v="149/72"/>
    <x v="1"/>
    <x v="1"/>
    <x v="2"/>
    <x v="1"/>
    <x v="0"/>
    <x v="0"/>
    <x v="0"/>
    <x v="1"/>
    <x v="0"/>
  </r>
  <r>
    <n v="1956"/>
    <n v="62"/>
    <x v="1"/>
    <n v="162"/>
    <n v="77"/>
    <x v="1941"/>
    <x v="2"/>
    <s v="136/77"/>
    <x v="0"/>
    <x v="0"/>
    <x v="1"/>
    <x v="1"/>
    <x v="1"/>
    <x v="0"/>
    <x v="1"/>
    <x v="0"/>
    <x v="1"/>
  </r>
  <r>
    <n v="1959"/>
    <n v="49"/>
    <x v="0"/>
    <n v="166"/>
    <n v="75"/>
    <x v="1942"/>
    <x v="0"/>
    <s v="129/101"/>
    <x v="1"/>
    <x v="0"/>
    <x v="1"/>
    <x v="1"/>
    <x v="0"/>
    <x v="0"/>
    <x v="0"/>
    <x v="1"/>
    <x v="0"/>
  </r>
  <r>
    <n v="1960"/>
    <n v="27"/>
    <x v="1"/>
    <n v="185"/>
    <n v="75"/>
    <x v="1943"/>
    <x v="0"/>
    <s v="111/101"/>
    <x v="1"/>
    <x v="0"/>
    <x v="1"/>
    <x v="1"/>
    <x v="1"/>
    <x v="1"/>
    <x v="1"/>
    <x v="1"/>
    <x v="2"/>
  </r>
  <r>
    <n v="712"/>
    <n v="19"/>
    <x v="0"/>
    <n v="177"/>
    <n v="65"/>
    <x v="1944"/>
    <x v="2"/>
    <s v="136/96"/>
    <x v="0"/>
    <x v="0"/>
    <x v="2"/>
    <x v="2"/>
    <x v="1"/>
    <x v="1"/>
    <x v="0"/>
    <x v="1"/>
    <x v="2"/>
  </r>
  <r>
    <n v="845"/>
    <n v="19"/>
    <x v="1"/>
    <n v="162"/>
    <n v="97"/>
    <x v="1945"/>
    <x v="0"/>
    <s v="156/88"/>
    <x v="2"/>
    <x v="1"/>
    <x v="2"/>
    <x v="2"/>
    <x v="1"/>
    <x v="0"/>
    <x v="1"/>
    <x v="0"/>
    <x v="0"/>
  </r>
  <r>
    <n v="984"/>
    <n v="19"/>
    <x v="1"/>
    <n v="171"/>
    <n v="96"/>
    <x v="1946"/>
    <x v="0"/>
    <s v="122/94"/>
    <x v="0"/>
    <x v="0"/>
    <x v="2"/>
    <x v="1"/>
    <x v="1"/>
    <x v="0"/>
    <x v="0"/>
    <x v="1"/>
    <x v="1"/>
  </r>
  <r>
    <n v="1961"/>
    <n v="33"/>
    <x v="1"/>
    <n v="182"/>
    <n v="74"/>
    <x v="1947"/>
    <x v="0"/>
    <s v="154/78"/>
    <x v="0"/>
    <x v="0"/>
    <x v="1"/>
    <x v="0"/>
    <x v="1"/>
    <x v="0"/>
    <x v="1"/>
    <x v="1"/>
    <x v="2"/>
  </r>
  <r>
    <n v="1122"/>
    <n v="19"/>
    <x v="1"/>
    <n v="186"/>
    <n v="58"/>
    <x v="1948"/>
    <x v="1"/>
    <s v="140/80"/>
    <x v="1"/>
    <x v="1"/>
    <x v="2"/>
    <x v="1"/>
    <x v="1"/>
    <x v="1"/>
    <x v="1"/>
    <x v="1"/>
    <x v="0"/>
  </r>
  <r>
    <n v="1208"/>
    <n v="19"/>
    <x v="0"/>
    <n v="161"/>
    <n v="60"/>
    <x v="1949"/>
    <x v="0"/>
    <s v="157/104"/>
    <x v="1"/>
    <x v="1"/>
    <x v="2"/>
    <x v="0"/>
    <x v="1"/>
    <x v="1"/>
    <x v="0"/>
    <x v="1"/>
    <x v="0"/>
  </r>
  <r>
    <n v="1307"/>
    <n v="19"/>
    <x v="0"/>
    <n v="177"/>
    <n v="90"/>
    <x v="1950"/>
    <x v="0"/>
    <s v="153/83"/>
    <x v="0"/>
    <x v="0"/>
    <x v="2"/>
    <x v="1"/>
    <x v="1"/>
    <x v="1"/>
    <x v="0"/>
    <x v="1"/>
    <x v="1"/>
  </r>
  <r>
    <n v="1322"/>
    <n v="19"/>
    <x v="1"/>
    <n v="166"/>
    <n v="84"/>
    <x v="1951"/>
    <x v="0"/>
    <s v="123/94"/>
    <x v="2"/>
    <x v="1"/>
    <x v="2"/>
    <x v="3"/>
    <x v="0"/>
    <x v="0"/>
    <x v="0"/>
    <x v="0"/>
    <x v="0"/>
  </r>
  <r>
    <n v="1362"/>
    <n v="19"/>
    <x v="0"/>
    <n v="187"/>
    <n v="55"/>
    <x v="1952"/>
    <x v="1"/>
    <s v="155/91"/>
    <x v="0"/>
    <x v="0"/>
    <x v="2"/>
    <x v="1"/>
    <x v="1"/>
    <x v="1"/>
    <x v="0"/>
    <x v="0"/>
    <x v="2"/>
  </r>
  <r>
    <n v="1962"/>
    <n v="24"/>
    <x v="0"/>
    <n v="150"/>
    <n v="75"/>
    <x v="1953"/>
    <x v="2"/>
    <s v="139/89"/>
    <x v="2"/>
    <x v="0"/>
    <x v="1"/>
    <x v="0"/>
    <x v="0"/>
    <x v="1"/>
    <x v="0"/>
    <x v="0"/>
    <x v="1"/>
  </r>
  <r>
    <n v="1965"/>
    <n v="43"/>
    <x v="1"/>
    <n v="166"/>
    <n v="77"/>
    <x v="1954"/>
    <x v="2"/>
    <s v="145/70"/>
    <x v="0"/>
    <x v="0"/>
    <x v="1"/>
    <x v="2"/>
    <x v="1"/>
    <x v="0"/>
    <x v="0"/>
    <x v="1"/>
    <x v="1"/>
  </r>
  <r>
    <n v="1966"/>
    <n v="38"/>
    <x v="0"/>
    <n v="173"/>
    <n v="98"/>
    <x v="1955"/>
    <x v="0"/>
    <s v="123/78"/>
    <x v="1"/>
    <x v="0"/>
    <x v="1"/>
    <x v="0"/>
    <x v="1"/>
    <x v="0"/>
    <x v="1"/>
    <x v="1"/>
    <x v="2"/>
  </r>
  <r>
    <n v="1502"/>
    <n v="19"/>
    <x v="0"/>
    <n v="162"/>
    <n v="73"/>
    <x v="1956"/>
    <x v="1"/>
    <s v="140/106"/>
    <x v="2"/>
    <x v="1"/>
    <x v="2"/>
    <x v="3"/>
    <x v="0"/>
    <x v="0"/>
    <x v="0"/>
    <x v="1"/>
    <x v="2"/>
  </r>
  <r>
    <n v="1970"/>
    <n v="31"/>
    <x v="1"/>
    <n v="157"/>
    <n v="51"/>
    <x v="1957"/>
    <x v="0"/>
    <s v="134/79"/>
    <x v="1"/>
    <x v="0"/>
    <x v="1"/>
    <x v="3"/>
    <x v="1"/>
    <x v="0"/>
    <x v="0"/>
    <x v="1"/>
    <x v="0"/>
  </r>
  <r>
    <n v="1664"/>
    <n v="19"/>
    <x v="0"/>
    <n v="178"/>
    <n v="67"/>
    <x v="1958"/>
    <x v="2"/>
    <s v="135/81"/>
    <x v="0"/>
    <x v="1"/>
    <x v="2"/>
    <x v="2"/>
    <x v="0"/>
    <x v="0"/>
    <x v="1"/>
    <x v="0"/>
    <x v="0"/>
  </r>
  <r>
    <n v="1748"/>
    <n v="19"/>
    <x v="0"/>
    <n v="168"/>
    <n v="87"/>
    <x v="1959"/>
    <x v="0"/>
    <s v="152/108"/>
    <x v="1"/>
    <x v="0"/>
    <x v="2"/>
    <x v="0"/>
    <x v="0"/>
    <x v="1"/>
    <x v="1"/>
    <x v="1"/>
    <x v="0"/>
  </r>
  <r>
    <n v="1755"/>
    <n v="19"/>
    <x v="0"/>
    <n v="161"/>
    <n v="52"/>
    <x v="1960"/>
    <x v="0"/>
    <s v="123/70"/>
    <x v="0"/>
    <x v="0"/>
    <x v="2"/>
    <x v="2"/>
    <x v="0"/>
    <x v="1"/>
    <x v="1"/>
    <x v="1"/>
    <x v="0"/>
  </r>
  <r>
    <n v="1972"/>
    <n v="70"/>
    <x v="1"/>
    <n v="175"/>
    <n v="91"/>
    <x v="1961"/>
    <x v="1"/>
    <s v="151/82"/>
    <x v="0"/>
    <x v="0"/>
    <x v="0"/>
    <x v="0"/>
    <x v="1"/>
    <x v="1"/>
    <x v="1"/>
    <x v="1"/>
    <x v="0"/>
  </r>
  <r>
    <n v="1973"/>
    <n v="24"/>
    <x v="1"/>
    <n v="162"/>
    <n v="68"/>
    <x v="1962"/>
    <x v="2"/>
    <s v="113/105"/>
    <x v="1"/>
    <x v="0"/>
    <x v="1"/>
    <x v="0"/>
    <x v="1"/>
    <x v="1"/>
    <x v="1"/>
    <x v="0"/>
    <x v="0"/>
  </r>
  <r>
    <n v="1895"/>
    <n v="19"/>
    <x v="0"/>
    <n v="162"/>
    <n v="82"/>
    <x v="1963"/>
    <x v="0"/>
    <s v="113/105"/>
    <x v="0"/>
    <x v="0"/>
    <x v="2"/>
    <x v="0"/>
    <x v="0"/>
    <x v="0"/>
    <x v="1"/>
    <x v="1"/>
    <x v="0"/>
  </r>
  <r>
    <n v="132"/>
    <n v="18"/>
    <x v="0"/>
    <n v="155"/>
    <n v="80"/>
    <x v="1964"/>
    <x v="0"/>
    <s v="137/100"/>
    <x v="0"/>
    <x v="0"/>
    <x v="2"/>
    <x v="2"/>
    <x v="1"/>
    <x v="0"/>
    <x v="1"/>
    <x v="0"/>
    <x v="1"/>
  </r>
  <r>
    <n v="1974"/>
    <n v="26"/>
    <x v="0"/>
    <n v="188"/>
    <n v="66"/>
    <x v="1965"/>
    <x v="1"/>
    <s v="123/87"/>
    <x v="1"/>
    <x v="1"/>
    <x v="1"/>
    <x v="3"/>
    <x v="0"/>
    <x v="1"/>
    <x v="0"/>
    <x v="1"/>
    <x v="0"/>
  </r>
  <r>
    <n v="173"/>
    <n v="18"/>
    <x v="0"/>
    <n v="155"/>
    <n v="77"/>
    <x v="1966"/>
    <x v="0"/>
    <s v="148/93"/>
    <x v="1"/>
    <x v="0"/>
    <x v="2"/>
    <x v="0"/>
    <x v="1"/>
    <x v="1"/>
    <x v="1"/>
    <x v="0"/>
    <x v="0"/>
  </r>
  <r>
    <n v="179"/>
    <n v="18"/>
    <x v="0"/>
    <n v="152"/>
    <n v="89"/>
    <x v="1967"/>
    <x v="2"/>
    <s v="114/86"/>
    <x v="1"/>
    <x v="1"/>
    <x v="2"/>
    <x v="1"/>
    <x v="1"/>
    <x v="0"/>
    <x v="1"/>
    <x v="0"/>
    <x v="1"/>
  </r>
  <r>
    <n v="1977"/>
    <n v="25"/>
    <x v="0"/>
    <n v="174"/>
    <n v="61"/>
    <x v="1968"/>
    <x v="1"/>
    <s v="132/76"/>
    <x v="0"/>
    <x v="1"/>
    <x v="1"/>
    <x v="2"/>
    <x v="1"/>
    <x v="1"/>
    <x v="1"/>
    <x v="1"/>
    <x v="0"/>
  </r>
  <r>
    <n v="1979"/>
    <n v="76"/>
    <x v="1"/>
    <n v="151"/>
    <n v="52"/>
    <x v="1969"/>
    <x v="2"/>
    <s v="112/95"/>
    <x v="2"/>
    <x v="0"/>
    <x v="0"/>
    <x v="1"/>
    <x v="1"/>
    <x v="0"/>
    <x v="0"/>
    <x v="1"/>
    <x v="1"/>
  </r>
  <r>
    <n v="1981"/>
    <n v="46"/>
    <x v="1"/>
    <n v="166"/>
    <n v="98"/>
    <x v="1970"/>
    <x v="0"/>
    <s v="124/101"/>
    <x v="0"/>
    <x v="1"/>
    <x v="1"/>
    <x v="0"/>
    <x v="1"/>
    <x v="0"/>
    <x v="0"/>
    <x v="1"/>
    <x v="1"/>
  </r>
  <r>
    <n v="367"/>
    <n v="18"/>
    <x v="1"/>
    <n v="185"/>
    <n v="67"/>
    <x v="1971"/>
    <x v="1"/>
    <s v="143/102"/>
    <x v="1"/>
    <x v="1"/>
    <x v="2"/>
    <x v="1"/>
    <x v="0"/>
    <x v="0"/>
    <x v="0"/>
    <x v="1"/>
    <x v="2"/>
  </r>
  <r>
    <n v="1982"/>
    <n v="35"/>
    <x v="1"/>
    <n v="179"/>
    <n v="75"/>
    <x v="1972"/>
    <x v="2"/>
    <s v="138/79"/>
    <x v="0"/>
    <x v="1"/>
    <x v="1"/>
    <x v="0"/>
    <x v="1"/>
    <x v="1"/>
    <x v="0"/>
    <x v="0"/>
    <x v="0"/>
  </r>
  <r>
    <n v="1985"/>
    <n v="69"/>
    <x v="0"/>
    <n v="181"/>
    <n v="85"/>
    <x v="1973"/>
    <x v="2"/>
    <s v="138/87"/>
    <x v="2"/>
    <x v="0"/>
    <x v="1"/>
    <x v="2"/>
    <x v="0"/>
    <x v="1"/>
    <x v="1"/>
    <x v="1"/>
    <x v="1"/>
  </r>
  <r>
    <n v="609"/>
    <n v="18"/>
    <x v="1"/>
    <n v="162"/>
    <n v="50"/>
    <x v="1974"/>
    <x v="2"/>
    <s v="129/100"/>
    <x v="1"/>
    <x v="0"/>
    <x v="2"/>
    <x v="0"/>
    <x v="1"/>
    <x v="1"/>
    <x v="1"/>
    <x v="0"/>
    <x v="0"/>
  </r>
  <r>
    <n v="1987"/>
    <n v="52"/>
    <x v="0"/>
    <n v="179"/>
    <n v="95"/>
    <x v="1975"/>
    <x v="1"/>
    <s v="110/71"/>
    <x v="1"/>
    <x v="0"/>
    <x v="1"/>
    <x v="3"/>
    <x v="1"/>
    <x v="1"/>
    <x v="1"/>
    <x v="1"/>
    <x v="0"/>
  </r>
  <r>
    <n v="1988"/>
    <n v="35"/>
    <x v="1"/>
    <n v="167"/>
    <n v="95"/>
    <x v="1976"/>
    <x v="0"/>
    <s v="124/108"/>
    <x v="2"/>
    <x v="1"/>
    <x v="1"/>
    <x v="1"/>
    <x v="0"/>
    <x v="1"/>
    <x v="1"/>
    <x v="0"/>
    <x v="0"/>
  </r>
  <r>
    <n v="701"/>
    <n v="18"/>
    <x v="0"/>
    <n v="167"/>
    <n v="73"/>
    <x v="1977"/>
    <x v="1"/>
    <s v="153/74"/>
    <x v="0"/>
    <x v="0"/>
    <x v="2"/>
    <x v="0"/>
    <x v="0"/>
    <x v="0"/>
    <x v="0"/>
    <x v="1"/>
    <x v="2"/>
  </r>
  <r>
    <n v="1989"/>
    <n v="76"/>
    <x v="0"/>
    <n v="162"/>
    <n v="85"/>
    <x v="1978"/>
    <x v="1"/>
    <s v="137/70"/>
    <x v="1"/>
    <x v="0"/>
    <x v="0"/>
    <x v="3"/>
    <x v="1"/>
    <x v="0"/>
    <x v="0"/>
    <x v="0"/>
    <x v="1"/>
  </r>
  <r>
    <n v="890"/>
    <n v="18"/>
    <x v="0"/>
    <n v="157"/>
    <n v="92"/>
    <x v="1979"/>
    <x v="0"/>
    <s v="112/104"/>
    <x v="2"/>
    <x v="0"/>
    <x v="2"/>
    <x v="1"/>
    <x v="1"/>
    <x v="0"/>
    <x v="1"/>
    <x v="1"/>
    <x v="2"/>
  </r>
  <r>
    <n v="1990"/>
    <n v="59"/>
    <x v="0"/>
    <n v="170"/>
    <n v="65"/>
    <x v="1980"/>
    <x v="2"/>
    <s v="114/91"/>
    <x v="2"/>
    <x v="1"/>
    <x v="1"/>
    <x v="3"/>
    <x v="0"/>
    <x v="1"/>
    <x v="0"/>
    <x v="1"/>
    <x v="1"/>
  </r>
  <r>
    <n v="996"/>
    <n v="18"/>
    <x v="1"/>
    <n v="181"/>
    <n v="53"/>
    <x v="1981"/>
    <x v="0"/>
    <s v="116/106"/>
    <x v="1"/>
    <x v="1"/>
    <x v="2"/>
    <x v="3"/>
    <x v="0"/>
    <x v="1"/>
    <x v="0"/>
    <x v="0"/>
    <x v="2"/>
  </r>
  <r>
    <n v="1014"/>
    <n v="18"/>
    <x v="1"/>
    <n v="176"/>
    <n v="55"/>
    <x v="1982"/>
    <x v="2"/>
    <s v="134/109"/>
    <x v="2"/>
    <x v="0"/>
    <x v="2"/>
    <x v="1"/>
    <x v="1"/>
    <x v="1"/>
    <x v="1"/>
    <x v="1"/>
    <x v="1"/>
  </r>
  <r>
    <n v="1991"/>
    <n v="56"/>
    <x v="0"/>
    <n v="179"/>
    <n v="73"/>
    <x v="1983"/>
    <x v="0"/>
    <s v="145/82"/>
    <x v="0"/>
    <x v="0"/>
    <x v="1"/>
    <x v="2"/>
    <x v="0"/>
    <x v="1"/>
    <x v="1"/>
    <x v="0"/>
    <x v="2"/>
  </r>
  <r>
    <n v="1045"/>
    <n v="18"/>
    <x v="1"/>
    <n v="153"/>
    <n v="52"/>
    <x v="1984"/>
    <x v="1"/>
    <s v="118/93"/>
    <x v="2"/>
    <x v="0"/>
    <x v="2"/>
    <x v="3"/>
    <x v="1"/>
    <x v="0"/>
    <x v="1"/>
    <x v="0"/>
    <x v="1"/>
  </r>
  <r>
    <n v="1992"/>
    <n v="34"/>
    <x v="1"/>
    <n v="170"/>
    <n v="50"/>
    <x v="1985"/>
    <x v="0"/>
    <s v="110/85"/>
    <x v="1"/>
    <x v="1"/>
    <x v="1"/>
    <x v="0"/>
    <x v="0"/>
    <x v="1"/>
    <x v="1"/>
    <x v="0"/>
    <x v="2"/>
  </r>
  <r>
    <n v="1993"/>
    <n v="31"/>
    <x v="0"/>
    <n v="166"/>
    <n v="98"/>
    <x v="1986"/>
    <x v="2"/>
    <s v="150/91"/>
    <x v="0"/>
    <x v="1"/>
    <x v="1"/>
    <x v="0"/>
    <x v="0"/>
    <x v="0"/>
    <x v="0"/>
    <x v="0"/>
    <x v="0"/>
  </r>
  <r>
    <n v="1994"/>
    <n v="48"/>
    <x v="1"/>
    <n v="189"/>
    <n v="74"/>
    <x v="1987"/>
    <x v="0"/>
    <s v="141/85"/>
    <x v="2"/>
    <x v="0"/>
    <x v="1"/>
    <x v="3"/>
    <x v="0"/>
    <x v="1"/>
    <x v="1"/>
    <x v="0"/>
    <x v="1"/>
  </r>
  <r>
    <n v="1997"/>
    <n v="61"/>
    <x v="0"/>
    <n v="158"/>
    <n v="65"/>
    <x v="1988"/>
    <x v="1"/>
    <s v="150/97"/>
    <x v="2"/>
    <x v="0"/>
    <x v="1"/>
    <x v="1"/>
    <x v="1"/>
    <x v="0"/>
    <x v="0"/>
    <x v="0"/>
    <x v="1"/>
  </r>
  <r>
    <n v="1367"/>
    <n v="18"/>
    <x v="0"/>
    <n v="158"/>
    <n v="88"/>
    <x v="1989"/>
    <x v="1"/>
    <s v="129/102"/>
    <x v="1"/>
    <x v="0"/>
    <x v="2"/>
    <x v="3"/>
    <x v="0"/>
    <x v="1"/>
    <x v="1"/>
    <x v="1"/>
    <x v="2"/>
  </r>
  <r>
    <n v="1395"/>
    <n v="18"/>
    <x v="1"/>
    <n v="164"/>
    <n v="78"/>
    <x v="1990"/>
    <x v="0"/>
    <s v="138/73"/>
    <x v="0"/>
    <x v="0"/>
    <x v="2"/>
    <x v="1"/>
    <x v="0"/>
    <x v="0"/>
    <x v="0"/>
    <x v="1"/>
    <x v="0"/>
  </r>
  <r>
    <n v="1562"/>
    <n v="18"/>
    <x v="1"/>
    <n v="176"/>
    <n v="66"/>
    <x v="1991"/>
    <x v="2"/>
    <s v="137/92"/>
    <x v="1"/>
    <x v="1"/>
    <x v="2"/>
    <x v="3"/>
    <x v="0"/>
    <x v="1"/>
    <x v="1"/>
    <x v="0"/>
    <x v="1"/>
  </r>
  <r>
    <n v="1572"/>
    <n v="18"/>
    <x v="1"/>
    <n v="157"/>
    <n v="76"/>
    <x v="1992"/>
    <x v="2"/>
    <s v="137/90"/>
    <x v="0"/>
    <x v="0"/>
    <x v="2"/>
    <x v="0"/>
    <x v="1"/>
    <x v="1"/>
    <x v="0"/>
    <x v="1"/>
    <x v="2"/>
  </r>
  <r>
    <n v="1638"/>
    <n v="18"/>
    <x v="0"/>
    <n v="164"/>
    <n v="90"/>
    <x v="1993"/>
    <x v="2"/>
    <s v="114/98"/>
    <x v="1"/>
    <x v="0"/>
    <x v="2"/>
    <x v="0"/>
    <x v="0"/>
    <x v="0"/>
    <x v="1"/>
    <x v="1"/>
    <x v="0"/>
  </r>
  <r>
    <n v="1998"/>
    <n v="77"/>
    <x v="0"/>
    <n v="159"/>
    <n v="57"/>
    <x v="1994"/>
    <x v="0"/>
    <s v="116/78"/>
    <x v="0"/>
    <x v="1"/>
    <x v="0"/>
    <x v="0"/>
    <x v="1"/>
    <x v="0"/>
    <x v="1"/>
    <x v="1"/>
    <x v="0"/>
  </r>
  <r>
    <n v="1999"/>
    <n v="62"/>
    <x v="0"/>
    <n v="180"/>
    <n v="78"/>
    <x v="1995"/>
    <x v="2"/>
    <s v="131/95"/>
    <x v="0"/>
    <x v="0"/>
    <x v="1"/>
    <x v="0"/>
    <x v="1"/>
    <x v="0"/>
    <x v="1"/>
    <x v="1"/>
    <x v="2"/>
  </r>
  <r>
    <n v="1695"/>
    <n v="18"/>
    <x v="1"/>
    <n v="171"/>
    <n v="53"/>
    <x v="1996"/>
    <x v="0"/>
    <s v="139/107"/>
    <x v="1"/>
    <x v="0"/>
    <x v="2"/>
    <x v="2"/>
    <x v="0"/>
    <x v="1"/>
    <x v="1"/>
    <x v="0"/>
    <x v="0"/>
  </r>
  <r>
    <n v="1749"/>
    <n v="18"/>
    <x v="1"/>
    <n v="150"/>
    <n v="63"/>
    <x v="1997"/>
    <x v="1"/>
    <s v="130/109"/>
    <x v="2"/>
    <x v="0"/>
    <x v="2"/>
    <x v="1"/>
    <x v="1"/>
    <x v="1"/>
    <x v="0"/>
    <x v="1"/>
    <x v="0"/>
  </r>
  <r>
    <n v="1852"/>
    <n v="18"/>
    <x v="0"/>
    <n v="187"/>
    <n v="81"/>
    <x v="1998"/>
    <x v="1"/>
    <s v="133/93"/>
    <x v="1"/>
    <x v="1"/>
    <x v="2"/>
    <x v="3"/>
    <x v="1"/>
    <x v="0"/>
    <x v="0"/>
    <x v="0"/>
    <x v="0"/>
  </r>
  <r>
    <n v="1901"/>
    <n v="18"/>
    <x v="1"/>
    <n v="156"/>
    <n v="92"/>
    <x v="1999"/>
    <x v="1"/>
    <s v="155/81"/>
    <x v="0"/>
    <x v="1"/>
    <x v="2"/>
    <x v="1"/>
    <x v="1"/>
    <x v="1"/>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B726B-548D-4A04-8CE5-C59C9637FF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hysical Activity" colHeaderCaption="Gender">
  <location ref="A3:E8" firstHeaderRow="1" firstDataRow="2" firstDataCol="1"/>
  <pivotFields count="17">
    <pivotField showAll="0"/>
    <pivotField showAll="0"/>
    <pivotField showAll="0">
      <items count="3">
        <item x="1"/>
        <item h="1" x="0"/>
        <item t="default"/>
      </items>
    </pivotField>
    <pivotField showAll="0"/>
    <pivotField dataField="1" showAll="0"/>
    <pivotField showAll="0">
      <items count="11">
        <item x="0"/>
        <item x="1"/>
        <item x="2"/>
        <item x="3"/>
        <item x="4"/>
        <item x="5"/>
        <item x="6"/>
        <item x="7"/>
        <item x="8"/>
        <item x="9"/>
        <item t="default"/>
      </items>
    </pivotField>
    <pivotField showAll="0"/>
    <pivotField showAll="0"/>
    <pivotField axis="axisCol" showAll="0">
      <items count="4">
        <item x="0"/>
        <item x="2"/>
        <item x="1"/>
        <item t="default"/>
      </items>
    </pivotField>
    <pivotField showAll="0"/>
    <pivotField axis="axisRow" showAll="0">
      <items count="6">
        <item m="1" x="4"/>
        <item m="1" x="3"/>
        <item x="0"/>
        <item x="1"/>
        <item x="2"/>
        <item t="default"/>
      </items>
    </pivotField>
    <pivotField showAll="0"/>
    <pivotField showAll="0"/>
    <pivotField showAll="0">
      <items count="3">
        <item x="0"/>
        <item x="1"/>
        <item t="default"/>
      </items>
    </pivotField>
    <pivotField showAll="0"/>
    <pivotField showAll="0"/>
    <pivotField showAll="0"/>
  </pivotFields>
  <rowFields count="1">
    <field x="10"/>
  </rowFields>
  <rowItems count="4">
    <i>
      <x v="2"/>
    </i>
    <i>
      <x v="3"/>
    </i>
    <i>
      <x v="4"/>
    </i>
    <i t="grand">
      <x/>
    </i>
  </rowItems>
  <colFields count="1">
    <field x="8"/>
  </colFields>
  <colItems count="4">
    <i>
      <x/>
    </i>
    <i>
      <x v="1"/>
    </i>
    <i>
      <x v="2"/>
    </i>
    <i t="grand">
      <x/>
    </i>
  </colItems>
  <dataFields count="1">
    <dataField name="Average of Weight" fld="4" subtotal="average" baseField="2" baseItem="0" numFmtId="164"/>
  </dataFields>
  <formats count="1">
    <format dxfId="7">
      <pivotArea outline="0" collapsedLevelsAreSubtotals="1" fieldPosition="0"/>
    </format>
  </formats>
  <chartFormats count="6">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4" format="8"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1"/>
          </reference>
        </references>
      </pivotArea>
    </chartFormat>
    <chartFormat chart="0"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C2986-44EE-4988-B2E0-DA5737C86B2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Smoker">
  <location ref="A3:E6" firstHeaderRow="1" firstDataRow="2" firstDataCol="1"/>
  <pivotFields count="17">
    <pivotField dataField="1" showAll="0"/>
    <pivotField showAll="0"/>
    <pivotField showAll="0">
      <items count="3">
        <item x="1"/>
        <item h="1" x="0"/>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axis="axisRow" showAll="0">
      <items count="3">
        <item x="1"/>
        <item x="0"/>
        <item t="default"/>
      </items>
    </pivotField>
    <pivotField showAll="0"/>
    <pivotField showAll="0"/>
    <pivotField showAll="0"/>
    <pivotField showAll="0">
      <items count="3">
        <item x="0"/>
        <item x="1"/>
        <item t="default"/>
      </items>
    </pivotField>
    <pivotField showAll="0"/>
    <pivotField showAll="0"/>
    <pivotField axis="axisCol" showAll="0">
      <items count="4">
        <item x="1"/>
        <item x="0"/>
        <item x="2"/>
        <item t="default"/>
      </items>
    </pivotField>
  </pivotFields>
  <rowFields count="1">
    <field x="9"/>
  </rowFields>
  <rowItems count="2">
    <i>
      <x/>
    </i>
    <i>
      <x v="1"/>
    </i>
  </rowItems>
  <colFields count="1">
    <field x="16"/>
  </colFields>
  <colItems count="4">
    <i>
      <x/>
    </i>
    <i>
      <x v="1"/>
    </i>
    <i>
      <x v="2"/>
    </i>
    <i t="grand">
      <x/>
    </i>
  </colItems>
  <dataFields count="1">
    <dataField name="Count of Patient_ID" fld="0" subtotal="count" baseField="2" baseItem="0"/>
  </dataFields>
  <chartFormats count="6">
    <chartFormat chart="19"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7" series="1">
      <pivotArea type="data" outline="0" fieldPosition="0">
        <references count="2">
          <reference field="4294967294" count="1" selected="0">
            <x v="0"/>
          </reference>
          <reference field="16" count="1" selected="0">
            <x v="1"/>
          </reference>
        </references>
      </pivotArea>
    </chartFormat>
    <chartFormat chart="19" format="8" series="1">
      <pivotArea type="data" outline="0" fieldPosition="0">
        <references count="2">
          <reference field="4294967294" count="1" selected="0">
            <x v="0"/>
          </reference>
          <reference field="16" count="1" selected="0">
            <x v="2"/>
          </reference>
        </references>
      </pivotArea>
    </chartFormat>
    <chartFormat chart="13" format="3" series="1">
      <pivotArea type="data" outline="0" fieldPosition="0">
        <references count="2">
          <reference field="4294967294" count="1" selected="0">
            <x v="0"/>
          </reference>
          <reference field="16" count="1" selected="0">
            <x v="1"/>
          </reference>
        </references>
      </pivotArea>
    </chartFormat>
    <chartFormat chart="13" format="4"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3EE155-34F1-477F-A178-A69D52D619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edical History" colHeaderCaption="Family History">
  <location ref="A3:C9" firstHeaderRow="1" firstDataRow="2" firstDataCol="1"/>
  <pivotFields count="17">
    <pivotField dataField="1" showAll="0"/>
    <pivotField showAll="0"/>
    <pivotField showAll="0">
      <items count="3">
        <item x="1"/>
        <item h="1" x="0"/>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axis="axisRow" showAll="0">
      <items count="5">
        <item x="0"/>
        <item x="2"/>
        <item x="1"/>
        <item x="3"/>
        <item t="default"/>
      </items>
    </pivotField>
    <pivotField axis="axisCol" showAll="0">
      <items count="3">
        <item h="1" x="0"/>
        <item x="1"/>
        <item t="default"/>
      </items>
    </pivotField>
    <pivotField showAll="0">
      <items count="3">
        <item x="0"/>
        <item x="1"/>
        <item t="default"/>
      </items>
    </pivotField>
    <pivotField showAll="0"/>
    <pivotField showAll="0"/>
    <pivotField showAll="0"/>
  </pivotFields>
  <rowFields count="1">
    <field x="11"/>
  </rowFields>
  <rowItems count="5">
    <i>
      <x/>
    </i>
    <i>
      <x v="1"/>
    </i>
    <i>
      <x v="2"/>
    </i>
    <i>
      <x v="3"/>
    </i>
    <i t="grand">
      <x/>
    </i>
  </rowItems>
  <colFields count="1">
    <field x="12"/>
  </colFields>
  <colItems count="2">
    <i>
      <x v="1"/>
    </i>
    <i t="grand">
      <x/>
    </i>
  </colItems>
  <dataFields count="1">
    <dataField name="Count of Patient_ID" fld="0" subtotal="count" baseField="10" baseItem="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2" format="7" series="1">
      <pivotArea type="data" outline="0" fieldPosition="0">
        <references count="2">
          <reference field="4294967294" count="1" selected="0">
            <x v="0"/>
          </reference>
          <reference field="12" count="1" selected="0">
            <x v="1"/>
          </reference>
        </references>
      </pivotArea>
    </chartFormat>
    <chartFormat chart="22" format="8">
      <pivotArea type="data" outline="0" fieldPosition="0">
        <references count="3">
          <reference field="4294967294" count="1" selected="0">
            <x v="0"/>
          </reference>
          <reference field="11" count="1" selected="0">
            <x v="0"/>
          </reference>
          <reference field="12" count="1" selected="0">
            <x v="1"/>
          </reference>
        </references>
      </pivotArea>
    </chartFormat>
    <chartFormat chart="22" format="9">
      <pivotArea type="data" outline="0" fieldPosition="0">
        <references count="3">
          <reference field="4294967294" count="1" selected="0">
            <x v="0"/>
          </reference>
          <reference field="11" count="1" selected="0">
            <x v="1"/>
          </reference>
          <reference field="12" count="1" selected="0">
            <x v="1"/>
          </reference>
        </references>
      </pivotArea>
    </chartFormat>
    <chartFormat chart="22" format="10">
      <pivotArea type="data" outline="0" fieldPosition="0">
        <references count="3">
          <reference field="4294967294" count="1" selected="0">
            <x v="0"/>
          </reference>
          <reference field="11" count="1" selected="0">
            <x v="2"/>
          </reference>
          <reference field="12" count="1" selected="0">
            <x v="1"/>
          </reference>
        </references>
      </pivotArea>
    </chartFormat>
    <chartFormat chart="22" format="11">
      <pivotArea type="data" outline="0" fieldPosition="0">
        <references count="3">
          <reference field="4294967294" count="1" selected="0">
            <x v="0"/>
          </reference>
          <reference field="11" count="1" selected="0">
            <x v="3"/>
          </reference>
          <reference field="12" count="1" selected="0">
            <x v="1"/>
          </reference>
        </references>
      </pivotArea>
    </chartFormat>
    <chartFormat chart="0" format="2">
      <pivotArea type="data" outline="0" fieldPosition="0">
        <references count="3">
          <reference field="4294967294" count="1" selected="0">
            <x v="0"/>
          </reference>
          <reference field="11" count="1" selected="0">
            <x v="0"/>
          </reference>
          <reference field="12" count="1" selected="0">
            <x v="1"/>
          </reference>
        </references>
      </pivotArea>
    </chartFormat>
    <chartFormat chart="0" format="3">
      <pivotArea type="data" outline="0" fieldPosition="0">
        <references count="3">
          <reference field="4294967294" count="1" selected="0">
            <x v="0"/>
          </reference>
          <reference field="11" count="1" selected="0">
            <x v="1"/>
          </reference>
          <reference field="12" count="1" selected="0">
            <x v="1"/>
          </reference>
        </references>
      </pivotArea>
    </chartFormat>
    <chartFormat chart="0" format="4">
      <pivotArea type="data" outline="0" fieldPosition="0">
        <references count="3">
          <reference field="4294967294" count="1" selected="0">
            <x v="0"/>
          </reference>
          <reference field="11" count="1" selected="0">
            <x v="2"/>
          </reference>
          <reference field="12" count="1" selected="0">
            <x v="1"/>
          </reference>
        </references>
      </pivotArea>
    </chartFormat>
    <chartFormat chart="0" format="5">
      <pivotArea type="data" outline="0" fieldPosition="0">
        <references count="3">
          <reference field="4294967294" count="1" selected="0">
            <x v="0"/>
          </reference>
          <reference field="11" count="1" selected="0">
            <x v="3"/>
          </reference>
          <reference field="12" count="1" selected="0">
            <x v="1"/>
          </reference>
        </references>
      </pivotArea>
    </chartFormat>
    <chartFormat chart="22" format="12"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749491-9B3B-4ED5-B369-42354E7A9B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8" firstHeaderRow="1" firstDataRow="1" firstDataCol="1"/>
  <pivotFields count="17">
    <pivotField dataField="1" showAll="0"/>
    <pivotField showAll="0"/>
    <pivotField showAll="0">
      <items count="3">
        <item x="1"/>
        <item h="1" x="0"/>
        <item t="default"/>
      </items>
    </pivotField>
    <pivotField showAll="0"/>
    <pivotField showAll="0"/>
    <pivotField axis="axisRow" showAll="0">
      <items count="11">
        <item x="0"/>
        <item x="1"/>
        <item x="2"/>
        <item x="3"/>
        <item x="4"/>
        <item x="5"/>
        <item x="6"/>
        <item x="7"/>
        <item x="8"/>
        <item x="9"/>
        <item t="default"/>
      </items>
    </pivotField>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5"/>
  </rowFields>
  <rowItems count="7">
    <i>
      <x v="1"/>
    </i>
    <i>
      <x v="2"/>
    </i>
    <i>
      <x v="3"/>
    </i>
    <i>
      <x v="4"/>
    </i>
    <i>
      <x v="5"/>
    </i>
    <i>
      <x v="6"/>
    </i>
    <i t="grand">
      <x/>
    </i>
  </rowItems>
  <colItems count="1">
    <i/>
  </colItems>
  <dataFields count="1">
    <dataField name="Count of Patient_ID" fld="0" subtotal="count" baseField="0" baseItem="1"/>
  </dataFields>
  <formats count="1">
    <format dxfId="6">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8AFF68-8C29-481C-808E-2577F190404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B7" firstHeaderRow="1" firstDataRow="1" firstDataCol="1"/>
  <pivotFields count="17">
    <pivotField dataField="1" showAll="0"/>
    <pivotField showAll="0"/>
    <pivotField showAll="0">
      <items count="3">
        <item x="1"/>
        <item h="1" x="0"/>
        <item t="default"/>
      </items>
    </pivotField>
    <pivotField showAll="0"/>
    <pivotField showAll="0"/>
    <pivotField numFmtId="164"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3">
        <item h="1" x="1"/>
        <item x="0"/>
        <item t="default"/>
      </items>
    </pivotField>
    <pivotField showAll="0"/>
  </pivotFields>
  <rowFields count="1">
    <field x="15"/>
  </rowFields>
  <rowItems count="1">
    <i>
      <x v="1"/>
    </i>
  </rowItems>
  <colItems count="1">
    <i/>
  </colItems>
  <dataFields count="1">
    <dataField name="Count of Patient_ID" fld="0" subtotal="count" baseField="14" baseItem="0"/>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6AB7D-D765-4C2A-ADD5-39BE480637F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4" firstHeaderRow="1" firstDataRow="1" firstDataCol="1"/>
  <pivotFields count="17">
    <pivotField dataField="1" showAll="0"/>
    <pivotField showAll="0"/>
    <pivotField showAll="0">
      <items count="3">
        <item x="1"/>
        <item h="1" x="0"/>
        <item t="default"/>
      </items>
    </pivotField>
    <pivotField showAll="0"/>
    <pivotField showAll="0"/>
    <pivotField numFmtId="164"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3">
        <item h="1" x="0"/>
        <item x="1"/>
        <item t="default"/>
      </items>
    </pivotField>
    <pivotField showAll="0"/>
    <pivotField showAll="0"/>
  </pivotFields>
  <rowFields count="1">
    <field x="14"/>
  </rowFields>
  <rowItems count="1">
    <i>
      <x v="1"/>
    </i>
  </rowItems>
  <colItems count="1">
    <i/>
  </colItems>
  <dataFields count="1">
    <dataField name="Count of Patient_ID" fld="0" subtotal="count" baseField="13" baseItem="0"/>
  </dataFields>
  <formats count="2">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3810C9-953F-4E39-9FA4-6BB1FF7572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7">
    <pivotField showAll="0"/>
    <pivotField showAll="0"/>
    <pivotField showAll="0">
      <items count="3">
        <item x="1"/>
        <item h="1" x="0"/>
        <item t="default"/>
      </items>
    </pivotField>
    <pivotField showAll="0"/>
    <pivotField showAll="0"/>
    <pivotField dataField="1" numFmtId="164"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Items count="1">
    <i/>
  </rowItems>
  <colItems count="1">
    <i/>
  </colItems>
  <dataFields count="1">
    <dataField name="Average of BMI" fld="5" subtotal="average" baseField="0" baseItem="0" numFmtId="164"/>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6DFEB-A8A6-49AB-877B-9118A3C247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items count="3">
        <item x="1"/>
        <item h="1" x="0"/>
        <item t="default"/>
      </items>
    </pivotField>
    <pivotField showAll="0"/>
    <pivotField showAll="0"/>
    <pivotField numFmtId="164"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F0AE0E5-B884-444F-814F-48D6EDFB3BDE}" sourceName="Gender">
  <pivotTables>
    <pivotTable tabId="11" name="PivotTable1"/>
    <pivotTable tabId="3" name="PivotTable1"/>
    <pivotTable tabId="4" name="PivotTable2"/>
    <pivotTable tabId="7" name="PivotTable6"/>
    <pivotTable tabId="14" name="PivotTable4"/>
    <pivotTable tabId="14" name="PivotTable5"/>
    <pivotTable tabId="15" name="PivotTable8"/>
    <pivotTable tabId="15" name="PivotTable3"/>
  </pivotTables>
  <data>
    <tabular pivotCacheId="825510402">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_Type" xr10:uid="{132824CF-BA95-4613-A280-975270C1D7BD}" sourceName="Diet_Type">
  <pivotTables>
    <pivotTable tabId="11" name="PivotTable1"/>
    <pivotTable tabId="3" name="PivotTable1"/>
    <pivotTable tabId="4" name="PivotTable2"/>
    <pivotTable tabId="7" name="PivotTable6"/>
    <pivotTable tabId="14" name="PivotTable4"/>
    <pivotTable tabId="14" name="PivotTable5"/>
    <pivotTable tabId="15" name="PivotTable8"/>
    <pivotTable tabId="15" name="PivotTable3"/>
  </pivotTables>
  <data>
    <tabular pivotCacheId="8255104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697380-1446-4E6D-8345-61F38B5EEF13}" cache="Slicer_Gender" caption="Gender" style="SlicerStyleDark3" rowHeight="241300"/>
  <slicer name="Diet_Type" xr10:uid="{7AF11547-7005-4C08-83F7-351F8443BC52}" cache="Slicer_Diet_Type" caption="Diet_Type"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6163-FE6B-4B63-A6A1-27ECBF53659E}">
  <dimension ref="A3:E8"/>
  <sheetViews>
    <sheetView workbookViewId="0">
      <selection activeCell="H20" sqref="H20"/>
    </sheetView>
  </sheetViews>
  <sheetFormatPr defaultRowHeight="14.5" x14ac:dyDescent="0.35"/>
  <cols>
    <col min="1" max="1" width="16.453125" bestFit="1" customWidth="1"/>
    <col min="2" max="2" width="9.26953125" bestFit="1" customWidth="1"/>
    <col min="3" max="3" width="7" bestFit="1" customWidth="1"/>
    <col min="4" max="4" width="8.81640625" bestFit="1" customWidth="1"/>
    <col min="5" max="5" width="10.7265625" bestFit="1" customWidth="1"/>
    <col min="6" max="6" width="7.54296875" bestFit="1" customWidth="1"/>
    <col min="7" max="8" width="6.81640625" bestFit="1" customWidth="1"/>
    <col min="9" max="9" width="7.54296875" bestFit="1" customWidth="1"/>
    <col min="10" max="11" width="6.81640625" bestFit="1" customWidth="1"/>
    <col min="12" max="12" width="7.54296875" bestFit="1" customWidth="1"/>
    <col min="13" max="14" width="6.81640625" bestFit="1" customWidth="1"/>
    <col min="15" max="15" width="7.54296875" bestFit="1" customWidth="1"/>
    <col min="16" max="17" width="6.81640625" bestFit="1" customWidth="1"/>
    <col min="18" max="18" width="7.54296875" bestFit="1" customWidth="1"/>
    <col min="19" max="20" width="6.81640625" bestFit="1" customWidth="1"/>
    <col min="21" max="21" width="7.54296875" bestFit="1" customWidth="1"/>
    <col min="22" max="23" width="6.81640625" bestFit="1" customWidth="1"/>
    <col min="24" max="24" width="7.54296875" bestFit="1" customWidth="1"/>
    <col min="25" max="26" width="6.81640625" bestFit="1" customWidth="1"/>
    <col min="27" max="27" width="7.54296875" bestFit="1" customWidth="1"/>
    <col min="28" max="29" width="6.81640625" bestFit="1" customWidth="1"/>
    <col min="30" max="30" width="7.54296875" bestFit="1" customWidth="1"/>
    <col min="31" max="32" width="6.81640625" bestFit="1" customWidth="1"/>
    <col min="33" max="33" width="7.54296875" bestFit="1" customWidth="1"/>
    <col min="34" max="35" width="6.81640625" bestFit="1" customWidth="1"/>
    <col min="36" max="36" width="7.54296875" bestFit="1" customWidth="1"/>
    <col min="37" max="38" width="6.81640625" bestFit="1" customWidth="1"/>
    <col min="39" max="39" width="7.54296875" bestFit="1" customWidth="1"/>
    <col min="40" max="41" width="6.81640625" bestFit="1" customWidth="1"/>
    <col min="42" max="42" width="7.54296875" bestFit="1" customWidth="1"/>
    <col min="43" max="44" width="6.81640625" bestFit="1" customWidth="1"/>
    <col min="45" max="45" width="7.54296875" bestFit="1" customWidth="1"/>
    <col min="46" max="47" width="6.81640625" bestFit="1" customWidth="1"/>
    <col min="48" max="48" width="7.54296875" bestFit="1" customWidth="1"/>
    <col min="49" max="50" width="6.81640625" bestFit="1" customWidth="1"/>
    <col min="51" max="51" width="7.54296875" bestFit="1" customWidth="1"/>
    <col min="52" max="53" width="6.81640625" bestFit="1" customWidth="1"/>
    <col min="54" max="54" width="7.54296875" bestFit="1" customWidth="1"/>
    <col min="55" max="56" width="6.81640625" bestFit="1" customWidth="1"/>
    <col min="57" max="57" width="7.54296875" bestFit="1" customWidth="1"/>
    <col min="58" max="59" width="6.81640625" bestFit="1" customWidth="1"/>
    <col min="60" max="60" width="7.54296875" bestFit="1" customWidth="1"/>
    <col min="61" max="62" width="6.81640625" bestFit="1" customWidth="1"/>
    <col min="63" max="63" width="7.54296875" bestFit="1" customWidth="1"/>
    <col min="64" max="65" width="6.81640625" bestFit="1" customWidth="1"/>
    <col min="66" max="66" width="7.54296875" bestFit="1" customWidth="1"/>
    <col min="67" max="68" width="6.81640625" bestFit="1" customWidth="1"/>
    <col min="69" max="69" width="7.54296875" bestFit="1" customWidth="1"/>
    <col min="70" max="71" width="6.81640625" bestFit="1" customWidth="1"/>
    <col min="72" max="72" width="7.54296875" bestFit="1" customWidth="1"/>
    <col min="73" max="74" width="6.81640625" bestFit="1" customWidth="1"/>
    <col min="75" max="75" width="7.54296875" bestFit="1" customWidth="1"/>
    <col min="76" max="77" width="6.81640625" bestFit="1" customWidth="1"/>
    <col min="78" max="78" width="7.54296875" bestFit="1" customWidth="1"/>
    <col min="79" max="80" width="6.81640625" bestFit="1" customWidth="1"/>
    <col min="81" max="81" width="7.54296875" bestFit="1" customWidth="1"/>
    <col min="82" max="83" width="6.81640625" bestFit="1" customWidth="1"/>
    <col min="84" max="84" width="7.54296875" bestFit="1" customWidth="1"/>
    <col min="85" max="86" width="6.81640625" bestFit="1" customWidth="1"/>
    <col min="87" max="87" width="7.54296875" bestFit="1" customWidth="1"/>
    <col min="88" max="89" width="6.81640625" bestFit="1" customWidth="1"/>
    <col min="90" max="90" width="7.54296875" bestFit="1" customWidth="1"/>
    <col min="91" max="92" width="6.81640625" bestFit="1" customWidth="1"/>
    <col min="93" max="93" width="7.54296875" bestFit="1" customWidth="1"/>
    <col min="94" max="95" width="6.81640625" bestFit="1" customWidth="1"/>
    <col min="96" max="96" width="7.54296875" bestFit="1" customWidth="1"/>
    <col min="97" max="98" width="6.81640625" bestFit="1" customWidth="1"/>
    <col min="99" max="99" width="7.54296875" bestFit="1" customWidth="1"/>
    <col min="100" max="101" width="6.81640625" bestFit="1" customWidth="1"/>
    <col min="102" max="102" width="7.54296875" bestFit="1" customWidth="1"/>
    <col min="103" max="104" width="6.81640625" bestFit="1" customWidth="1"/>
    <col min="105" max="105" width="7.54296875" bestFit="1" customWidth="1"/>
    <col min="106" max="107" width="6.81640625" bestFit="1" customWidth="1"/>
    <col min="108" max="108" width="7.54296875" bestFit="1" customWidth="1"/>
    <col min="109" max="110" width="6.81640625" bestFit="1" customWidth="1"/>
    <col min="111" max="111" width="7.54296875" bestFit="1" customWidth="1"/>
    <col min="112" max="113" width="6.81640625" bestFit="1" customWidth="1"/>
    <col min="114" max="114" width="7.54296875" bestFit="1" customWidth="1"/>
    <col min="115" max="116" width="6.81640625" bestFit="1" customWidth="1"/>
    <col min="117" max="117" width="7.54296875" bestFit="1" customWidth="1"/>
    <col min="118" max="119" width="6.81640625" bestFit="1" customWidth="1"/>
    <col min="120" max="120" width="7.54296875" bestFit="1" customWidth="1"/>
    <col min="121" max="122" width="6.81640625" bestFit="1" customWidth="1"/>
    <col min="123" max="123" width="7.54296875" bestFit="1" customWidth="1"/>
    <col min="124" max="125" width="6.81640625" bestFit="1" customWidth="1"/>
    <col min="126" max="126" width="7.54296875" bestFit="1" customWidth="1"/>
    <col min="127" max="128" width="6.81640625" bestFit="1" customWidth="1"/>
    <col min="129" max="129" width="7.54296875" bestFit="1" customWidth="1"/>
    <col min="130" max="131" width="6.81640625" bestFit="1" customWidth="1"/>
    <col min="132" max="132" width="7.54296875" bestFit="1" customWidth="1"/>
    <col min="133" max="134" width="6.81640625" bestFit="1" customWidth="1"/>
    <col min="135" max="135" width="7.54296875" bestFit="1" customWidth="1"/>
    <col min="136" max="137" width="6.81640625" bestFit="1" customWidth="1"/>
    <col min="138" max="138" width="7.54296875" bestFit="1" customWidth="1"/>
    <col min="139" max="140" width="6.81640625" bestFit="1" customWidth="1"/>
    <col min="141" max="141" width="7.54296875" bestFit="1" customWidth="1"/>
    <col min="142" max="143" width="6.81640625" bestFit="1" customWidth="1"/>
    <col min="144" max="144" width="7.54296875" bestFit="1" customWidth="1"/>
    <col min="145" max="146" width="6.81640625" bestFit="1" customWidth="1"/>
    <col min="147" max="147" width="7.54296875" bestFit="1" customWidth="1"/>
    <col min="148" max="149" width="6.81640625" bestFit="1" customWidth="1"/>
    <col min="150" max="150" width="7.54296875" bestFit="1" customWidth="1"/>
    <col min="151" max="151" width="10.7265625" bestFit="1" customWidth="1"/>
  </cols>
  <sheetData>
    <row r="3" spans="1:5" x14ac:dyDescent="0.35">
      <c r="A3" s="1" t="s">
        <v>1281</v>
      </c>
      <c r="B3" s="1" t="s">
        <v>2</v>
      </c>
    </row>
    <row r="4" spans="1:5" x14ac:dyDescent="0.35">
      <c r="A4" s="1" t="s">
        <v>1284</v>
      </c>
      <c r="B4" t="s">
        <v>18</v>
      </c>
      <c r="C4" t="s">
        <v>31</v>
      </c>
      <c r="D4" t="s">
        <v>24</v>
      </c>
      <c r="E4" t="s">
        <v>1279</v>
      </c>
    </row>
    <row r="5" spans="1:5" x14ac:dyDescent="0.35">
      <c r="A5" s="2" t="s">
        <v>40</v>
      </c>
      <c r="B5" s="3">
        <v>77.642857142857139</v>
      </c>
      <c r="C5" s="3">
        <v>72.903225806451616</v>
      </c>
      <c r="D5" s="3">
        <v>81.125</v>
      </c>
      <c r="E5" s="3">
        <v>76.879518072289159</v>
      </c>
    </row>
    <row r="6" spans="1:5" x14ac:dyDescent="0.35">
      <c r="A6" s="2" t="s">
        <v>18</v>
      </c>
      <c r="B6" s="3">
        <v>74.271428571428572</v>
      </c>
      <c r="C6" s="3">
        <v>74.748201438848923</v>
      </c>
      <c r="D6" s="3">
        <v>73.529411764705884</v>
      </c>
      <c r="E6" s="3">
        <v>74.162037037037038</v>
      </c>
    </row>
    <row r="7" spans="1:5" x14ac:dyDescent="0.35">
      <c r="A7" s="2" t="s">
        <v>22</v>
      </c>
      <c r="B7" s="3">
        <v>74.724719101123597</v>
      </c>
      <c r="C7" s="3">
        <v>73.31360946745562</v>
      </c>
      <c r="D7" s="3">
        <v>74.213414634146346</v>
      </c>
      <c r="E7" s="3">
        <v>74.093933463796475</v>
      </c>
    </row>
    <row r="8" spans="1:5" x14ac:dyDescent="0.35">
      <c r="A8" s="2" t="s">
        <v>1279</v>
      </c>
      <c r="B8" s="3">
        <v>74.77745664739885</v>
      </c>
      <c r="C8" s="3">
        <v>73.864306784660769</v>
      </c>
      <c r="D8" s="3">
        <v>74.392961876832842</v>
      </c>
      <c r="E8" s="3">
        <v>74.347953216374265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B0E2-D025-4D64-9F7F-8426BC2205CE}">
  <dimension ref="A1:S2001"/>
  <sheetViews>
    <sheetView topLeftCell="D1" workbookViewId="0">
      <selection activeCell="D4" sqref="D4"/>
    </sheetView>
  </sheetViews>
  <sheetFormatPr defaultRowHeight="14.5" x14ac:dyDescent="0.35"/>
  <cols>
    <col min="1" max="1" width="9.453125" bestFit="1" customWidth="1"/>
    <col min="2" max="2" width="3.90625" bestFit="1" customWidth="1"/>
    <col min="3" max="3" width="7" bestFit="1" customWidth="1"/>
    <col min="4" max="4" width="6.1796875" bestFit="1" customWidth="1"/>
    <col min="5" max="5" width="6.7265625" bestFit="1" customWidth="1"/>
    <col min="6" max="6" width="11.81640625" bestFit="1" customWidth="1"/>
    <col min="7" max="7" width="16.26953125" customWidth="1"/>
    <col min="8" max="8" width="13.90625" bestFit="1" customWidth="1"/>
    <col min="9" max="9" width="15.54296875" bestFit="1" customWidth="1"/>
    <col min="10" max="10" width="7.08984375" bestFit="1" customWidth="1"/>
    <col min="11" max="11" width="14.453125" bestFit="1" customWidth="1"/>
    <col min="12" max="12" width="14.36328125" bestFit="1" customWidth="1"/>
    <col min="13" max="13" width="13.1796875" bestFit="1" customWidth="1"/>
    <col min="14" max="14" width="13.90625" bestFit="1" customWidth="1"/>
    <col min="15" max="15" width="12.90625" bestFit="1" customWidth="1"/>
    <col min="16" max="16" width="8.08984375" bestFit="1" customWidth="1"/>
    <col min="17" max="17" width="9.26953125" bestFit="1" customWidth="1"/>
    <col min="18" max="18" width="19.453125" bestFit="1" customWidth="1"/>
  </cols>
  <sheetData>
    <row r="1" spans="1:19" x14ac:dyDescent="0.35">
      <c r="A1" t="s">
        <v>0</v>
      </c>
      <c r="B1" t="s">
        <v>1</v>
      </c>
      <c r="C1" t="s">
        <v>2</v>
      </c>
      <c r="D1" t="s">
        <v>3</v>
      </c>
      <c r="E1" t="s">
        <v>4</v>
      </c>
      <c r="F1" t="s">
        <v>5</v>
      </c>
      <c r="G1" t="s">
        <v>1291</v>
      </c>
      <c r="H1" t="s">
        <v>6</v>
      </c>
      <c r="I1" t="s">
        <v>7</v>
      </c>
      <c r="J1" t="s">
        <v>8</v>
      </c>
      <c r="K1" t="s">
        <v>9</v>
      </c>
      <c r="L1" t="s">
        <v>10</v>
      </c>
      <c r="M1" t="s">
        <v>11</v>
      </c>
      <c r="N1" t="s">
        <v>12</v>
      </c>
      <c r="O1" t="s">
        <v>13</v>
      </c>
      <c r="P1" t="s">
        <v>14</v>
      </c>
      <c r="Q1" t="s">
        <v>15</v>
      </c>
    </row>
    <row r="2" spans="1:19" x14ac:dyDescent="0.35">
      <c r="A2">
        <v>1</v>
      </c>
      <c r="B2">
        <v>56</v>
      </c>
      <c r="C2" t="s">
        <v>16</v>
      </c>
      <c r="D2">
        <v>161</v>
      </c>
      <c r="E2">
        <v>79</v>
      </c>
      <c r="F2" s="3">
        <v>24.390210086232901</v>
      </c>
      <c r="G2" s="3" t="str">
        <f>_xlfn.IFS(F2&lt;18.5, "Underweight", F2&lt;=24.9, "Normal Weight", F2&lt;=29.9, "Overweight", TRUE, "Obese")</f>
        <v>Normal Weight</v>
      </c>
      <c r="H2" t="s">
        <v>17</v>
      </c>
      <c r="I2" t="s">
        <v>18</v>
      </c>
      <c r="J2" t="s">
        <v>19</v>
      </c>
      <c r="K2" t="s">
        <v>40</v>
      </c>
      <c r="L2" t="s">
        <v>14</v>
      </c>
      <c r="M2" t="s">
        <v>20</v>
      </c>
      <c r="N2" t="s">
        <v>21</v>
      </c>
      <c r="O2" t="s">
        <v>20</v>
      </c>
      <c r="P2" t="s">
        <v>19</v>
      </c>
      <c r="Q2" t="s">
        <v>22</v>
      </c>
      <c r="R2" t="s">
        <v>1288</v>
      </c>
      <c r="S2" s="9">
        <f>COUNT(A2:A2001)</f>
        <v>2000</v>
      </c>
    </row>
    <row r="3" spans="1:19" x14ac:dyDescent="0.35">
      <c r="A3">
        <v>2</v>
      </c>
      <c r="B3">
        <v>69</v>
      </c>
      <c r="C3" t="s">
        <v>16</v>
      </c>
      <c r="D3">
        <v>182</v>
      </c>
      <c r="E3">
        <v>82</v>
      </c>
      <c r="F3" s="3">
        <v>28.973278328216399</v>
      </c>
      <c r="G3" s="3" t="str">
        <f t="shared" ref="G3:G66" si="0">_xlfn.IFS(F3&lt;18.5, "Underweight", F3&lt;=24.9, "Normal Weight", F3&lt;=29.9, "Overweight", TRUE, "Obese")</f>
        <v>Overweight</v>
      </c>
      <c r="H3" t="s">
        <v>23</v>
      </c>
      <c r="I3" t="s">
        <v>24</v>
      </c>
      <c r="J3" t="s">
        <v>19</v>
      </c>
      <c r="K3" t="s">
        <v>18</v>
      </c>
      <c r="L3" t="s">
        <v>14</v>
      </c>
      <c r="M3" t="s">
        <v>20</v>
      </c>
      <c r="N3" t="s">
        <v>25</v>
      </c>
      <c r="O3" t="s">
        <v>19</v>
      </c>
      <c r="P3" t="s">
        <v>20</v>
      </c>
      <c r="Q3" t="s">
        <v>18</v>
      </c>
    </row>
    <row r="4" spans="1:19" x14ac:dyDescent="0.35">
      <c r="A4">
        <v>47</v>
      </c>
      <c r="B4">
        <v>79</v>
      </c>
      <c r="C4" t="s">
        <v>27</v>
      </c>
      <c r="D4">
        <v>171</v>
      </c>
      <c r="E4">
        <v>84</v>
      </c>
      <c r="F4" s="3">
        <v>32.600031987835898</v>
      </c>
      <c r="G4" s="3" t="str">
        <f t="shared" si="0"/>
        <v>Obese</v>
      </c>
      <c r="H4" t="s">
        <v>76</v>
      </c>
      <c r="I4" t="s">
        <v>24</v>
      </c>
      <c r="J4" t="s">
        <v>20</v>
      </c>
      <c r="K4" t="s">
        <v>22</v>
      </c>
      <c r="L4" t="s">
        <v>32</v>
      </c>
      <c r="M4" t="s">
        <v>19</v>
      </c>
      <c r="N4" t="s">
        <v>21</v>
      </c>
      <c r="O4" t="s">
        <v>19</v>
      </c>
      <c r="P4" t="s">
        <v>20</v>
      </c>
      <c r="Q4" t="s">
        <v>22</v>
      </c>
      <c r="R4" t="s">
        <v>1289</v>
      </c>
      <c r="S4" s="9">
        <f>COUNTIF(O2:O2001,O3)</f>
        <v>1033</v>
      </c>
    </row>
    <row r="5" spans="1:19" x14ac:dyDescent="0.35">
      <c r="A5">
        <v>3</v>
      </c>
      <c r="B5">
        <v>46</v>
      </c>
      <c r="C5" t="s">
        <v>16</v>
      </c>
      <c r="D5">
        <v>153</v>
      </c>
      <c r="E5">
        <v>58</v>
      </c>
      <c r="F5" s="3">
        <v>21.575926780090501</v>
      </c>
      <c r="G5" s="3" t="str">
        <f t="shared" si="0"/>
        <v>Normal Weight</v>
      </c>
      <c r="H5" t="s">
        <v>26</v>
      </c>
      <c r="I5" t="s">
        <v>24</v>
      </c>
      <c r="J5" t="s">
        <v>20</v>
      </c>
      <c r="K5" t="s">
        <v>18</v>
      </c>
      <c r="L5" t="s">
        <v>14</v>
      </c>
      <c r="M5" t="s">
        <v>20</v>
      </c>
      <c r="N5" t="s">
        <v>25</v>
      </c>
      <c r="O5" t="s">
        <v>19</v>
      </c>
      <c r="P5" t="s">
        <v>20</v>
      </c>
      <c r="Q5" t="s">
        <v>22</v>
      </c>
    </row>
    <row r="6" spans="1:19" x14ac:dyDescent="0.35">
      <c r="A6">
        <v>90</v>
      </c>
      <c r="B6">
        <v>79</v>
      </c>
      <c r="C6" t="s">
        <v>27</v>
      </c>
      <c r="D6">
        <v>187</v>
      </c>
      <c r="E6">
        <v>73</v>
      </c>
      <c r="F6" s="3">
        <v>28.440741312544802</v>
      </c>
      <c r="G6" s="3" t="str">
        <f t="shared" si="0"/>
        <v>Overweight</v>
      </c>
      <c r="H6" t="s">
        <v>118</v>
      </c>
      <c r="I6" t="s">
        <v>18</v>
      </c>
      <c r="J6" t="s">
        <v>20</v>
      </c>
      <c r="K6" t="s">
        <v>22</v>
      </c>
      <c r="L6" t="s">
        <v>14</v>
      </c>
      <c r="M6" t="s">
        <v>19</v>
      </c>
      <c r="N6" t="s">
        <v>25</v>
      </c>
      <c r="O6" t="s">
        <v>20</v>
      </c>
      <c r="P6" t="s">
        <v>19</v>
      </c>
      <c r="Q6" t="s">
        <v>22</v>
      </c>
      <c r="R6" t="s">
        <v>1290</v>
      </c>
      <c r="S6" s="9">
        <f>COUNTIF(P2:P2003,P2)</f>
        <v>1028</v>
      </c>
    </row>
    <row r="7" spans="1:19" x14ac:dyDescent="0.35">
      <c r="A7">
        <v>102</v>
      </c>
      <c r="B7">
        <v>79</v>
      </c>
      <c r="C7" t="s">
        <v>16</v>
      </c>
      <c r="D7">
        <v>181</v>
      </c>
      <c r="E7">
        <v>73</v>
      </c>
      <c r="F7" s="3">
        <v>23.066443177196501</v>
      </c>
      <c r="G7" s="3" t="str">
        <f t="shared" si="0"/>
        <v>Normal Weight</v>
      </c>
      <c r="H7" t="s">
        <v>129</v>
      </c>
      <c r="I7" t="s">
        <v>31</v>
      </c>
      <c r="J7" t="s">
        <v>20</v>
      </c>
      <c r="K7" t="s">
        <v>22</v>
      </c>
      <c r="L7" t="s">
        <v>29</v>
      </c>
      <c r="M7" t="s">
        <v>20</v>
      </c>
      <c r="N7" t="s">
        <v>21</v>
      </c>
      <c r="O7" t="s">
        <v>19</v>
      </c>
      <c r="P7" t="s">
        <v>20</v>
      </c>
      <c r="Q7" t="s">
        <v>22</v>
      </c>
    </row>
    <row r="8" spans="1:19" x14ac:dyDescent="0.35">
      <c r="A8">
        <v>4</v>
      </c>
      <c r="B8">
        <v>32</v>
      </c>
      <c r="C8" t="s">
        <v>27</v>
      </c>
      <c r="D8">
        <v>156</v>
      </c>
      <c r="E8">
        <v>96</v>
      </c>
      <c r="F8" s="3">
        <v>30.864595704641701</v>
      </c>
      <c r="G8" s="3" t="str">
        <f t="shared" si="0"/>
        <v>Obese</v>
      </c>
      <c r="H8" t="s">
        <v>28</v>
      </c>
      <c r="I8" t="s">
        <v>18</v>
      </c>
      <c r="J8" t="s">
        <v>19</v>
      </c>
      <c r="K8" t="s">
        <v>18</v>
      </c>
      <c r="L8" t="s">
        <v>29</v>
      </c>
      <c r="M8" t="s">
        <v>20</v>
      </c>
      <c r="N8" t="s">
        <v>25</v>
      </c>
      <c r="O8" t="s">
        <v>20</v>
      </c>
      <c r="P8" t="s">
        <v>19</v>
      </c>
      <c r="Q8" t="s">
        <v>22</v>
      </c>
    </row>
    <row r="9" spans="1:19" x14ac:dyDescent="0.35">
      <c r="A9">
        <v>164</v>
      </c>
      <c r="B9">
        <v>79</v>
      </c>
      <c r="C9" t="s">
        <v>27</v>
      </c>
      <c r="D9">
        <v>182</v>
      </c>
      <c r="E9">
        <v>92</v>
      </c>
      <c r="F9" s="3">
        <v>23.151652867354599</v>
      </c>
      <c r="G9" s="3" t="str">
        <f t="shared" si="0"/>
        <v>Normal Weight</v>
      </c>
      <c r="H9" t="s">
        <v>186</v>
      </c>
      <c r="I9" t="s">
        <v>31</v>
      </c>
      <c r="J9" t="s">
        <v>19</v>
      </c>
      <c r="K9" t="s">
        <v>22</v>
      </c>
      <c r="L9" t="s">
        <v>29</v>
      </c>
      <c r="M9" t="s">
        <v>20</v>
      </c>
      <c r="N9" t="s">
        <v>25</v>
      </c>
      <c r="O9" t="s">
        <v>20</v>
      </c>
      <c r="P9" t="s">
        <v>20</v>
      </c>
      <c r="Q9" t="s">
        <v>40</v>
      </c>
    </row>
    <row r="10" spans="1:19" x14ac:dyDescent="0.35">
      <c r="A10">
        <v>5</v>
      </c>
      <c r="B10">
        <v>60</v>
      </c>
      <c r="C10" t="s">
        <v>27</v>
      </c>
      <c r="D10">
        <v>171</v>
      </c>
      <c r="E10">
        <v>50</v>
      </c>
      <c r="F10" s="3">
        <v>27.503983485414899</v>
      </c>
      <c r="G10" s="3" t="str">
        <f t="shared" si="0"/>
        <v>Overweight</v>
      </c>
      <c r="H10" t="s">
        <v>30</v>
      </c>
      <c r="I10" t="s">
        <v>31</v>
      </c>
      <c r="J10" t="s">
        <v>20</v>
      </c>
      <c r="K10" t="s">
        <v>18</v>
      </c>
      <c r="L10" t="s">
        <v>32</v>
      </c>
      <c r="M10" t="s">
        <v>19</v>
      </c>
      <c r="N10" t="s">
        <v>25</v>
      </c>
      <c r="O10" t="s">
        <v>19</v>
      </c>
      <c r="P10" t="s">
        <v>20</v>
      </c>
      <c r="Q10" t="s">
        <v>22</v>
      </c>
    </row>
    <row r="11" spans="1:19" x14ac:dyDescent="0.35">
      <c r="A11">
        <v>7</v>
      </c>
      <c r="B11">
        <v>78</v>
      </c>
      <c r="C11" t="s">
        <v>16</v>
      </c>
      <c r="D11">
        <v>166</v>
      </c>
      <c r="E11">
        <v>84</v>
      </c>
      <c r="F11" s="3">
        <v>23.316534362713799</v>
      </c>
      <c r="G11" s="3" t="str">
        <f t="shared" si="0"/>
        <v>Normal Weight</v>
      </c>
      <c r="H11" t="s">
        <v>34</v>
      </c>
      <c r="I11" t="s">
        <v>18</v>
      </c>
      <c r="J11" t="s">
        <v>19</v>
      </c>
      <c r="K11" t="s">
        <v>40</v>
      </c>
      <c r="L11" t="s">
        <v>14</v>
      </c>
      <c r="M11" t="s">
        <v>19</v>
      </c>
      <c r="N11" t="s">
        <v>25</v>
      </c>
      <c r="O11" t="s">
        <v>20</v>
      </c>
      <c r="P11" t="s">
        <v>20</v>
      </c>
      <c r="Q11" t="s">
        <v>22</v>
      </c>
    </row>
    <row r="12" spans="1:19" x14ac:dyDescent="0.35">
      <c r="A12">
        <v>237</v>
      </c>
      <c r="B12">
        <v>79</v>
      </c>
      <c r="C12" t="s">
        <v>16</v>
      </c>
      <c r="D12">
        <v>174</v>
      </c>
      <c r="E12">
        <v>66</v>
      </c>
      <c r="F12" s="3">
        <v>31.127718942168801</v>
      </c>
      <c r="G12" s="3" t="str">
        <f t="shared" si="0"/>
        <v>Obese</v>
      </c>
      <c r="H12" t="s">
        <v>250</v>
      </c>
      <c r="I12" t="s">
        <v>24</v>
      </c>
      <c r="J12" t="s">
        <v>20</v>
      </c>
      <c r="K12" t="s">
        <v>22</v>
      </c>
      <c r="L12" t="s">
        <v>32</v>
      </c>
      <c r="M12" t="s">
        <v>19</v>
      </c>
      <c r="N12" t="s">
        <v>21</v>
      </c>
      <c r="O12" t="s">
        <v>19</v>
      </c>
      <c r="P12" t="s">
        <v>20</v>
      </c>
      <c r="Q12" t="s">
        <v>40</v>
      </c>
    </row>
    <row r="13" spans="1:19" x14ac:dyDescent="0.35">
      <c r="A13">
        <v>242</v>
      </c>
      <c r="B13">
        <v>79</v>
      </c>
      <c r="C13" t="s">
        <v>27</v>
      </c>
      <c r="D13">
        <v>179</v>
      </c>
      <c r="E13">
        <v>87</v>
      </c>
      <c r="F13" s="3">
        <v>19.552610178184299</v>
      </c>
      <c r="G13" s="3" t="str">
        <f t="shared" si="0"/>
        <v>Normal Weight</v>
      </c>
      <c r="H13" t="s">
        <v>255</v>
      </c>
      <c r="I13" t="s">
        <v>31</v>
      </c>
      <c r="J13" t="s">
        <v>20</v>
      </c>
      <c r="K13" t="s">
        <v>22</v>
      </c>
      <c r="L13" t="s">
        <v>14</v>
      </c>
      <c r="M13" t="s">
        <v>20</v>
      </c>
      <c r="N13" t="s">
        <v>21</v>
      </c>
      <c r="O13" t="s">
        <v>20</v>
      </c>
      <c r="P13" t="s">
        <v>19</v>
      </c>
      <c r="Q13" t="s">
        <v>22</v>
      </c>
    </row>
    <row r="14" spans="1:19" x14ac:dyDescent="0.35">
      <c r="A14">
        <v>9</v>
      </c>
      <c r="B14">
        <v>56</v>
      </c>
      <c r="C14" t="s">
        <v>16</v>
      </c>
      <c r="D14">
        <v>183</v>
      </c>
      <c r="E14">
        <v>83</v>
      </c>
      <c r="F14" s="3">
        <v>26.462920388415</v>
      </c>
      <c r="G14" s="3" t="str">
        <f t="shared" si="0"/>
        <v>Overweight</v>
      </c>
      <c r="H14" t="s">
        <v>36</v>
      </c>
      <c r="I14" t="s">
        <v>31</v>
      </c>
      <c r="J14" t="s">
        <v>20</v>
      </c>
      <c r="K14" t="s">
        <v>18</v>
      </c>
      <c r="L14" t="s">
        <v>32</v>
      </c>
      <c r="M14" t="s">
        <v>19</v>
      </c>
      <c r="N14" t="s">
        <v>25</v>
      </c>
      <c r="O14" t="s">
        <v>19</v>
      </c>
      <c r="P14" t="s">
        <v>19</v>
      </c>
      <c r="Q14" t="s">
        <v>22</v>
      </c>
    </row>
    <row r="15" spans="1:19" x14ac:dyDescent="0.35">
      <c r="A15">
        <v>11</v>
      </c>
      <c r="B15">
        <v>36</v>
      </c>
      <c r="C15" t="s">
        <v>27</v>
      </c>
      <c r="D15">
        <v>188</v>
      </c>
      <c r="E15">
        <v>58</v>
      </c>
      <c r="F15" s="3">
        <v>34.459974641109902</v>
      </c>
      <c r="G15" s="3" t="str">
        <f t="shared" si="0"/>
        <v>Obese</v>
      </c>
      <c r="H15" t="s">
        <v>39</v>
      </c>
      <c r="I15" t="s">
        <v>18</v>
      </c>
      <c r="J15" t="s">
        <v>20</v>
      </c>
      <c r="K15" t="s">
        <v>18</v>
      </c>
      <c r="L15" t="s">
        <v>29</v>
      </c>
      <c r="M15" t="s">
        <v>20</v>
      </c>
      <c r="N15" t="s">
        <v>21</v>
      </c>
      <c r="O15" t="s">
        <v>20</v>
      </c>
      <c r="P15" t="s">
        <v>20</v>
      </c>
      <c r="Q15" t="s">
        <v>40</v>
      </c>
    </row>
    <row r="16" spans="1:19" x14ac:dyDescent="0.35">
      <c r="A16">
        <v>12</v>
      </c>
      <c r="B16">
        <v>40</v>
      </c>
      <c r="C16" t="s">
        <v>16</v>
      </c>
      <c r="D16">
        <v>171</v>
      </c>
      <c r="E16">
        <v>81</v>
      </c>
      <c r="F16" s="3">
        <v>30.299562826978601</v>
      </c>
      <c r="G16" s="3" t="str">
        <f t="shared" si="0"/>
        <v>Obese</v>
      </c>
      <c r="H16" t="s">
        <v>41</v>
      </c>
      <c r="I16" t="s">
        <v>31</v>
      </c>
      <c r="J16" t="s">
        <v>19</v>
      </c>
      <c r="K16" t="s">
        <v>18</v>
      </c>
      <c r="L16" t="s">
        <v>32</v>
      </c>
      <c r="M16" t="s">
        <v>19</v>
      </c>
      <c r="N16" t="s">
        <v>25</v>
      </c>
      <c r="O16" t="s">
        <v>20</v>
      </c>
      <c r="P16" t="s">
        <v>20</v>
      </c>
      <c r="Q16" t="s">
        <v>40</v>
      </c>
    </row>
    <row r="17" spans="1:17" x14ac:dyDescent="0.35">
      <c r="A17">
        <v>13</v>
      </c>
      <c r="B17">
        <v>28</v>
      </c>
      <c r="C17" t="s">
        <v>27</v>
      </c>
      <c r="D17">
        <v>166</v>
      </c>
      <c r="E17">
        <v>64</v>
      </c>
      <c r="F17" s="3">
        <v>34.2927247369066</v>
      </c>
      <c r="G17" s="3" t="str">
        <f t="shared" si="0"/>
        <v>Obese</v>
      </c>
      <c r="H17" t="s">
        <v>42</v>
      </c>
      <c r="I17" t="s">
        <v>31</v>
      </c>
      <c r="J17" t="s">
        <v>20</v>
      </c>
      <c r="K17" t="s">
        <v>18</v>
      </c>
      <c r="L17" t="s">
        <v>14</v>
      </c>
      <c r="M17" t="s">
        <v>20</v>
      </c>
      <c r="N17" t="s">
        <v>25</v>
      </c>
      <c r="O17" t="s">
        <v>19</v>
      </c>
      <c r="P17" t="s">
        <v>19</v>
      </c>
      <c r="Q17" t="s">
        <v>40</v>
      </c>
    </row>
    <row r="18" spans="1:17" x14ac:dyDescent="0.35">
      <c r="A18">
        <v>369</v>
      </c>
      <c r="B18">
        <v>79</v>
      </c>
      <c r="C18" t="s">
        <v>16</v>
      </c>
      <c r="D18">
        <v>186</v>
      </c>
      <c r="E18">
        <v>89</v>
      </c>
      <c r="F18" s="3">
        <v>19.406944062857001</v>
      </c>
      <c r="G18" s="3" t="str">
        <f t="shared" si="0"/>
        <v>Normal Weight</v>
      </c>
      <c r="H18" t="s">
        <v>370</v>
      </c>
      <c r="I18" t="s">
        <v>18</v>
      </c>
      <c r="J18" t="s">
        <v>19</v>
      </c>
      <c r="K18" t="s">
        <v>22</v>
      </c>
      <c r="L18" t="s">
        <v>29</v>
      </c>
      <c r="M18" t="s">
        <v>19</v>
      </c>
      <c r="N18" t="s">
        <v>21</v>
      </c>
      <c r="O18" t="s">
        <v>19</v>
      </c>
      <c r="P18" t="s">
        <v>20</v>
      </c>
      <c r="Q18" t="s">
        <v>18</v>
      </c>
    </row>
    <row r="19" spans="1:17" x14ac:dyDescent="0.35">
      <c r="A19">
        <v>16</v>
      </c>
      <c r="B19">
        <v>70</v>
      </c>
      <c r="C19" t="s">
        <v>16</v>
      </c>
      <c r="D19">
        <v>155</v>
      </c>
      <c r="E19">
        <v>94</v>
      </c>
      <c r="F19" s="3">
        <v>33.3162610670528</v>
      </c>
      <c r="G19" s="3" t="str">
        <f t="shared" si="0"/>
        <v>Obese</v>
      </c>
      <c r="H19" t="s">
        <v>45</v>
      </c>
      <c r="I19" t="s">
        <v>31</v>
      </c>
      <c r="J19" t="s">
        <v>20</v>
      </c>
      <c r="K19" t="s">
        <v>40</v>
      </c>
      <c r="L19" t="s">
        <v>38</v>
      </c>
      <c r="M19" t="s">
        <v>20</v>
      </c>
      <c r="N19" t="s">
        <v>25</v>
      </c>
      <c r="O19" t="s">
        <v>19</v>
      </c>
      <c r="P19" t="s">
        <v>19</v>
      </c>
      <c r="Q19" t="s">
        <v>18</v>
      </c>
    </row>
    <row r="20" spans="1:17" x14ac:dyDescent="0.35">
      <c r="A20">
        <v>400</v>
      </c>
      <c r="B20">
        <v>79</v>
      </c>
      <c r="C20" t="s">
        <v>16</v>
      </c>
      <c r="D20">
        <v>189</v>
      </c>
      <c r="E20">
        <v>91</v>
      </c>
      <c r="F20" s="3">
        <v>25.193146780879399</v>
      </c>
      <c r="G20" s="3" t="str">
        <f t="shared" si="0"/>
        <v>Overweight</v>
      </c>
      <c r="H20" t="s">
        <v>389</v>
      </c>
      <c r="I20" t="s">
        <v>18</v>
      </c>
      <c r="J20" t="s">
        <v>20</v>
      </c>
      <c r="K20" t="s">
        <v>22</v>
      </c>
      <c r="L20" t="s">
        <v>32</v>
      </c>
      <c r="M20" t="s">
        <v>20</v>
      </c>
      <c r="N20" t="s">
        <v>25</v>
      </c>
      <c r="O20" t="s">
        <v>20</v>
      </c>
      <c r="P20" t="s">
        <v>19</v>
      </c>
      <c r="Q20" t="s">
        <v>18</v>
      </c>
    </row>
    <row r="21" spans="1:17" x14ac:dyDescent="0.35">
      <c r="A21">
        <v>17</v>
      </c>
      <c r="B21">
        <v>53</v>
      </c>
      <c r="C21" t="s">
        <v>16</v>
      </c>
      <c r="D21">
        <v>183</v>
      </c>
      <c r="E21">
        <v>63</v>
      </c>
      <c r="F21" s="3">
        <v>27.163314114048799</v>
      </c>
      <c r="G21" s="3" t="str">
        <f t="shared" si="0"/>
        <v>Overweight</v>
      </c>
      <c r="H21" t="s">
        <v>46</v>
      </c>
      <c r="I21" t="s">
        <v>18</v>
      </c>
      <c r="J21" t="s">
        <v>19</v>
      </c>
      <c r="K21" t="s">
        <v>18</v>
      </c>
      <c r="L21" t="s">
        <v>29</v>
      </c>
      <c r="M21" t="s">
        <v>19</v>
      </c>
      <c r="N21" t="s">
        <v>25</v>
      </c>
      <c r="O21" t="s">
        <v>20</v>
      </c>
      <c r="P21" t="s">
        <v>20</v>
      </c>
      <c r="Q21" t="s">
        <v>22</v>
      </c>
    </row>
    <row r="22" spans="1:17" x14ac:dyDescent="0.35">
      <c r="A22">
        <v>601</v>
      </c>
      <c r="B22">
        <v>79</v>
      </c>
      <c r="C22" t="s">
        <v>16</v>
      </c>
      <c r="D22">
        <v>152</v>
      </c>
      <c r="E22">
        <v>99</v>
      </c>
      <c r="F22" s="3">
        <v>20.3563016536894</v>
      </c>
      <c r="G22" s="3" t="str">
        <f t="shared" si="0"/>
        <v>Normal Weight</v>
      </c>
      <c r="H22" t="s">
        <v>548</v>
      </c>
      <c r="I22" t="s">
        <v>24</v>
      </c>
      <c r="J22" t="s">
        <v>20</v>
      </c>
      <c r="K22" t="s">
        <v>22</v>
      </c>
      <c r="L22" t="s">
        <v>32</v>
      </c>
      <c r="M22" t="s">
        <v>19</v>
      </c>
      <c r="N22" t="s">
        <v>25</v>
      </c>
      <c r="O22" t="s">
        <v>19</v>
      </c>
      <c r="P22" t="s">
        <v>20</v>
      </c>
      <c r="Q22" t="s">
        <v>40</v>
      </c>
    </row>
    <row r="23" spans="1:17" x14ac:dyDescent="0.35">
      <c r="A23">
        <v>18</v>
      </c>
      <c r="B23">
        <v>57</v>
      </c>
      <c r="C23" t="s">
        <v>27</v>
      </c>
      <c r="D23">
        <v>150</v>
      </c>
      <c r="E23">
        <v>57</v>
      </c>
      <c r="F23" s="3">
        <v>30.1701020464435</v>
      </c>
      <c r="G23" s="3" t="str">
        <f t="shared" si="0"/>
        <v>Obese</v>
      </c>
      <c r="H23" t="s">
        <v>47</v>
      </c>
      <c r="I23" t="s">
        <v>18</v>
      </c>
      <c r="J23" t="s">
        <v>19</v>
      </c>
      <c r="K23" t="s">
        <v>18</v>
      </c>
      <c r="L23" t="s">
        <v>29</v>
      </c>
      <c r="M23" t="s">
        <v>20</v>
      </c>
      <c r="N23" t="s">
        <v>25</v>
      </c>
      <c r="O23" t="s">
        <v>19</v>
      </c>
      <c r="P23" t="s">
        <v>20</v>
      </c>
      <c r="Q23" t="s">
        <v>18</v>
      </c>
    </row>
    <row r="24" spans="1:17" x14ac:dyDescent="0.35">
      <c r="A24">
        <v>20</v>
      </c>
      <c r="B24">
        <v>20</v>
      </c>
      <c r="C24" t="s">
        <v>27</v>
      </c>
      <c r="D24">
        <v>170</v>
      </c>
      <c r="E24">
        <v>76</v>
      </c>
      <c r="F24" s="3">
        <v>25.870986733593501</v>
      </c>
      <c r="G24" s="3" t="str">
        <f t="shared" si="0"/>
        <v>Overweight</v>
      </c>
      <c r="H24" t="s">
        <v>49</v>
      </c>
      <c r="I24" t="s">
        <v>24</v>
      </c>
      <c r="J24" t="s">
        <v>19</v>
      </c>
      <c r="K24" t="s">
        <v>18</v>
      </c>
      <c r="L24" t="s">
        <v>32</v>
      </c>
      <c r="M24" t="s">
        <v>20</v>
      </c>
      <c r="N24" t="s">
        <v>25</v>
      </c>
      <c r="O24" t="s">
        <v>19</v>
      </c>
      <c r="P24" t="s">
        <v>20</v>
      </c>
      <c r="Q24" t="s">
        <v>40</v>
      </c>
    </row>
    <row r="25" spans="1:17" x14ac:dyDescent="0.35">
      <c r="A25">
        <v>656</v>
      </c>
      <c r="B25">
        <v>79</v>
      </c>
      <c r="C25" t="s">
        <v>16</v>
      </c>
      <c r="D25">
        <v>178</v>
      </c>
      <c r="E25">
        <v>99</v>
      </c>
      <c r="F25" s="3">
        <v>29.567622919809999</v>
      </c>
      <c r="G25" s="3" t="str">
        <f t="shared" si="0"/>
        <v>Overweight</v>
      </c>
      <c r="H25" t="s">
        <v>592</v>
      </c>
      <c r="I25" t="s">
        <v>24</v>
      </c>
      <c r="J25" t="s">
        <v>20</v>
      </c>
      <c r="K25" t="s">
        <v>22</v>
      </c>
      <c r="L25" t="s">
        <v>29</v>
      </c>
      <c r="M25" t="s">
        <v>20</v>
      </c>
      <c r="N25" t="s">
        <v>25</v>
      </c>
      <c r="O25" t="s">
        <v>19</v>
      </c>
      <c r="P25" t="s">
        <v>20</v>
      </c>
      <c r="Q25" t="s">
        <v>18</v>
      </c>
    </row>
    <row r="26" spans="1:17" x14ac:dyDescent="0.35">
      <c r="A26">
        <v>725</v>
      </c>
      <c r="B26">
        <v>79</v>
      </c>
      <c r="C26" t="s">
        <v>16</v>
      </c>
      <c r="D26">
        <v>155</v>
      </c>
      <c r="E26">
        <v>94</v>
      </c>
      <c r="F26" s="3">
        <v>22.383823821322899</v>
      </c>
      <c r="G26" s="3" t="str">
        <f t="shared" si="0"/>
        <v>Normal Weight</v>
      </c>
      <c r="H26" t="s">
        <v>638</v>
      </c>
      <c r="I26" t="s">
        <v>18</v>
      </c>
      <c r="J26" t="s">
        <v>19</v>
      </c>
      <c r="K26" t="s">
        <v>22</v>
      </c>
      <c r="L26" t="s">
        <v>14</v>
      </c>
      <c r="M26" t="s">
        <v>19</v>
      </c>
      <c r="N26" t="s">
        <v>25</v>
      </c>
      <c r="O26" t="s">
        <v>20</v>
      </c>
      <c r="P26" t="s">
        <v>19</v>
      </c>
      <c r="Q26" t="s">
        <v>18</v>
      </c>
    </row>
    <row r="27" spans="1:17" x14ac:dyDescent="0.35">
      <c r="A27">
        <v>759</v>
      </c>
      <c r="B27">
        <v>79</v>
      </c>
      <c r="C27" t="s">
        <v>16</v>
      </c>
      <c r="D27">
        <v>184</v>
      </c>
      <c r="E27">
        <v>92</v>
      </c>
      <c r="F27" s="3">
        <v>29.667530719895701</v>
      </c>
      <c r="G27" s="3" t="str">
        <f t="shared" si="0"/>
        <v>Overweight</v>
      </c>
      <c r="H27" t="s">
        <v>344</v>
      </c>
      <c r="I27" t="s">
        <v>24</v>
      </c>
      <c r="J27" t="s">
        <v>19</v>
      </c>
      <c r="K27" t="s">
        <v>22</v>
      </c>
      <c r="L27" t="s">
        <v>32</v>
      </c>
      <c r="M27" t="s">
        <v>19</v>
      </c>
      <c r="N27" t="s">
        <v>25</v>
      </c>
      <c r="O27" t="s">
        <v>20</v>
      </c>
      <c r="P27" t="s">
        <v>20</v>
      </c>
      <c r="Q27" t="s">
        <v>18</v>
      </c>
    </row>
    <row r="28" spans="1:17" x14ac:dyDescent="0.35">
      <c r="A28">
        <v>22</v>
      </c>
      <c r="B28">
        <v>70</v>
      </c>
      <c r="C28" t="s">
        <v>27</v>
      </c>
      <c r="D28">
        <v>151</v>
      </c>
      <c r="E28">
        <v>50</v>
      </c>
      <c r="F28" s="3">
        <v>21.8986705919698</v>
      </c>
      <c r="G28" s="3" t="str">
        <f t="shared" si="0"/>
        <v>Normal Weight</v>
      </c>
      <c r="H28" t="s">
        <v>51</v>
      </c>
      <c r="I28" t="s">
        <v>31</v>
      </c>
      <c r="J28" t="s">
        <v>19</v>
      </c>
      <c r="K28" t="s">
        <v>40</v>
      </c>
      <c r="L28" t="s">
        <v>32</v>
      </c>
      <c r="M28" t="s">
        <v>19</v>
      </c>
      <c r="N28" t="s">
        <v>21</v>
      </c>
      <c r="O28" t="s">
        <v>20</v>
      </c>
      <c r="P28" t="s">
        <v>20</v>
      </c>
      <c r="Q28" t="s">
        <v>18</v>
      </c>
    </row>
    <row r="29" spans="1:17" x14ac:dyDescent="0.35">
      <c r="A29">
        <v>876</v>
      </c>
      <c r="B29">
        <v>79</v>
      </c>
      <c r="C29" t="s">
        <v>27</v>
      </c>
      <c r="D29">
        <v>160</v>
      </c>
      <c r="E29">
        <v>84</v>
      </c>
      <c r="F29" s="3">
        <v>26.329803783270201</v>
      </c>
      <c r="G29" s="3" t="str">
        <f t="shared" si="0"/>
        <v>Overweight</v>
      </c>
      <c r="H29" t="s">
        <v>731</v>
      </c>
      <c r="I29" t="s">
        <v>24</v>
      </c>
      <c r="J29" t="s">
        <v>20</v>
      </c>
      <c r="K29" t="s">
        <v>22</v>
      </c>
      <c r="L29" t="s">
        <v>29</v>
      </c>
      <c r="M29" t="s">
        <v>20</v>
      </c>
      <c r="N29" t="s">
        <v>25</v>
      </c>
      <c r="O29" t="s">
        <v>20</v>
      </c>
      <c r="P29" t="s">
        <v>19</v>
      </c>
      <c r="Q29" t="s">
        <v>18</v>
      </c>
    </row>
    <row r="30" spans="1:17" x14ac:dyDescent="0.35">
      <c r="A30">
        <v>26</v>
      </c>
      <c r="B30">
        <v>47</v>
      </c>
      <c r="C30" t="s">
        <v>16</v>
      </c>
      <c r="D30">
        <v>183</v>
      </c>
      <c r="E30">
        <v>60</v>
      </c>
      <c r="F30" s="3">
        <v>22.498835969756499</v>
      </c>
      <c r="G30" s="3" t="str">
        <f t="shared" si="0"/>
        <v>Normal Weight</v>
      </c>
      <c r="H30" t="s">
        <v>55</v>
      </c>
      <c r="I30" t="s">
        <v>31</v>
      </c>
      <c r="J30" t="s">
        <v>19</v>
      </c>
      <c r="K30" t="s">
        <v>18</v>
      </c>
      <c r="L30" t="s">
        <v>14</v>
      </c>
      <c r="M30" t="s">
        <v>19</v>
      </c>
      <c r="N30" t="s">
        <v>25</v>
      </c>
      <c r="O30" t="s">
        <v>19</v>
      </c>
      <c r="P30" t="s">
        <v>19</v>
      </c>
      <c r="Q30" t="s">
        <v>22</v>
      </c>
    </row>
    <row r="31" spans="1:17" x14ac:dyDescent="0.35">
      <c r="A31">
        <v>28</v>
      </c>
      <c r="B31">
        <v>19</v>
      </c>
      <c r="C31" t="s">
        <v>27</v>
      </c>
      <c r="D31">
        <v>188</v>
      </c>
      <c r="E31">
        <v>92</v>
      </c>
      <c r="F31" s="3">
        <v>32.3451450301935</v>
      </c>
      <c r="G31" s="3" t="str">
        <f t="shared" si="0"/>
        <v>Obese</v>
      </c>
      <c r="H31" t="s">
        <v>57</v>
      </c>
      <c r="I31" t="s">
        <v>24</v>
      </c>
      <c r="J31" t="s">
        <v>20</v>
      </c>
      <c r="K31" t="s">
        <v>18</v>
      </c>
      <c r="L31" t="s">
        <v>32</v>
      </c>
      <c r="M31" t="s">
        <v>19</v>
      </c>
      <c r="N31" t="s">
        <v>21</v>
      </c>
      <c r="O31" t="s">
        <v>19</v>
      </c>
      <c r="P31" t="s">
        <v>19</v>
      </c>
      <c r="Q31" t="s">
        <v>22</v>
      </c>
    </row>
    <row r="32" spans="1:17" x14ac:dyDescent="0.35">
      <c r="A32">
        <v>30</v>
      </c>
      <c r="B32">
        <v>38</v>
      </c>
      <c r="C32" t="s">
        <v>27</v>
      </c>
      <c r="D32">
        <v>161</v>
      </c>
      <c r="E32">
        <v>66</v>
      </c>
      <c r="F32" s="3">
        <v>21.026884251385201</v>
      </c>
      <c r="G32" s="3" t="str">
        <f t="shared" si="0"/>
        <v>Normal Weight</v>
      </c>
      <c r="H32" t="s">
        <v>59</v>
      </c>
      <c r="I32" t="s">
        <v>18</v>
      </c>
      <c r="J32" t="s">
        <v>19</v>
      </c>
      <c r="K32" t="s">
        <v>18</v>
      </c>
      <c r="L32" t="s">
        <v>38</v>
      </c>
      <c r="M32" t="s">
        <v>19</v>
      </c>
      <c r="N32" t="s">
        <v>21</v>
      </c>
      <c r="O32" t="s">
        <v>20</v>
      </c>
      <c r="P32" t="s">
        <v>19</v>
      </c>
      <c r="Q32" t="s">
        <v>22</v>
      </c>
    </row>
    <row r="33" spans="1:17" x14ac:dyDescent="0.35">
      <c r="A33">
        <v>1124</v>
      </c>
      <c r="B33">
        <v>79</v>
      </c>
      <c r="C33" t="s">
        <v>16</v>
      </c>
      <c r="D33">
        <v>150</v>
      </c>
      <c r="E33">
        <v>62</v>
      </c>
      <c r="F33" s="3">
        <v>24.383222199418601</v>
      </c>
      <c r="G33" s="3" t="str">
        <f t="shared" si="0"/>
        <v>Normal Weight</v>
      </c>
      <c r="H33" t="s">
        <v>252</v>
      </c>
      <c r="I33" t="s">
        <v>24</v>
      </c>
      <c r="J33" t="s">
        <v>19</v>
      </c>
      <c r="K33" t="s">
        <v>22</v>
      </c>
      <c r="L33" t="s">
        <v>38</v>
      </c>
      <c r="M33" t="s">
        <v>19</v>
      </c>
      <c r="N33" t="s">
        <v>25</v>
      </c>
      <c r="O33" t="s">
        <v>19</v>
      </c>
      <c r="P33" t="s">
        <v>19</v>
      </c>
      <c r="Q33" t="s">
        <v>18</v>
      </c>
    </row>
    <row r="34" spans="1:17" x14ac:dyDescent="0.35">
      <c r="A34">
        <v>33</v>
      </c>
      <c r="B34">
        <v>75</v>
      </c>
      <c r="C34" t="s">
        <v>16</v>
      </c>
      <c r="D34">
        <v>187</v>
      </c>
      <c r="E34">
        <v>78</v>
      </c>
      <c r="F34" s="3">
        <v>30.5656347242316</v>
      </c>
      <c r="G34" s="3" t="str">
        <f t="shared" si="0"/>
        <v>Obese</v>
      </c>
      <c r="H34" t="s">
        <v>62</v>
      </c>
      <c r="I34" t="s">
        <v>18</v>
      </c>
      <c r="J34" t="s">
        <v>19</v>
      </c>
      <c r="K34" t="s">
        <v>40</v>
      </c>
      <c r="L34" t="s">
        <v>38</v>
      </c>
      <c r="M34" t="s">
        <v>19</v>
      </c>
      <c r="N34" t="s">
        <v>21</v>
      </c>
      <c r="O34" t="s">
        <v>19</v>
      </c>
      <c r="P34" t="s">
        <v>19</v>
      </c>
      <c r="Q34" t="s">
        <v>22</v>
      </c>
    </row>
    <row r="35" spans="1:17" x14ac:dyDescent="0.35">
      <c r="A35">
        <v>1290</v>
      </c>
      <c r="B35">
        <v>79</v>
      </c>
      <c r="C35" t="s">
        <v>27</v>
      </c>
      <c r="D35">
        <v>185</v>
      </c>
      <c r="E35">
        <v>76</v>
      </c>
      <c r="F35" s="3">
        <v>28.510817332504999</v>
      </c>
      <c r="G35" s="3" t="str">
        <f t="shared" si="0"/>
        <v>Overweight</v>
      </c>
      <c r="H35" t="s">
        <v>165</v>
      </c>
      <c r="I35" t="s">
        <v>31</v>
      </c>
      <c r="J35" t="s">
        <v>19</v>
      </c>
      <c r="K35" t="s">
        <v>22</v>
      </c>
      <c r="L35" t="s">
        <v>38</v>
      </c>
      <c r="M35" t="s">
        <v>19</v>
      </c>
      <c r="N35" t="s">
        <v>21</v>
      </c>
      <c r="O35" t="s">
        <v>19</v>
      </c>
      <c r="P35" t="s">
        <v>19</v>
      </c>
      <c r="Q35" t="s">
        <v>18</v>
      </c>
    </row>
    <row r="36" spans="1:17" x14ac:dyDescent="0.35">
      <c r="A36">
        <v>1291</v>
      </c>
      <c r="B36">
        <v>79</v>
      </c>
      <c r="C36" t="s">
        <v>16</v>
      </c>
      <c r="D36">
        <v>151</v>
      </c>
      <c r="E36">
        <v>58</v>
      </c>
      <c r="F36" s="3">
        <v>21.251991030530601</v>
      </c>
      <c r="G36" s="3" t="str">
        <f t="shared" si="0"/>
        <v>Normal Weight</v>
      </c>
      <c r="H36" t="s">
        <v>977</v>
      </c>
      <c r="I36" t="s">
        <v>24</v>
      </c>
      <c r="J36" t="s">
        <v>20</v>
      </c>
      <c r="K36" t="s">
        <v>22</v>
      </c>
      <c r="L36" t="s">
        <v>14</v>
      </c>
      <c r="M36" t="s">
        <v>20</v>
      </c>
      <c r="N36" t="s">
        <v>25</v>
      </c>
      <c r="O36" t="s">
        <v>20</v>
      </c>
      <c r="P36" t="s">
        <v>19</v>
      </c>
      <c r="Q36" t="s">
        <v>18</v>
      </c>
    </row>
    <row r="37" spans="1:17" x14ac:dyDescent="0.35">
      <c r="A37">
        <v>1320</v>
      </c>
      <c r="B37">
        <v>79</v>
      </c>
      <c r="C37" t="s">
        <v>16</v>
      </c>
      <c r="D37">
        <v>155</v>
      </c>
      <c r="E37">
        <v>89</v>
      </c>
      <c r="F37" s="3">
        <v>29.270014042324199</v>
      </c>
      <c r="G37" s="3" t="str">
        <f t="shared" si="0"/>
        <v>Overweight</v>
      </c>
      <c r="H37" t="s">
        <v>993</v>
      </c>
      <c r="I37" t="s">
        <v>18</v>
      </c>
      <c r="J37" t="s">
        <v>20</v>
      </c>
      <c r="K37" t="s">
        <v>22</v>
      </c>
      <c r="L37" t="s">
        <v>14</v>
      </c>
      <c r="M37" t="s">
        <v>20</v>
      </c>
      <c r="N37" t="s">
        <v>21</v>
      </c>
      <c r="O37" t="s">
        <v>19</v>
      </c>
      <c r="P37" t="s">
        <v>20</v>
      </c>
      <c r="Q37" t="s">
        <v>40</v>
      </c>
    </row>
    <row r="38" spans="1:17" x14ac:dyDescent="0.35">
      <c r="A38">
        <v>34</v>
      </c>
      <c r="B38">
        <v>39</v>
      </c>
      <c r="C38" t="s">
        <v>16</v>
      </c>
      <c r="D38">
        <v>159</v>
      </c>
      <c r="E38">
        <v>70</v>
      </c>
      <c r="F38" s="3">
        <v>31.2008192771419</v>
      </c>
      <c r="G38" s="3" t="str">
        <f t="shared" si="0"/>
        <v>Obese</v>
      </c>
      <c r="H38" t="s">
        <v>63</v>
      </c>
      <c r="I38" t="s">
        <v>18</v>
      </c>
      <c r="J38" t="s">
        <v>20</v>
      </c>
      <c r="K38" t="s">
        <v>18</v>
      </c>
      <c r="L38" t="s">
        <v>29</v>
      </c>
      <c r="M38" t="s">
        <v>20</v>
      </c>
      <c r="N38" t="s">
        <v>21</v>
      </c>
      <c r="O38" t="s">
        <v>19</v>
      </c>
      <c r="P38" t="s">
        <v>20</v>
      </c>
      <c r="Q38" t="s">
        <v>40</v>
      </c>
    </row>
    <row r="39" spans="1:17" x14ac:dyDescent="0.35">
      <c r="A39">
        <v>1382</v>
      </c>
      <c r="B39">
        <v>79</v>
      </c>
      <c r="C39" t="s">
        <v>27</v>
      </c>
      <c r="D39">
        <v>164</v>
      </c>
      <c r="E39">
        <v>75</v>
      </c>
      <c r="F39" s="3">
        <v>21.6339232704068</v>
      </c>
      <c r="G39" s="3" t="str">
        <f t="shared" si="0"/>
        <v>Normal Weight</v>
      </c>
      <c r="H39" t="s">
        <v>1019</v>
      </c>
      <c r="I39" t="s">
        <v>24</v>
      </c>
      <c r="J39" t="s">
        <v>20</v>
      </c>
      <c r="K39" t="s">
        <v>22</v>
      </c>
      <c r="L39" t="s">
        <v>38</v>
      </c>
      <c r="M39" t="s">
        <v>20</v>
      </c>
      <c r="N39" t="s">
        <v>21</v>
      </c>
      <c r="O39" t="s">
        <v>20</v>
      </c>
      <c r="P39" t="s">
        <v>19</v>
      </c>
      <c r="Q39" t="s">
        <v>18</v>
      </c>
    </row>
    <row r="40" spans="1:17" x14ac:dyDescent="0.35">
      <c r="A40">
        <v>37</v>
      </c>
      <c r="B40">
        <v>42</v>
      </c>
      <c r="C40" t="s">
        <v>27</v>
      </c>
      <c r="D40">
        <v>156</v>
      </c>
      <c r="E40">
        <v>72</v>
      </c>
      <c r="F40" s="3">
        <v>24.137078359394899</v>
      </c>
      <c r="G40" s="3" t="str">
        <f t="shared" si="0"/>
        <v>Normal Weight</v>
      </c>
      <c r="H40" t="s">
        <v>66</v>
      </c>
      <c r="I40" t="s">
        <v>24</v>
      </c>
      <c r="J40" t="s">
        <v>19</v>
      </c>
      <c r="K40" t="s">
        <v>18</v>
      </c>
      <c r="L40" t="s">
        <v>32</v>
      </c>
      <c r="M40" t="s">
        <v>19</v>
      </c>
      <c r="N40" t="s">
        <v>25</v>
      </c>
      <c r="O40" t="s">
        <v>20</v>
      </c>
      <c r="P40" t="s">
        <v>19</v>
      </c>
      <c r="Q40" t="s">
        <v>22</v>
      </c>
    </row>
    <row r="41" spans="1:17" x14ac:dyDescent="0.35">
      <c r="A41">
        <v>40</v>
      </c>
      <c r="B41">
        <v>76</v>
      </c>
      <c r="C41" t="s">
        <v>16</v>
      </c>
      <c r="D41">
        <v>175</v>
      </c>
      <c r="E41">
        <v>99</v>
      </c>
      <c r="F41" s="3">
        <v>33.307055752306098</v>
      </c>
      <c r="G41" s="3" t="str">
        <f t="shared" si="0"/>
        <v>Obese</v>
      </c>
      <c r="H41" t="s">
        <v>69</v>
      </c>
      <c r="I41" t="s">
        <v>24</v>
      </c>
      <c r="J41" t="s">
        <v>20</v>
      </c>
      <c r="K41" t="s">
        <v>40</v>
      </c>
      <c r="L41" t="s">
        <v>29</v>
      </c>
      <c r="M41" t="s">
        <v>19</v>
      </c>
      <c r="N41" t="s">
        <v>21</v>
      </c>
      <c r="O41" t="s">
        <v>19</v>
      </c>
      <c r="P41" t="s">
        <v>19</v>
      </c>
      <c r="Q41" t="s">
        <v>22</v>
      </c>
    </row>
    <row r="42" spans="1:17" x14ac:dyDescent="0.35">
      <c r="A42">
        <v>1515</v>
      </c>
      <c r="B42">
        <v>79</v>
      </c>
      <c r="C42" t="s">
        <v>27</v>
      </c>
      <c r="D42">
        <v>175</v>
      </c>
      <c r="E42">
        <v>79</v>
      </c>
      <c r="F42" s="3">
        <v>29.356173534875701</v>
      </c>
      <c r="G42" s="3" t="str">
        <f t="shared" si="0"/>
        <v>Overweight</v>
      </c>
      <c r="H42" t="s">
        <v>639</v>
      </c>
      <c r="I42" t="s">
        <v>24</v>
      </c>
      <c r="J42" t="s">
        <v>19</v>
      </c>
      <c r="K42" t="s">
        <v>22</v>
      </c>
      <c r="L42" t="s">
        <v>29</v>
      </c>
      <c r="M42" t="s">
        <v>20</v>
      </c>
      <c r="N42" t="s">
        <v>21</v>
      </c>
      <c r="O42" t="s">
        <v>20</v>
      </c>
      <c r="P42" t="s">
        <v>19</v>
      </c>
      <c r="Q42" t="s">
        <v>18</v>
      </c>
    </row>
    <row r="43" spans="1:17" x14ac:dyDescent="0.35">
      <c r="A43">
        <v>41</v>
      </c>
      <c r="B43">
        <v>59</v>
      </c>
      <c r="C43" t="s">
        <v>27</v>
      </c>
      <c r="D43">
        <v>153</v>
      </c>
      <c r="E43">
        <v>87</v>
      </c>
      <c r="F43" s="3">
        <v>20.469786687080202</v>
      </c>
      <c r="G43" s="3" t="str">
        <f t="shared" si="0"/>
        <v>Normal Weight</v>
      </c>
      <c r="H43" t="s">
        <v>70</v>
      </c>
      <c r="I43" t="s">
        <v>31</v>
      </c>
      <c r="J43" t="s">
        <v>19</v>
      </c>
      <c r="K43" t="s">
        <v>18</v>
      </c>
      <c r="L43" t="s">
        <v>29</v>
      </c>
      <c r="M43" t="s">
        <v>19</v>
      </c>
      <c r="N43" t="s">
        <v>21</v>
      </c>
      <c r="O43" t="s">
        <v>20</v>
      </c>
      <c r="P43" t="s">
        <v>20</v>
      </c>
      <c r="Q43" t="s">
        <v>40</v>
      </c>
    </row>
    <row r="44" spans="1:17" x14ac:dyDescent="0.35">
      <c r="A44">
        <v>1647</v>
      </c>
      <c r="B44">
        <v>79</v>
      </c>
      <c r="C44" t="s">
        <v>27</v>
      </c>
      <c r="D44">
        <v>169</v>
      </c>
      <c r="E44">
        <v>85</v>
      </c>
      <c r="F44" s="3">
        <v>24.539466384817501</v>
      </c>
      <c r="G44" s="3" t="str">
        <f t="shared" si="0"/>
        <v>Normal Weight</v>
      </c>
      <c r="H44" t="s">
        <v>1130</v>
      </c>
      <c r="I44" t="s">
        <v>18</v>
      </c>
      <c r="J44" t="s">
        <v>19</v>
      </c>
      <c r="K44" t="s">
        <v>22</v>
      </c>
      <c r="L44" t="s">
        <v>32</v>
      </c>
      <c r="M44" t="s">
        <v>20</v>
      </c>
      <c r="N44" t="s">
        <v>25</v>
      </c>
      <c r="O44" t="s">
        <v>20</v>
      </c>
      <c r="P44" t="s">
        <v>19</v>
      </c>
      <c r="Q44" t="s">
        <v>22</v>
      </c>
    </row>
    <row r="45" spans="1:17" x14ac:dyDescent="0.35">
      <c r="A45">
        <v>42</v>
      </c>
      <c r="B45">
        <v>45</v>
      </c>
      <c r="C45" t="s">
        <v>27</v>
      </c>
      <c r="D45">
        <v>171</v>
      </c>
      <c r="E45">
        <v>86</v>
      </c>
      <c r="F45" s="3">
        <v>23.909406825116001</v>
      </c>
      <c r="G45" s="3" t="str">
        <f t="shared" si="0"/>
        <v>Normal Weight</v>
      </c>
      <c r="H45" t="s">
        <v>71</v>
      </c>
      <c r="I45" t="s">
        <v>18</v>
      </c>
      <c r="J45" t="s">
        <v>20</v>
      </c>
      <c r="K45" t="s">
        <v>18</v>
      </c>
      <c r="L45" t="s">
        <v>14</v>
      </c>
      <c r="M45" t="s">
        <v>19</v>
      </c>
      <c r="N45" t="s">
        <v>21</v>
      </c>
      <c r="O45" t="s">
        <v>20</v>
      </c>
      <c r="P45" t="s">
        <v>20</v>
      </c>
      <c r="Q45" t="s">
        <v>40</v>
      </c>
    </row>
    <row r="46" spans="1:17" x14ac:dyDescent="0.35">
      <c r="A46">
        <v>46</v>
      </c>
      <c r="B46">
        <v>79</v>
      </c>
      <c r="C46" t="s">
        <v>16</v>
      </c>
      <c r="D46">
        <v>164</v>
      </c>
      <c r="E46">
        <v>98</v>
      </c>
      <c r="F46" s="3">
        <v>26.311688379687801</v>
      </c>
      <c r="G46" s="3" t="str">
        <f t="shared" si="0"/>
        <v>Overweight</v>
      </c>
      <c r="H46" t="s">
        <v>75</v>
      </c>
      <c r="I46" t="s">
        <v>18</v>
      </c>
      <c r="J46" t="s">
        <v>19</v>
      </c>
      <c r="K46" t="s">
        <v>40</v>
      </c>
      <c r="L46" t="s">
        <v>14</v>
      </c>
      <c r="M46" t="s">
        <v>20</v>
      </c>
      <c r="N46" t="s">
        <v>21</v>
      </c>
      <c r="O46" t="s">
        <v>20</v>
      </c>
      <c r="P46" t="s">
        <v>20</v>
      </c>
      <c r="Q46" t="s">
        <v>22</v>
      </c>
    </row>
    <row r="47" spans="1:17" x14ac:dyDescent="0.35">
      <c r="A47">
        <v>48</v>
      </c>
      <c r="B47">
        <v>64</v>
      </c>
      <c r="C47" t="s">
        <v>16</v>
      </c>
      <c r="D47">
        <v>177</v>
      </c>
      <c r="E47">
        <v>60</v>
      </c>
      <c r="F47" s="3">
        <v>24.110072369988199</v>
      </c>
      <c r="G47" s="3" t="str">
        <f t="shared" si="0"/>
        <v>Normal Weight</v>
      </c>
      <c r="H47" t="s">
        <v>77</v>
      </c>
      <c r="I47" t="s">
        <v>18</v>
      </c>
      <c r="J47" t="s">
        <v>19</v>
      </c>
      <c r="K47" t="s">
        <v>18</v>
      </c>
      <c r="L47" t="s">
        <v>29</v>
      </c>
      <c r="M47" t="s">
        <v>19</v>
      </c>
      <c r="N47" t="s">
        <v>25</v>
      </c>
      <c r="O47" t="s">
        <v>19</v>
      </c>
      <c r="P47" t="s">
        <v>20</v>
      </c>
      <c r="Q47" t="s">
        <v>22</v>
      </c>
    </row>
    <row r="48" spans="1:17" x14ac:dyDescent="0.35">
      <c r="A48">
        <v>49</v>
      </c>
      <c r="B48">
        <v>79</v>
      </c>
      <c r="C48" t="s">
        <v>27</v>
      </c>
      <c r="D48">
        <v>163</v>
      </c>
      <c r="E48">
        <v>73</v>
      </c>
      <c r="F48" s="3">
        <v>32.8492197994008</v>
      </c>
      <c r="G48" s="3" t="str">
        <f t="shared" si="0"/>
        <v>Obese</v>
      </c>
      <c r="H48" t="s">
        <v>78</v>
      </c>
      <c r="I48" t="s">
        <v>31</v>
      </c>
      <c r="J48" t="s">
        <v>19</v>
      </c>
      <c r="K48" t="s">
        <v>40</v>
      </c>
      <c r="L48" t="s">
        <v>32</v>
      </c>
      <c r="M48" t="s">
        <v>20</v>
      </c>
      <c r="N48" t="s">
        <v>21</v>
      </c>
      <c r="O48" t="s">
        <v>20</v>
      </c>
      <c r="P48" t="s">
        <v>19</v>
      </c>
      <c r="Q48" t="s">
        <v>40</v>
      </c>
    </row>
    <row r="49" spans="1:17" x14ac:dyDescent="0.35">
      <c r="A49">
        <v>35</v>
      </c>
      <c r="B49">
        <v>78</v>
      </c>
      <c r="C49" t="s">
        <v>27</v>
      </c>
      <c r="D49">
        <v>184</v>
      </c>
      <c r="E49">
        <v>70</v>
      </c>
      <c r="F49" s="3">
        <v>34.594271066798299</v>
      </c>
      <c r="G49" s="3" t="str">
        <f t="shared" si="0"/>
        <v>Obese</v>
      </c>
      <c r="H49" t="s">
        <v>64</v>
      </c>
      <c r="I49" t="s">
        <v>18</v>
      </c>
      <c r="J49" t="s">
        <v>20</v>
      </c>
      <c r="K49" t="s">
        <v>22</v>
      </c>
      <c r="L49" t="s">
        <v>32</v>
      </c>
      <c r="M49" t="s">
        <v>19</v>
      </c>
      <c r="N49" t="s">
        <v>25</v>
      </c>
      <c r="O49" t="s">
        <v>20</v>
      </c>
      <c r="P49" t="s">
        <v>19</v>
      </c>
      <c r="Q49" t="s">
        <v>22</v>
      </c>
    </row>
    <row r="50" spans="1:17" x14ac:dyDescent="0.35">
      <c r="A50">
        <v>51</v>
      </c>
      <c r="B50">
        <v>61</v>
      </c>
      <c r="C50" t="s">
        <v>27</v>
      </c>
      <c r="D50">
        <v>189</v>
      </c>
      <c r="E50">
        <v>70</v>
      </c>
      <c r="F50" s="3">
        <v>31.317174213942401</v>
      </c>
      <c r="G50" s="3" t="str">
        <f t="shared" si="0"/>
        <v>Obese</v>
      </c>
      <c r="H50" t="s">
        <v>80</v>
      </c>
      <c r="I50" t="s">
        <v>31</v>
      </c>
      <c r="J50" t="s">
        <v>20</v>
      </c>
      <c r="K50" t="s">
        <v>18</v>
      </c>
      <c r="L50" t="s">
        <v>29</v>
      </c>
      <c r="M50" t="s">
        <v>20</v>
      </c>
      <c r="N50" t="s">
        <v>25</v>
      </c>
      <c r="O50" t="s">
        <v>19</v>
      </c>
      <c r="P50" t="s">
        <v>20</v>
      </c>
      <c r="Q50" t="s">
        <v>22</v>
      </c>
    </row>
    <row r="51" spans="1:17" x14ac:dyDescent="0.35">
      <c r="A51">
        <v>53</v>
      </c>
      <c r="B51">
        <v>69</v>
      </c>
      <c r="C51" t="s">
        <v>27</v>
      </c>
      <c r="D51">
        <v>175</v>
      </c>
      <c r="E51">
        <v>89</v>
      </c>
      <c r="F51" s="3">
        <v>21.499991271816</v>
      </c>
      <c r="G51" s="3" t="str">
        <f t="shared" si="0"/>
        <v>Normal Weight</v>
      </c>
      <c r="H51" t="s">
        <v>82</v>
      </c>
      <c r="I51" t="s">
        <v>24</v>
      </c>
      <c r="J51" t="s">
        <v>19</v>
      </c>
      <c r="K51" t="s">
        <v>18</v>
      </c>
      <c r="L51" t="s">
        <v>38</v>
      </c>
      <c r="M51" t="s">
        <v>19</v>
      </c>
      <c r="N51" t="s">
        <v>25</v>
      </c>
      <c r="O51" t="s">
        <v>19</v>
      </c>
      <c r="P51" t="s">
        <v>19</v>
      </c>
      <c r="Q51" t="s">
        <v>18</v>
      </c>
    </row>
    <row r="52" spans="1:17" x14ac:dyDescent="0.35">
      <c r="A52">
        <v>412</v>
      </c>
      <c r="B52">
        <v>78</v>
      </c>
      <c r="C52" t="s">
        <v>16</v>
      </c>
      <c r="D52">
        <v>172</v>
      </c>
      <c r="E52">
        <v>59</v>
      </c>
      <c r="F52" s="3">
        <v>24.6210662577707</v>
      </c>
      <c r="G52" s="3" t="str">
        <f t="shared" si="0"/>
        <v>Normal Weight</v>
      </c>
      <c r="H52" t="s">
        <v>381</v>
      </c>
      <c r="I52" t="s">
        <v>31</v>
      </c>
      <c r="J52" t="s">
        <v>20</v>
      </c>
      <c r="K52" t="s">
        <v>22</v>
      </c>
      <c r="L52" t="s">
        <v>38</v>
      </c>
      <c r="M52" t="s">
        <v>20</v>
      </c>
      <c r="N52" t="s">
        <v>25</v>
      </c>
      <c r="O52" t="s">
        <v>19</v>
      </c>
      <c r="P52" t="s">
        <v>19</v>
      </c>
      <c r="Q52" t="s">
        <v>40</v>
      </c>
    </row>
    <row r="53" spans="1:17" x14ac:dyDescent="0.35">
      <c r="A53">
        <v>454</v>
      </c>
      <c r="B53">
        <v>78</v>
      </c>
      <c r="C53" t="s">
        <v>27</v>
      </c>
      <c r="D53">
        <v>160</v>
      </c>
      <c r="E53">
        <v>67</v>
      </c>
      <c r="F53" s="3">
        <v>27.1805512186504</v>
      </c>
      <c r="G53" s="3" t="str">
        <f t="shared" si="0"/>
        <v>Overweight</v>
      </c>
      <c r="H53" t="s">
        <v>430</v>
      </c>
      <c r="I53" t="s">
        <v>18</v>
      </c>
      <c r="J53" t="s">
        <v>20</v>
      </c>
      <c r="K53" t="s">
        <v>22</v>
      </c>
      <c r="L53" t="s">
        <v>38</v>
      </c>
      <c r="M53" t="s">
        <v>20</v>
      </c>
      <c r="N53" t="s">
        <v>25</v>
      </c>
      <c r="O53" t="s">
        <v>20</v>
      </c>
      <c r="P53" t="s">
        <v>19</v>
      </c>
      <c r="Q53" t="s">
        <v>22</v>
      </c>
    </row>
    <row r="54" spans="1:17" x14ac:dyDescent="0.35">
      <c r="A54">
        <v>482</v>
      </c>
      <c r="B54">
        <v>78</v>
      </c>
      <c r="C54" t="s">
        <v>27</v>
      </c>
      <c r="D54">
        <v>153</v>
      </c>
      <c r="E54">
        <v>66</v>
      </c>
      <c r="F54" s="3">
        <v>32.386763124455697</v>
      </c>
      <c r="G54" s="3" t="str">
        <f t="shared" si="0"/>
        <v>Obese</v>
      </c>
      <c r="H54" t="s">
        <v>452</v>
      </c>
      <c r="I54" t="s">
        <v>24</v>
      </c>
      <c r="J54" t="s">
        <v>20</v>
      </c>
      <c r="K54" t="s">
        <v>22</v>
      </c>
      <c r="L54" t="s">
        <v>29</v>
      </c>
      <c r="M54" t="s">
        <v>19</v>
      </c>
      <c r="N54" t="s">
        <v>25</v>
      </c>
      <c r="O54" t="s">
        <v>20</v>
      </c>
      <c r="P54" t="s">
        <v>19</v>
      </c>
      <c r="Q54" t="s">
        <v>18</v>
      </c>
    </row>
    <row r="55" spans="1:17" x14ac:dyDescent="0.35">
      <c r="A55">
        <v>54</v>
      </c>
      <c r="B55">
        <v>74</v>
      </c>
      <c r="C55" t="s">
        <v>16</v>
      </c>
      <c r="D55">
        <v>151</v>
      </c>
      <c r="E55">
        <v>68</v>
      </c>
      <c r="F55" s="3">
        <v>25.600717784141299</v>
      </c>
      <c r="G55" s="3" t="str">
        <f t="shared" si="0"/>
        <v>Overweight</v>
      </c>
      <c r="H55" t="s">
        <v>83</v>
      </c>
      <c r="I55" t="s">
        <v>24</v>
      </c>
      <c r="J55" t="s">
        <v>19</v>
      </c>
      <c r="K55" t="s">
        <v>40</v>
      </c>
      <c r="L55" t="s">
        <v>32</v>
      </c>
      <c r="M55" t="s">
        <v>19</v>
      </c>
      <c r="N55" t="s">
        <v>21</v>
      </c>
      <c r="O55" t="s">
        <v>20</v>
      </c>
      <c r="P55" t="s">
        <v>19</v>
      </c>
      <c r="Q55" t="s">
        <v>18</v>
      </c>
    </row>
    <row r="56" spans="1:17" x14ac:dyDescent="0.35">
      <c r="A56">
        <v>622</v>
      </c>
      <c r="B56">
        <v>78</v>
      </c>
      <c r="C56" t="s">
        <v>27</v>
      </c>
      <c r="D56">
        <v>163</v>
      </c>
      <c r="E56">
        <v>89</v>
      </c>
      <c r="F56" s="3">
        <v>34.710962579920498</v>
      </c>
      <c r="G56" s="3" t="str">
        <f t="shared" si="0"/>
        <v>Obese</v>
      </c>
      <c r="H56" t="s">
        <v>469</v>
      </c>
      <c r="I56" t="s">
        <v>31</v>
      </c>
      <c r="J56" t="s">
        <v>20</v>
      </c>
      <c r="K56" t="s">
        <v>22</v>
      </c>
      <c r="L56" t="s">
        <v>14</v>
      </c>
      <c r="M56" t="s">
        <v>20</v>
      </c>
      <c r="N56" t="s">
        <v>21</v>
      </c>
      <c r="O56" t="s">
        <v>19</v>
      </c>
      <c r="P56" t="s">
        <v>19</v>
      </c>
      <c r="Q56" t="s">
        <v>18</v>
      </c>
    </row>
    <row r="57" spans="1:17" x14ac:dyDescent="0.35">
      <c r="A57">
        <v>55</v>
      </c>
      <c r="B57">
        <v>20</v>
      </c>
      <c r="C57" t="s">
        <v>16</v>
      </c>
      <c r="D57">
        <v>174</v>
      </c>
      <c r="E57">
        <v>88</v>
      </c>
      <c r="F57" s="3">
        <v>21.230746281950299</v>
      </c>
      <c r="G57" s="3" t="str">
        <f t="shared" si="0"/>
        <v>Normal Weight</v>
      </c>
      <c r="H57" t="s">
        <v>84</v>
      </c>
      <c r="I57" t="s">
        <v>24</v>
      </c>
      <c r="J57" t="s">
        <v>19</v>
      </c>
      <c r="K57" t="s">
        <v>18</v>
      </c>
      <c r="L57" t="s">
        <v>32</v>
      </c>
      <c r="M57" t="s">
        <v>19</v>
      </c>
      <c r="N57" t="s">
        <v>25</v>
      </c>
      <c r="O57" t="s">
        <v>19</v>
      </c>
      <c r="P57" t="s">
        <v>20</v>
      </c>
      <c r="Q57" t="s">
        <v>22</v>
      </c>
    </row>
    <row r="58" spans="1:17" x14ac:dyDescent="0.35">
      <c r="A58">
        <v>713</v>
      </c>
      <c r="B58">
        <v>78</v>
      </c>
      <c r="C58" t="s">
        <v>27</v>
      </c>
      <c r="D58">
        <v>160</v>
      </c>
      <c r="E58">
        <v>85</v>
      </c>
      <c r="F58" s="3">
        <v>19.427529440087898</v>
      </c>
      <c r="G58" s="3" t="str">
        <f t="shared" si="0"/>
        <v>Normal Weight</v>
      </c>
      <c r="H58" t="s">
        <v>406</v>
      </c>
      <c r="I58" t="s">
        <v>18</v>
      </c>
      <c r="J58" t="s">
        <v>19</v>
      </c>
      <c r="K58" t="s">
        <v>22</v>
      </c>
      <c r="L58" t="s">
        <v>38</v>
      </c>
      <c r="M58" t="s">
        <v>20</v>
      </c>
      <c r="N58" t="s">
        <v>21</v>
      </c>
      <c r="O58" t="s">
        <v>20</v>
      </c>
      <c r="P58" t="s">
        <v>19</v>
      </c>
      <c r="Q58" t="s">
        <v>18</v>
      </c>
    </row>
    <row r="59" spans="1:17" x14ac:dyDescent="0.35">
      <c r="A59">
        <v>57</v>
      </c>
      <c r="B59">
        <v>68</v>
      </c>
      <c r="C59" t="s">
        <v>27</v>
      </c>
      <c r="D59">
        <v>157</v>
      </c>
      <c r="E59">
        <v>66</v>
      </c>
      <c r="F59" s="3">
        <v>27.3332381730173</v>
      </c>
      <c r="G59" s="3" t="str">
        <f t="shared" si="0"/>
        <v>Overweight</v>
      </c>
      <c r="H59" t="s">
        <v>86</v>
      </c>
      <c r="I59" t="s">
        <v>31</v>
      </c>
      <c r="J59" t="s">
        <v>19</v>
      </c>
      <c r="K59" t="s">
        <v>18</v>
      </c>
      <c r="L59" t="s">
        <v>32</v>
      </c>
      <c r="M59" t="s">
        <v>19</v>
      </c>
      <c r="N59" t="s">
        <v>21</v>
      </c>
      <c r="O59" t="s">
        <v>19</v>
      </c>
      <c r="P59" t="s">
        <v>20</v>
      </c>
      <c r="Q59" t="s">
        <v>40</v>
      </c>
    </row>
    <row r="60" spans="1:17" x14ac:dyDescent="0.35">
      <c r="A60">
        <v>784</v>
      </c>
      <c r="B60">
        <v>78</v>
      </c>
      <c r="C60" t="s">
        <v>16</v>
      </c>
      <c r="D60">
        <v>156</v>
      </c>
      <c r="E60">
        <v>74</v>
      </c>
      <c r="F60" s="3">
        <v>26.016851902836699</v>
      </c>
      <c r="G60" s="3" t="str">
        <f t="shared" si="0"/>
        <v>Overweight</v>
      </c>
      <c r="H60" t="s">
        <v>511</v>
      </c>
      <c r="I60" t="s">
        <v>18</v>
      </c>
      <c r="J60" t="s">
        <v>20</v>
      </c>
      <c r="K60" t="s">
        <v>22</v>
      </c>
      <c r="L60" t="s">
        <v>14</v>
      </c>
      <c r="M60" t="s">
        <v>20</v>
      </c>
      <c r="N60" t="s">
        <v>21</v>
      </c>
      <c r="O60" t="s">
        <v>20</v>
      </c>
      <c r="P60" t="s">
        <v>19</v>
      </c>
      <c r="Q60" t="s">
        <v>40</v>
      </c>
    </row>
    <row r="61" spans="1:17" x14ac:dyDescent="0.35">
      <c r="A61">
        <v>834</v>
      </c>
      <c r="B61">
        <v>78</v>
      </c>
      <c r="C61" t="s">
        <v>16</v>
      </c>
      <c r="D61">
        <v>155</v>
      </c>
      <c r="E61">
        <v>71</v>
      </c>
      <c r="F61" s="3">
        <v>21.988615756982</v>
      </c>
      <c r="G61" s="3" t="str">
        <f t="shared" si="0"/>
        <v>Normal Weight</v>
      </c>
      <c r="H61" t="s">
        <v>711</v>
      </c>
      <c r="I61" t="s">
        <v>31</v>
      </c>
      <c r="J61" t="s">
        <v>19</v>
      </c>
      <c r="K61" t="s">
        <v>22</v>
      </c>
      <c r="L61" t="s">
        <v>14</v>
      </c>
      <c r="M61" t="s">
        <v>20</v>
      </c>
      <c r="N61" t="s">
        <v>21</v>
      </c>
      <c r="O61" t="s">
        <v>20</v>
      </c>
      <c r="P61" t="s">
        <v>19</v>
      </c>
      <c r="Q61" t="s">
        <v>18</v>
      </c>
    </row>
    <row r="62" spans="1:17" x14ac:dyDescent="0.35">
      <c r="A62">
        <v>867</v>
      </c>
      <c r="B62">
        <v>78</v>
      </c>
      <c r="C62" t="s">
        <v>16</v>
      </c>
      <c r="D62">
        <v>172</v>
      </c>
      <c r="E62">
        <v>92</v>
      </c>
      <c r="F62" s="3">
        <v>30.191628505169099</v>
      </c>
      <c r="G62" s="3" t="str">
        <f t="shared" si="0"/>
        <v>Obese</v>
      </c>
      <c r="H62" t="s">
        <v>673</v>
      </c>
      <c r="I62" t="s">
        <v>24</v>
      </c>
      <c r="J62" t="s">
        <v>20</v>
      </c>
      <c r="K62" t="s">
        <v>22</v>
      </c>
      <c r="L62" t="s">
        <v>14</v>
      </c>
      <c r="M62" t="s">
        <v>20</v>
      </c>
      <c r="N62" t="s">
        <v>25</v>
      </c>
      <c r="O62" t="s">
        <v>19</v>
      </c>
      <c r="P62" t="s">
        <v>19</v>
      </c>
      <c r="Q62" t="s">
        <v>22</v>
      </c>
    </row>
    <row r="63" spans="1:17" x14ac:dyDescent="0.35">
      <c r="A63">
        <v>59</v>
      </c>
      <c r="B63">
        <v>38</v>
      </c>
      <c r="C63" t="s">
        <v>16</v>
      </c>
      <c r="D63">
        <v>184</v>
      </c>
      <c r="E63">
        <v>68</v>
      </c>
      <c r="F63" s="3">
        <v>21.742034954777399</v>
      </c>
      <c r="G63" s="3" t="str">
        <f t="shared" si="0"/>
        <v>Normal Weight</v>
      </c>
      <c r="H63" t="s">
        <v>88</v>
      </c>
      <c r="I63" t="s">
        <v>18</v>
      </c>
      <c r="J63" t="s">
        <v>19</v>
      </c>
      <c r="K63" t="s">
        <v>18</v>
      </c>
      <c r="L63" t="s">
        <v>14</v>
      </c>
      <c r="M63" t="s">
        <v>20</v>
      </c>
      <c r="N63" t="s">
        <v>21</v>
      </c>
      <c r="O63" t="s">
        <v>19</v>
      </c>
      <c r="P63" t="s">
        <v>20</v>
      </c>
      <c r="Q63" t="s">
        <v>40</v>
      </c>
    </row>
    <row r="64" spans="1:17" x14ac:dyDescent="0.35">
      <c r="A64">
        <v>60</v>
      </c>
      <c r="B64">
        <v>26</v>
      </c>
      <c r="C64" t="s">
        <v>16</v>
      </c>
      <c r="D64">
        <v>155</v>
      </c>
      <c r="E64">
        <v>87</v>
      </c>
      <c r="F64" s="3">
        <v>21.9938067238649</v>
      </c>
      <c r="G64" s="3" t="str">
        <f t="shared" si="0"/>
        <v>Normal Weight</v>
      </c>
      <c r="H64" t="s">
        <v>89</v>
      </c>
      <c r="I64" t="s">
        <v>24</v>
      </c>
      <c r="J64" t="s">
        <v>19</v>
      </c>
      <c r="K64" t="s">
        <v>18</v>
      </c>
      <c r="L64" t="s">
        <v>32</v>
      </c>
      <c r="M64" t="s">
        <v>19</v>
      </c>
      <c r="N64" t="s">
        <v>21</v>
      </c>
      <c r="O64" t="s">
        <v>19</v>
      </c>
      <c r="P64" t="s">
        <v>20</v>
      </c>
      <c r="Q64" t="s">
        <v>18</v>
      </c>
    </row>
    <row r="65" spans="1:17" x14ac:dyDescent="0.35">
      <c r="A65">
        <v>977</v>
      </c>
      <c r="B65">
        <v>78</v>
      </c>
      <c r="C65" t="s">
        <v>16</v>
      </c>
      <c r="D65">
        <v>177</v>
      </c>
      <c r="E65">
        <v>81</v>
      </c>
      <c r="F65" s="3">
        <v>22.5967434139089</v>
      </c>
      <c r="G65" s="3" t="str">
        <f t="shared" si="0"/>
        <v>Normal Weight</v>
      </c>
      <c r="H65" t="s">
        <v>788</v>
      </c>
      <c r="I65" t="s">
        <v>31</v>
      </c>
      <c r="J65" t="s">
        <v>20</v>
      </c>
      <c r="K65" t="s">
        <v>22</v>
      </c>
      <c r="L65" t="s">
        <v>14</v>
      </c>
      <c r="M65" t="s">
        <v>20</v>
      </c>
      <c r="N65" t="s">
        <v>21</v>
      </c>
      <c r="O65" t="s">
        <v>19</v>
      </c>
      <c r="P65" t="s">
        <v>19</v>
      </c>
      <c r="Q65" t="s">
        <v>22</v>
      </c>
    </row>
    <row r="66" spans="1:17" x14ac:dyDescent="0.35">
      <c r="A66">
        <v>1152</v>
      </c>
      <c r="B66">
        <v>78</v>
      </c>
      <c r="C66" t="s">
        <v>27</v>
      </c>
      <c r="D66">
        <v>175</v>
      </c>
      <c r="E66">
        <v>90</v>
      </c>
      <c r="F66" s="3">
        <v>19.851984244129401</v>
      </c>
      <c r="G66" s="3" t="str">
        <f t="shared" si="0"/>
        <v>Normal Weight</v>
      </c>
      <c r="H66" t="s">
        <v>203</v>
      </c>
      <c r="I66" t="s">
        <v>31</v>
      </c>
      <c r="J66" t="s">
        <v>20</v>
      </c>
      <c r="K66" t="s">
        <v>22</v>
      </c>
      <c r="L66" t="s">
        <v>14</v>
      </c>
      <c r="M66" t="s">
        <v>20</v>
      </c>
      <c r="N66" t="s">
        <v>21</v>
      </c>
      <c r="O66" t="s">
        <v>20</v>
      </c>
      <c r="P66" t="s">
        <v>19</v>
      </c>
      <c r="Q66" t="s">
        <v>40</v>
      </c>
    </row>
    <row r="67" spans="1:17" x14ac:dyDescent="0.35">
      <c r="A67">
        <v>61</v>
      </c>
      <c r="B67">
        <v>56</v>
      </c>
      <c r="C67" t="s">
        <v>27</v>
      </c>
      <c r="D67">
        <v>188</v>
      </c>
      <c r="E67">
        <v>77</v>
      </c>
      <c r="F67" s="3">
        <v>19.184705870913401</v>
      </c>
      <c r="G67" s="3" t="str">
        <f t="shared" ref="G67:G130" si="1">_xlfn.IFS(F67&lt;18.5, "Underweight", F67&lt;=24.9, "Normal Weight", F67&lt;=29.9, "Overweight", TRUE, "Obese")</f>
        <v>Normal Weight</v>
      </c>
      <c r="H67" t="s">
        <v>90</v>
      </c>
      <c r="I67" t="s">
        <v>18</v>
      </c>
      <c r="J67" t="s">
        <v>19</v>
      </c>
      <c r="K67" t="s">
        <v>18</v>
      </c>
      <c r="L67" t="s">
        <v>32</v>
      </c>
      <c r="M67" t="s">
        <v>19</v>
      </c>
      <c r="N67" t="s">
        <v>21</v>
      </c>
      <c r="O67" t="s">
        <v>20</v>
      </c>
      <c r="P67" t="s">
        <v>19</v>
      </c>
      <c r="Q67" t="s">
        <v>40</v>
      </c>
    </row>
    <row r="68" spans="1:17" x14ac:dyDescent="0.35">
      <c r="A68">
        <v>67</v>
      </c>
      <c r="B68">
        <v>67</v>
      </c>
      <c r="C68" t="s">
        <v>16</v>
      </c>
      <c r="D68">
        <v>161</v>
      </c>
      <c r="E68">
        <v>75</v>
      </c>
      <c r="F68" s="3">
        <v>34.226481887503198</v>
      </c>
      <c r="G68" s="3" t="str">
        <f t="shared" si="1"/>
        <v>Obese</v>
      </c>
      <c r="H68" t="s">
        <v>96</v>
      </c>
      <c r="I68" t="s">
        <v>31</v>
      </c>
      <c r="J68" t="s">
        <v>20</v>
      </c>
      <c r="K68" t="s">
        <v>18</v>
      </c>
      <c r="L68" t="s">
        <v>29</v>
      </c>
      <c r="M68" t="s">
        <v>19</v>
      </c>
      <c r="N68" t="s">
        <v>21</v>
      </c>
      <c r="O68" t="s">
        <v>19</v>
      </c>
      <c r="P68" t="s">
        <v>19</v>
      </c>
      <c r="Q68" t="s">
        <v>18</v>
      </c>
    </row>
    <row r="69" spans="1:17" x14ac:dyDescent="0.35">
      <c r="A69">
        <v>68</v>
      </c>
      <c r="B69">
        <v>75</v>
      </c>
      <c r="C69" t="s">
        <v>27</v>
      </c>
      <c r="D69">
        <v>159</v>
      </c>
      <c r="E69">
        <v>98</v>
      </c>
      <c r="F69" s="3">
        <v>30.367545809501198</v>
      </c>
      <c r="G69" s="3" t="str">
        <f t="shared" si="1"/>
        <v>Obese</v>
      </c>
      <c r="H69" t="s">
        <v>97</v>
      </c>
      <c r="I69" t="s">
        <v>31</v>
      </c>
      <c r="J69" t="s">
        <v>20</v>
      </c>
      <c r="K69" t="s">
        <v>40</v>
      </c>
      <c r="L69" t="s">
        <v>32</v>
      </c>
      <c r="M69" t="s">
        <v>20</v>
      </c>
      <c r="N69" t="s">
        <v>25</v>
      </c>
      <c r="O69" t="s">
        <v>19</v>
      </c>
      <c r="P69" t="s">
        <v>20</v>
      </c>
      <c r="Q69" t="s">
        <v>22</v>
      </c>
    </row>
    <row r="70" spans="1:17" x14ac:dyDescent="0.35">
      <c r="A70">
        <v>1429</v>
      </c>
      <c r="B70">
        <v>78</v>
      </c>
      <c r="C70" t="s">
        <v>16</v>
      </c>
      <c r="D70">
        <v>188</v>
      </c>
      <c r="E70">
        <v>63</v>
      </c>
      <c r="F70" s="3">
        <v>26.0836434035932</v>
      </c>
      <c r="G70" s="3" t="str">
        <f t="shared" si="1"/>
        <v>Overweight</v>
      </c>
      <c r="H70" t="s">
        <v>1040</v>
      </c>
      <c r="I70" t="s">
        <v>18</v>
      </c>
      <c r="J70" t="s">
        <v>19</v>
      </c>
      <c r="K70" t="s">
        <v>22</v>
      </c>
      <c r="L70" t="s">
        <v>38</v>
      </c>
      <c r="M70" t="s">
        <v>19</v>
      </c>
      <c r="N70" t="s">
        <v>21</v>
      </c>
      <c r="O70" t="s">
        <v>20</v>
      </c>
      <c r="P70" t="s">
        <v>19</v>
      </c>
      <c r="Q70" t="s">
        <v>18</v>
      </c>
    </row>
    <row r="71" spans="1:17" x14ac:dyDescent="0.35">
      <c r="A71">
        <v>1469</v>
      </c>
      <c r="B71">
        <v>78</v>
      </c>
      <c r="C71" t="s">
        <v>16</v>
      </c>
      <c r="D71">
        <v>185</v>
      </c>
      <c r="E71">
        <v>85</v>
      </c>
      <c r="F71" s="3">
        <v>25.6951629236186</v>
      </c>
      <c r="G71" s="3" t="str">
        <f t="shared" si="1"/>
        <v>Overweight</v>
      </c>
      <c r="H71" t="s">
        <v>156</v>
      </c>
      <c r="I71" t="s">
        <v>24</v>
      </c>
      <c r="J71" t="s">
        <v>20</v>
      </c>
      <c r="K71" t="s">
        <v>22</v>
      </c>
      <c r="L71" t="s">
        <v>38</v>
      </c>
      <c r="M71" t="s">
        <v>20</v>
      </c>
      <c r="N71" t="s">
        <v>21</v>
      </c>
      <c r="O71" t="s">
        <v>19</v>
      </c>
      <c r="P71" t="s">
        <v>19</v>
      </c>
      <c r="Q71" t="s">
        <v>40</v>
      </c>
    </row>
    <row r="72" spans="1:17" x14ac:dyDescent="0.35">
      <c r="A72">
        <v>1634</v>
      </c>
      <c r="B72">
        <v>78</v>
      </c>
      <c r="C72" t="s">
        <v>27</v>
      </c>
      <c r="D72">
        <v>156</v>
      </c>
      <c r="E72">
        <v>54</v>
      </c>
      <c r="F72" s="3">
        <v>31.5434745243051</v>
      </c>
      <c r="G72" s="3" t="str">
        <f t="shared" si="1"/>
        <v>Obese</v>
      </c>
      <c r="H72" t="s">
        <v>797</v>
      </c>
      <c r="I72" t="s">
        <v>18</v>
      </c>
      <c r="J72" t="s">
        <v>20</v>
      </c>
      <c r="K72" t="s">
        <v>22</v>
      </c>
      <c r="L72" t="s">
        <v>38</v>
      </c>
      <c r="M72" t="s">
        <v>19</v>
      </c>
      <c r="N72" t="s">
        <v>21</v>
      </c>
      <c r="O72" t="s">
        <v>20</v>
      </c>
      <c r="P72" t="s">
        <v>19</v>
      </c>
      <c r="Q72" t="s">
        <v>18</v>
      </c>
    </row>
    <row r="73" spans="1:17" x14ac:dyDescent="0.35">
      <c r="A73">
        <v>1702</v>
      </c>
      <c r="B73">
        <v>78</v>
      </c>
      <c r="C73" t="s">
        <v>27</v>
      </c>
      <c r="D73">
        <v>181</v>
      </c>
      <c r="E73">
        <v>55</v>
      </c>
      <c r="F73" s="3">
        <v>23.789365169272202</v>
      </c>
      <c r="G73" s="3" t="str">
        <f t="shared" si="1"/>
        <v>Normal Weight</v>
      </c>
      <c r="H73" t="s">
        <v>1156</v>
      </c>
      <c r="I73" t="s">
        <v>24</v>
      </c>
      <c r="J73" t="s">
        <v>19</v>
      </c>
      <c r="K73" t="s">
        <v>22</v>
      </c>
      <c r="L73" t="s">
        <v>38</v>
      </c>
      <c r="M73" t="s">
        <v>20</v>
      </c>
      <c r="N73" t="s">
        <v>25</v>
      </c>
      <c r="O73" t="s">
        <v>19</v>
      </c>
      <c r="P73" t="s">
        <v>19</v>
      </c>
      <c r="Q73" t="s">
        <v>40</v>
      </c>
    </row>
    <row r="74" spans="1:17" x14ac:dyDescent="0.35">
      <c r="A74">
        <v>73</v>
      </c>
      <c r="B74">
        <v>37</v>
      </c>
      <c r="C74" t="s">
        <v>27</v>
      </c>
      <c r="D74">
        <v>186</v>
      </c>
      <c r="E74">
        <v>66</v>
      </c>
      <c r="F74" s="3">
        <v>30.480400049483499</v>
      </c>
      <c r="G74" s="3" t="str">
        <f t="shared" si="1"/>
        <v>Obese</v>
      </c>
      <c r="H74" t="s">
        <v>102</v>
      </c>
      <c r="I74" t="s">
        <v>24</v>
      </c>
      <c r="J74" t="s">
        <v>20</v>
      </c>
      <c r="K74" t="s">
        <v>18</v>
      </c>
      <c r="L74" t="s">
        <v>38</v>
      </c>
      <c r="M74" t="s">
        <v>20</v>
      </c>
      <c r="N74" t="s">
        <v>25</v>
      </c>
      <c r="O74" t="s">
        <v>19</v>
      </c>
      <c r="P74" t="s">
        <v>19</v>
      </c>
      <c r="Q74" t="s">
        <v>40</v>
      </c>
    </row>
    <row r="75" spans="1:17" x14ac:dyDescent="0.35">
      <c r="A75">
        <v>78</v>
      </c>
      <c r="B75">
        <v>61</v>
      </c>
      <c r="C75" t="s">
        <v>16</v>
      </c>
      <c r="D75">
        <v>189</v>
      </c>
      <c r="E75">
        <v>84</v>
      </c>
      <c r="F75" s="3">
        <v>28.409622750287699</v>
      </c>
      <c r="G75" s="3" t="str">
        <f t="shared" si="1"/>
        <v>Overweight</v>
      </c>
      <c r="H75" t="s">
        <v>28</v>
      </c>
      <c r="I75" t="s">
        <v>24</v>
      </c>
      <c r="J75" t="s">
        <v>19</v>
      </c>
      <c r="K75" t="s">
        <v>18</v>
      </c>
      <c r="L75" t="s">
        <v>38</v>
      </c>
      <c r="M75" t="s">
        <v>20</v>
      </c>
      <c r="N75" t="s">
        <v>25</v>
      </c>
      <c r="O75" t="s">
        <v>20</v>
      </c>
      <c r="P75" t="s">
        <v>19</v>
      </c>
      <c r="Q75" t="s">
        <v>22</v>
      </c>
    </row>
    <row r="76" spans="1:17" x14ac:dyDescent="0.35">
      <c r="A76">
        <v>79</v>
      </c>
      <c r="B76">
        <v>78</v>
      </c>
      <c r="C76" t="s">
        <v>16</v>
      </c>
      <c r="D76">
        <v>167</v>
      </c>
      <c r="E76">
        <v>95</v>
      </c>
      <c r="F76" s="3">
        <v>21.243212950770001</v>
      </c>
      <c r="G76" s="3" t="str">
        <f t="shared" si="1"/>
        <v>Normal Weight</v>
      </c>
      <c r="H76" t="s">
        <v>107</v>
      </c>
      <c r="I76" t="s">
        <v>18</v>
      </c>
      <c r="J76" t="s">
        <v>20</v>
      </c>
      <c r="K76" t="s">
        <v>40</v>
      </c>
      <c r="L76" t="s">
        <v>32</v>
      </c>
      <c r="M76" t="s">
        <v>19</v>
      </c>
      <c r="N76" t="s">
        <v>25</v>
      </c>
      <c r="O76" t="s">
        <v>20</v>
      </c>
      <c r="P76" t="s">
        <v>20</v>
      </c>
      <c r="Q76" t="s">
        <v>40</v>
      </c>
    </row>
    <row r="77" spans="1:17" x14ac:dyDescent="0.35">
      <c r="A77">
        <v>29</v>
      </c>
      <c r="B77">
        <v>77</v>
      </c>
      <c r="C77" t="s">
        <v>27</v>
      </c>
      <c r="D77">
        <v>171</v>
      </c>
      <c r="E77">
        <v>80</v>
      </c>
      <c r="F77" s="3">
        <v>27.585897577403301</v>
      </c>
      <c r="G77" s="3" t="str">
        <f t="shared" si="1"/>
        <v>Overweight</v>
      </c>
      <c r="H77" t="s">
        <v>58</v>
      </c>
      <c r="I77" t="s">
        <v>18</v>
      </c>
      <c r="J77" t="s">
        <v>20</v>
      </c>
      <c r="K77" t="s">
        <v>22</v>
      </c>
      <c r="L77" t="s">
        <v>14</v>
      </c>
      <c r="M77" t="s">
        <v>19</v>
      </c>
      <c r="N77" t="s">
        <v>21</v>
      </c>
      <c r="O77" t="s">
        <v>20</v>
      </c>
      <c r="P77" t="s">
        <v>20</v>
      </c>
      <c r="Q77" t="s">
        <v>22</v>
      </c>
    </row>
    <row r="78" spans="1:17" x14ac:dyDescent="0.35">
      <c r="A78">
        <v>43</v>
      </c>
      <c r="B78">
        <v>77</v>
      </c>
      <c r="C78" t="s">
        <v>16</v>
      </c>
      <c r="D78">
        <v>164</v>
      </c>
      <c r="E78">
        <v>94</v>
      </c>
      <c r="F78" s="3">
        <v>31.9597987803309</v>
      </c>
      <c r="G78" s="3" t="str">
        <f t="shared" si="1"/>
        <v>Obese</v>
      </c>
      <c r="H78" t="s">
        <v>72</v>
      </c>
      <c r="I78" t="s">
        <v>18</v>
      </c>
      <c r="J78" t="s">
        <v>20</v>
      </c>
      <c r="K78" t="s">
        <v>22</v>
      </c>
      <c r="L78" t="s">
        <v>38</v>
      </c>
      <c r="M78" t="s">
        <v>19</v>
      </c>
      <c r="N78" t="s">
        <v>21</v>
      </c>
      <c r="O78" t="s">
        <v>19</v>
      </c>
      <c r="P78" t="s">
        <v>19</v>
      </c>
      <c r="Q78" t="s">
        <v>18</v>
      </c>
    </row>
    <row r="79" spans="1:17" x14ac:dyDescent="0.35">
      <c r="A79">
        <v>65</v>
      </c>
      <c r="B79">
        <v>77</v>
      </c>
      <c r="C79" t="s">
        <v>16</v>
      </c>
      <c r="D79">
        <v>154</v>
      </c>
      <c r="E79">
        <v>53</v>
      </c>
      <c r="F79" s="3">
        <v>29.504302883068199</v>
      </c>
      <c r="G79" s="3" t="str">
        <f t="shared" si="1"/>
        <v>Overweight</v>
      </c>
      <c r="H79" t="s">
        <v>94</v>
      </c>
      <c r="I79" t="s">
        <v>31</v>
      </c>
      <c r="J79" t="s">
        <v>20</v>
      </c>
      <c r="K79" t="s">
        <v>22</v>
      </c>
      <c r="L79" t="s">
        <v>38</v>
      </c>
      <c r="M79" t="s">
        <v>20</v>
      </c>
      <c r="N79" t="s">
        <v>25</v>
      </c>
      <c r="O79" t="s">
        <v>19</v>
      </c>
      <c r="P79" t="s">
        <v>19</v>
      </c>
      <c r="Q79" t="s">
        <v>18</v>
      </c>
    </row>
    <row r="80" spans="1:17" x14ac:dyDescent="0.35">
      <c r="A80">
        <v>76</v>
      </c>
      <c r="B80">
        <v>77</v>
      </c>
      <c r="C80" t="s">
        <v>16</v>
      </c>
      <c r="D80">
        <v>158</v>
      </c>
      <c r="E80">
        <v>95</v>
      </c>
      <c r="F80" s="3">
        <v>27.2857699800843</v>
      </c>
      <c r="G80" s="3" t="str">
        <f t="shared" si="1"/>
        <v>Overweight</v>
      </c>
      <c r="H80" t="s">
        <v>105</v>
      </c>
      <c r="I80" t="s">
        <v>31</v>
      </c>
      <c r="J80" t="s">
        <v>20</v>
      </c>
      <c r="K80" t="s">
        <v>22</v>
      </c>
      <c r="L80" t="s">
        <v>32</v>
      </c>
      <c r="M80" t="s">
        <v>20</v>
      </c>
      <c r="N80" t="s">
        <v>25</v>
      </c>
      <c r="O80" t="s">
        <v>20</v>
      </c>
      <c r="P80" t="s">
        <v>20</v>
      </c>
      <c r="Q80" t="s">
        <v>40</v>
      </c>
    </row>
    <row r="81" spans="1:17" x14ac:dyDescent="0.35">
      <c r="A81">
        <v>81</v>
      </c>
      <c r="B81">
        <v>64</v>
      </c>
      <c r="C81" t="s">
        <v>16</v>
      </c>
      <c r="D81">
        <v>155</v>
      </c>
      <c r="E81">
        <v>77</v>
      </c>
      <c r="F81" s="3">
        <v>28.6837047474299</v>
      </c>
      <c r="G81" s="3" t="str">
        <f t="shared" si="1"/>
        <v>Overweight</v>
      </c>
      <c r="H81" t="s">
        <v>109</v>
      </c>
      <c r="I81" t="s">
        <v>18</v>
      </c>
      <c r="J81" t="s">
        <v>19</v>
      </c>
      <c r="K81" t="s">
        <v>18</v>
      </c>
      <c r="L81" t="s">
        <v>38</v>
      </c>
      <c r="M81" t="s">
        <v>20</v>
      </c>
      <c r="N81" t="s">
        <v>25</v>
      </c>
      <c r="O81" t="s">
        <v>19</v>
      </c>
      <c r="P81" t="s">
        <v>20</v>
      </c>
      <c r="Q81" t="s">
        <v>18</v>
      </c>
    </row>
    <row r="82" spans="1:17" x14ac:dyDescent="0.35">
      <c r="A82">
        <v>82</v>
      </c>
      <c r="B82">
        <v>52</v>
      </c>
      <c r="C82" t="s">
        <v>16</v>
      </c>
      <c r="D82">
        <v>161</v>
      </c>
      <c r="E82">
        <v>50</v>
      </c>
      <c r="F82" s="3">
        <v>34.502011266457401</v>
      </c>
      <c r="G82" s="3" t="str">
        <f t="shared" si="1"/>
        <v>Obese</v>
      </c>
      <c r="H82" t="s">
        <v>110</v>
      </c>
      <c r="I82" t="s">
        <v>18</v>
      </c>
      <c r="J82" t="s">
        <v>19</v>
      </c>
      <c r="K82" t="s">
        <v>18</v>
      </c>
      <c r="L82" t="s">
        <v>14</v>
      </c>
      <c r="M82" t="s">
        <v>19</v>
      </c>
      <c r="N82" t="s">
        <v>25</v>
      </c>
      <c r="O82" t="s">
        <v>19</v>
      </c>
      <c r="P82" t="s">
        <v>19</v>
      </c>
      <c r="Q82" t="s">
        <v>22</v>
      </c>
    </row>
    <row r="83" spans="1:17" x14ac:dyDescent="0.35">
      <c r="A83">
        <v>125</v>
      </c>
      <c r="B83">
        <v>77</v>
      </c>
      <c r="C83" t="s">
        <v>16</v>
      </c>
      <c r="D83">
        <v>175</v>
      </c>
      <c r="E83">
        <v>61</v>
      </c>
      <c r="F83" s="3">
        <v>19.735781393032699</v>
      </c>
      <c r="G83" s="3" t="str">
        <f t="shared" si="1"/>
        <v>Normal Weight</v>
      </c>
      <c r="H83" t="s">
        <v>149</v>
      </c>
      <c r="I83" t="s">
        <v>18</v>
      </c>
      <c r="J83" t="s">
        <v>19</v>
      </c>
      <c r="K83" t="s">
        <v>22</v>
      </c>
      <c r="L83" t="s">
        <v>14</v>
      </c>
      <c r="M83" t="s">
        <v>19</v>
      </c>
      <c r="N83" t="s">
        <v>21</v>
      </c>
      <c r="O83" t="s">
        <v>19</v>
      </c>
      <c r="P83" t="s">
        <v>20</v>
      </c>
      <c r="Q83" t="s">
        <v>22</v>
      </c>
    </row>
    <row r="84" spans="1:17" x14ac:dyDescent="0.35">
      <c r="A84">
        <v>126</v>
      </c>
      <c r="B84">
        <v>77</v>
      </c>
      <c r="C84" t="s">
        <v>16</v>
      </c>
      <c r="D84">
        <v>154</v>
      </c>
      <c r="E84">
        <v>90</v>
      </c>
      <c r="F84" s="3">
        <v>20.2516458335332</v>
      </c>
      <c r="G84" s="3" t="str">
        <f t="shared" si="1"/>
        <v>Normal Weight</v>
      </c>
      <c r="H84" t="s">
        <v>150</v>
      </c>
      <c r="I84" t="s">
        <v>31</v>
      </c>
      <c r="J84" t="s">
        <v>20</v>
      </c>
      <c r="K84" t="s">
        <v>22</v>
      </c>
      <c r="L84" t="s">
        <v>38</v>
      </c>
      <c r="M84" t="s">
        <v>19</v>
      </c>
      <c r="N84" t="s">
        <v>21</v>
      </c>
      <c r="O84" t="s">
        <v>20</v>
      </c>
      <c r="P84" t="s">
        <v>20</v>
      </c>
      <c r="Q84" t="s">
        <v>18</v>
      </c>
    </row>
    <row r="85" spans="1:17" x14ac:dyDescent="0.35">
      <c r="A85">
        <v>85</v>
      </c>
      <c r="B85">
        <v>53</v>
      </c>
      <c r="C85" t="s">
        <v>16</v>
      </c>
      <c r="D85">
        <v>165</v>
      </c>
      <c r="E85">
        <v>97</v>
      </c>
      <c r="F85" s="3">
        <v>31.076498962183901</v>
      </c>
      <c r="G85" s="3" t="str">
        <f t="shared" si="1"/>
        <v>Obese</v>
      </c>
      <c r="H85" t="s">
        <v>113</v>
      </c>
      <c r="I85" t="s">
        <v>18</v>
      </c>
      <c r="J85" t="s">
        <v>19</v>
      </c>
      <c r="K85" t="s">
        <v>18</v>
      </c>
      <c r="L85" t="s">
        <v>38</v>
      </c>
      <c r="M85" t="s">
        <v>19</v>
      </c>
      <c r="N85" t="s">
        <v>25</v>
      </c>
      <c r="O85" t="s">
        <v>20</v>
      </c>
      <c r="P85" t="s">
        <v>20</v>
      </c>
      <c r="Q85" t="s">
        <v>22</v>
      </c>
    </row>
    <row r="86" spans="1:17" x14ac:dyDescent="0.35">
      <c r="A86">
        <v>86</v>
      </c>
      <c r="B86">
        <v>67</v>
      </c>
      <c r="C86" t="s">
        <v>27</v>
      </c>
      <c r="D86">
        <v>152</v>
      </c>
      <c r="E86">
        <v>89</v>
      </c>
      <c r="F86" s="3">
        <v>28.2633299867246</v>
      </c>
      <c r="G86" s="3" t="str">
        <f t="shared" si="1"/>
        <v>Overweight</v>
      </c>
      <c r="H86" t="s">
        <v>114</v>
      </c>
      <c r="I86" t="s">
        <v>24</v>
      </c>
      <c r="J86" t="s">
        <v>19</v>
      </c>
      <c r="K86" t="s">
        <v>18</v>
      </c>
      <c r="L86" t="s">
        <v>29</v>
      </c>
      <c r="M86" t="s">
        <v>19</v>
      </c>
      <c r="N86" t="s">
        <v>21</v>
      </c>
      <c r="O86" t="s">
        <v>20</v>
      </c>
      <c r="P86" t="s">
        <v>20</v>
      </c>
      <c r="Q86" t="s">
        <v>22</v>
      </c>
    </row>
    <row r="87" spans="1:17" x14ac:dyDescent="0.35">
      <c r="A87">
        <v>87</v>
      </c>
      <c r="B87">
        <v>57</v>
      </c>
      <c r="C87" t="s">
        <v>27</v>
      </c>
      <c r="D87">
        <v>152</v>
      </c>
      <c r="E87">
        <v>82</v>
      </c>
      <c r="F87" s="3">
        <v>21.668385590749601</v>
      </c>
      <c r="G87" s="3" t="str">
        <f t="shared" si="1"/>
        <v>Normal Weight</v>
      </c>
      <c r="H87" t="s">
        <v>115</v>
      </c>
      <c r="I87" t="s">
        <v>18</v>
      </c>
      <c r="J87" t="s">
        <v>19</v>
      </c>
      <c r="K87" t="s">
        <v>18</v>
      </c>
      <c r="L87" t="s">
        <v>29</v>
      </c>
      <c r="M87" t="s">
        <v>20</v>
      </c>
      <c r="N87" t="s">
        <v>21</v>
      </c>
      <c r="O87" t="s">
        <v>20</v>
      </c>
      <c r="P87" t="s">
        <v>19</v>
      </c>
      <c r="Q87" t="s">
        <v>22</v>
      </c>
    </row>
    <row r="88" spans="1:17" x14ac:dyDescent="0.35">
      <c r="A88">
        <v>358</v>
      </c>
      <c r="B88">
        <v>77</v>
      </c>
      <c r="C88" t="s">
        <v>16</v>
      </c>
      <c r="D88">
        <v>179</v>
      </c>
      <c r="E88">
        <v>55</v>
      </c>
      <c r="F88" s="3">
        <v>34.373965232532299</v>
      </c>
      <c r="G88" s="3" t="str">
        <f t="shared" si="1"/>
        <v>Obese</v>
      </c>
      <c r="H88" t="s">
        <v>360</v>
      </c>
      <c r="I88" t="s">
        <v>24</v>
      </c>
      <c r="J88" t="s">
        <v>19</v>
      </c>
      <c r="K88" t="s">
        <v>22</v>
      </c>
      <c r="L88" t="s">
        <v>32</v>
      </c>
      <c r="M88" t="s">
        <v>19</v>
      </c>
      <c r="N88" t="s">
        <v>21</v>
      </c>
      <c r="O88" t="s">
        <v>20</v>
      </c>
      <c r="P88" t="s">
        <v>19</v>
      </c>
      <c r="Q88" t="s">
        <v>18</v>
      </c>
    </row>
    <row r="89" spans="1:17" x14ac:dyDescent="0.35">
      <c r="A89">
        <v>88</v>
      </c>
      <c r="B89">
        <v>21</v>
      </c>
      <c r="C89" t="s">
        <v>27</v>
      </c>
      <c r="D89">
        <v>176</v>
      </c>
      <c r="E89">
        <v>61</v>
      </c>
      <c r="F89" s="3">
        <v>29.500313256226399</v>
      </c>
      <c r="G89" s="3" t="str">
        <f t="shared" si="1"/>
        <v>Overweight</v>
      </c>
      <c r="H89" t="s">
        <v>116</v>
      </c>
      <c r="I89" t="s">
        <v>31</v>
      </c>
      <c r="J89" t="s">
        <v>20</v>
      </c>
      <c r="K89" t="s">
        <v>18</v>
      </c>
      <c r="L89" t="s">
        <v>38</v>
      </c>
      <c r="M89" t="s">
        <v>19</v>
      </c>
      <c r="N89" t="s">
        <v>25</v>
      </c>
      <c r="O89" t="s">
        <v>20</v>
      </c>
      <c r="P89" t="s">
        <v>20</v>
      </c>
      <c r="Q89" t="s">
        <v>18</v>
      </c>
    </row>
    <row r="90" spans="1:17" x14ac:dyDescent="0.35">
      <c r="A90">
        <v>89</v>
      </c>
      <c r="B90">
        <v>19</v>
      </c>
      <c r="C90" t="s">
        <v>16</v>
      </c>
      <c r="D90">
        <v>189</v>
      </c>
      <c r="E90">
        <v>57</v>
      </c>
      <c r="F90" s="3">
        <v>28.7857628383384</v>
      </c>
      <c r="G90" s="3" t="str">
        <f t="shared" si="1"/>
        <v>Overweight</v>
      </c>
      <c r="H90" t="s">
        <v>117</v>
      </c>
      <c r="I90" t="s">
        <v>18</v>
      </c>
      <c r="J90" t="s">
        <v>20</v>
      </c>
      <c r="K90" t="s">
        <v>18</v>
      </c>
      <c r="L90" t="s">
        <v>32</v>
      </c>
      <c r="M90" t="s">
        <v>20</v>
      </c>
      <c r="N90" t="s">
        <v>25</v>
      </c>
      <c r="O90" t="s">
        <v>20</v>
      </c>
      <c r="P90" t="s">
        <v>20</v>
      </c>
      <c r="Q90" t="s">
        <v>22</v>
      </c>
    </row>
    <row r="91" spans="1:17" x14ac:dyDescent="0.35">
      <c r="A91">
        <v>469</v>
      </c>
      <c r="B91">
        <v>77</v>
      </c>
      <c r="C91" t="s">
        <v>27</v>
      </c>
      <c r="D91">
        <v>153</v>
      </c>
      <c r="E91">
        <v>51</v>
      </c>
      <c r="F91" s="3">
        <v>25.837760818162501</v>
      </c>
      <c r="G91" s="3" t="str">
        <f t="shared" si="1"/>
        <v>Overweight</v>
      </c>
      <c r="H91" t="s">
        <v>442</v>
      </c>
      <c r="I91" t="s">
        <v>24</v>
      </c>
      <c r="J91" t="s">
        <v>20</v>
      </c>
      <c r="K91" t="s">
        <v>22</v>
      </c>
      <c r="L91" t="s">
        <v>32</v>
      </c>
      <c r="M91" t="s">
        <v>19</v>
      </c>
      <c r="N91" t="s">
        <v>21</v>
      </c>
      <c r="O91" t="s">
        <v>20</v>
      </c>
      <c r="P91" t="s">
        <v>20</v>
      </c>
      <c r="Q91" t="s">
        <v>18</v>
      </c>
    </row>
    <row r="92" spans="1:17" x14ac:dyDescent="0.35">
      <c r="A92">
        <v>91</v>
      </c>
      <c r="B92">
        <v>23</v>
      </c>
      <c r="C92" t="s">
        <v>16</v>
      </c>
      <c r="D92">
        <v>182</v>
      </c>
      <c r="E92">
        <v>65</v>
      </c>
      <c r="F92" s="3">
        <v>26.5814668218059</v>
      </c>
      <c r="G92" s="3" t="str">
        <f t="shared" si="1"/>
        <v>Overweight</v>
      </c>
      <c r="H92" t="s">
        <v>119</v>
      </c>
      <c r="I92" t="s">
        <v>18</v>
      </c>
      <c r="J92" t="s">
        <v>20</v>
      </c>
      <c r="K92" t="s">
        <v>18</v>
      </c>
      <c r="L92" t="s">
        <v>14</v>
      </c>
      <c r="M92" t="s">
        <v>20</v>
      </c>
      <c r="N92" t="s">
        <v>21</v>
      </c>
      <c r="O92" t="s">
        <v>19</v>
      </c>
      <c r="P92" t="s">
        <v>20</v>
      </c>
      <c r="Q92" t="s">
        <v>40</v>
      </c>
    </row>
    <row r="93" spans="1:17" x14ac:dyDescent="0.35">
      <c r="A93">
        <v>92</v>
      </c>
      <c r="B93">
        <v>71</v>
      </c>
      <c r="C93" t="s">
        <v>16</v>
      </c>
      <c r="D93">
        <v>177</v>
      </c>
      <c r="E93">
        <v>99</v>
      </c>
      <c r="F93" s="3">
        <v>27.222833965823</v>
      </c>
      <c r="G93" s="3" t="str">
        <f t="shared" si="1"/>
        <v>Overweight</v>
      </c>
      <c r="H93" t="s">
        <v>120</v>
      </c>
      <c r="I93" t="s">
        <v>18</v>
      </c>
      <c r="J93" t="s">
        <v>19</v>
      </c>
      <c r="K93" t="s">
        <v>40</v>
      </c>
      <c r="L93" t="s">
        <v>29</v>
      </c>
      <c r="M93" t="s">
        <v>20</v>
      </c>
      <c r="N93" t="s">
        <v>21</v>
      </c>
      <c r="O93" t="s">
        <v>19</v>
      </c>
      <c r="P93" t="s">
        <v>20</v>
      </c>
      <c r="Q93" t="s">
        <v>22</v>
      </c>
    </row>
    <row r="94" spans="1:17" x14ac:dyDescent="0.35">
      <c r="A94">
        <v>563</v>
      </c>
      <c r="B94">
        <v>77</v>
      </c>
      <c r="C94" t="s">
        <v>16</v>
      </c>
      <c r="D94">
        <v>156</v>
      </c>
      <c r="E94">
        <v>62</v>
      </c>
      <c r="F94" s="3">
        <v>20.3804371374674</v>
      </c>
      <c r="G94" s="3" t="str">
        <f t="shared" si="1"/>
        <v>Normal Weight</v>
      </c>
      <c r="H94" t="s">
        <v>516</v>
      </c>
      <c r="I94" t="s">
        <v>18</v>
      </c>
      <c r="J94" t="s">
        <v>20</v>
      </c>
      <c r="K94" t="s">
        <v>22</v>
      </c>
      <c r="L94" t="s">
        <v>32</v>
      </c>
      <c r="M94" t="s">
        <v>19</v>
      </c>
      <c r="N94" t="s">
        <v>25</v>
      </c>
      <c r="O94" t="s">
        <v>20</v>
      </c>
      <c r="P94" t="s">
        <v>19</v>
      </c>
      <c r="Q94" t="s">
        <v>22</v>
      </c>
    </row>
    <row r="95" spans="1:17" x14ac:dyDescent="0.35">
      <c r="A95">
        <v>93</v>
      </c>
      <c r="B95">
        <v>59</v>
      </c>
      <c r="C95" t="s">
        <v>16</v>
      </c>
      <c r="D95">
        <v>150</v>
      </c>
      <c r="E95">
        <v>53</v>
      </c>
      <c r="F95" s="3">
        <v>24.018301697448699</v>
      </c>
      <c r="G95" s="3" t="str">
        <f t="shared" si="1"/>
        <v>Normal Weight</v>
      </c>
      <c r="H95" t="s">
        <v>88</v>
      </c>
      <c r="I95" t="s">
        <v>31</v>
      </c>
      <c r="J95" t="s">
        <v>19</v>
      </c>
      <c r="K95" t="s">
        <v>18</v>
      </c>
      <c r="L95" t="s">
        <v>29</v>
      </c>
      <c r="M95" t="s">
        <v>19</v>
      </c>
      <c r="N95" t="s">
        <v>25</v>
      </c>
      <c r="O95" t="s">
        <v>20</v>
      </c>
      <c r="P95" t="s">
        <v>19</v>
      </c>
      <c r="Q95" t="s">
        <v>18</v>
      </c>
    </row>
    <row r="96" spans="1:17" x14ac:dyDescent="0.35">
      <c r="A96">
        <v>587</v>
      </c>
      <c r="B96">
        <v>77</v>
      </c>
      <c r="C96" t="s">
        <v>16</v>
      </c>
      <c r="D96">
        <v>161</v>
      </c>
      <c r="E96">
        <v>65</v>
      </c>
      <c r="F96" s="3">
        <v>32.821993266268898</v>
      </c>
      <c r="G96" s="3" t="str">
        <f t="shared" si="1"/>
        <v>Obese</v>
      </c>
      <c r="H96" t="s">
        <v>538</v>
      </c>
      <c r="I96" t="s">
        <v>18</v>
      </c>
      <c r="J96" t="s">
        <v>20</v>
      </c>
      <c r="K96" t="s">
        <v>22</v>
      </c>
      <c r="L96" t="s">
        <v>29</v>
      </c>
      <c r="M96" t="s">
        <v>20</v>
      </c>
      <c r="N96" t="s">
        <v>25</v>
      </c>
      <c r="O96" t="s">
        <v>19</v>
      </c>
      <c r="P96" t="s">
        <v>20</v>
      </c>
      <c r="Q96" t="s">
        <v>40</v>
      </c>
    </row>
    <row r="97" spans="1:17" x14ac:dyDescent="0.35">
      <c r="A97">
        <v>692</v>
      </c>
      <c r="B97">
        <v>77</v>
      </c>
      <c r="C97" t="s">
        <v>27</v>
      </c>
      <c r="D97">
        <v>183</v>
      </c>
      <c r="E97">
        <v>69</v>
      </c>
      <c r="F97" s="3">
        <v>30.631270548676302</v>
      </c>
      <c r="G97" s="3" t="str">
        <f t="shared" si="1"/>
        <v>Obese</v>
      </c>
      <c r="H97" t="s">
        <v>619</v>
      </c>
      <c r="I97" t="s">
        <v>18</v>
      </c>
      <c r="J97" t="s">
        <v>20</v>
      </c>
      <c r="K97" t="s">
        <v>22</v>
      </c>
      <c r="L97" t="s">
        <v>29</v>
      </c>
      <c r="M97" t="s">
        <v>20</v>
      </c>
      <c r="N97" t="s">
        <v>21</v>
      </c>
      <c r="O97" t="s">
        <v>19</v>
      </c>
      <c r="P97" t="s">
        <v>20</v>
      </c>
      <c r="Q97" t="s">
        <v>40</v>
      </c>
    </row>
    <row r="98" spans="1:17" x14ac:dyDescent="0.35">
      <c r="A98">
        <v>94</v>
      </c>
      <c r="B98">
        <v>21</v>
      </c>
      <c r="C98" t="s">
        <v>16</v>
      </c>
      <c r="D98">
        <v>157</v>
      </c>
      <c r="E98">
        <v>87</v>
      </c>
      <c r="F98" s="3">
        <v>27.068659428598</v>
      </c>
      <c r="G98" s="3" t="str">
        <f t="shared" si="1"/>
        <v>Overweight</v>
      </c>
      <c r="H98" t="s">
        <v>121</v>
      </c>
      <c r="I98" t="s">
        <v>24</v>
      </c>
      <c r="J98" t="s">
        <v>19</v>
      </c>
      <c r="K98" t="s">
        <v>18</v>
      </c>
      <c r="L98" t="s">
        <v>29</v>
      </c>
      <c r="M98" t="s">
        <v>19</v>
      </c>
      <c r="N98" t="s">
        <v>21</v>
      </c>
      <c r="O98" t="s">
        <v>19</v>
      </c>
      <c r="P98" t="s">
        <v>19</v>
      </c>
      <c r="Q98" t="s">
        <v>40</v>
      </c>
    </row>
    <row r="99" spans="1:17" x14ac:dyDescent="0.35">
      <c r="A99">
        <v>896</v>
      </c>
      <c r="B99">
        <v>77</v>
      </c>
      <c r="C99" t="s">
        <v>27</v>
      </c>
      <c r="D99">
        <v>150</v>
      </c>
      <c r="E99">
        <v>74</v>
      </c>
      <c r="F99" s="3">
        <v>34.335804404122399</v>
      </c>
      <c r="G99" s="3" t="str">
        <f t="shared" si="1"/>
        <v>Obese</v>
      </c>
      <c r="H99" t="s">
        <v>572</v>
      </c>
      <c r="I99" t="s">
        <v>31</v>
      </c>
      <c r="J99" t="s">
        <v>19</v>
      </c>
      <c r="K99" t="s">
        <v>22</v>
      </c>
      <c r="L99" t="s">
        <v>32</v>
      </c>
      <c r="M99" t="s">
        <v>20</v>
      </c>
      <c r="N99" t="s">
        <v>21</v>
      </c>
      <c r="O99" t="s">
        <v>20</v>
      </c>
      <c r="P99" t="s">
        <v>19</v>
      </c>
      <c r="Q99" t="s">
        <v>40</v>
      </c>
    </row>
    <row r="100" spans="1:17" x14ac:dyDescent="0.35">
      <c r="A100">
        <v>916</v>
      </c>
      <c r="B100">
        <v>77</v>
      </c>
      <c r="C100" t="s">
        <v>27</v>
      </c>
      <c r="D100">
        <v>163</v>
      </c>
      <c r="E100">
        <v>68</v>
      </c>
      <c r="F100" s="3">
        <v>22.405887851588201</v>
      </c>
      <c r="G100" s="3" t="str">
        <f t="shared" si="1"/>
        <v>Normal Weight</v>
      </c>
      <c r="H100" t="s">
        <v>751</v>
      </c>
      <c r="I100" t="s">
        <v>18</v>
      </c>
      <c r="J100" t="s">
        <v>19</v>
      </c>
      <c r="K100" t="s">
        <v>22</v>
      </c>
      <c r="L100" t="s">
        <v>38</v>
      </c>
      <c r="M100" t="s">
        <v>20</v>
      </c>
      <c r="N100" t="s">
        <v>21</v>
      </c>
      <c r="O100" t="s">
        <v>19</v>
      </c>
      <c r="P100" t="s">
        <v>20</v>
      </c>
      <c r="Q100" t="s">
        <v>22</v>
      </c>
    </row>
    <row r="101" spans="1:17" x14ac:dyDescent="0.35">
      <c r="A101">
        <v>95</v>
      </c>
      <c r="B101">
        <v>71</v>
      </c>
      <c r="C101" t="s">
        <v>27</v>
      </c>
      <c r="D101">
        <v>186</v>
      </c>
      <c r="E101">
        <v>93</v>
      </c>
      <c r="F101" s="3">
        <v>21.7596724436948</v>
      </c>
      <c r="G101" s="3" t="str">
        <f t="shared" si="1"/>
        <v>Normal Weight</v>
      </c>
      <c r="H101" t="s">
        <v>122</v>
      </c>
      <c r="I101" t="s">
        <v>24</v>
      </c>
      <c r="J101" t="s">
        <v>19</v>
      </c>
      <c r="K101" t="s">
        <v>40</v>
      </c>
      <c r="L101" t="s">
        <v>14</v>
      </c>
      <c r="M101" t="s">
        <v>20</v>
      </c>
      <c r="N101" t="s">
        <v>25</v>
      </c>
      <c r="O101" t="s">
        <v>20</v>
      </c>
      <c r="P101" t="s">
        <v>19</v>
      </c>
      <c r="Q101" t="s">
        <v>18</v>
      </c>
    </row>
    <row r="102" spans="1:17" x14ac:dyDescent="0.35">
      <c r="A102">
        <v>1084</v>
      </c>
      <c r="B102">
        <v>77</v>
      </c>
      <c r="C102" t="s">
        <v>27</v>
      </c>
      <c r="D102">
        <v>169</v>
      </c>
      <c r="E102">
        <v>54</v>
      </c>
      <c r="F102" s="3">
        <v>32.798828861825797</v>
      </c>
      <c r="G102" s="3" t="str">
        <f t="shared" si="1"/>
        <v>Obese</v>
      </c>
      <c r="H102" t="s">
        <v>719</v>
      </c>
      <c r="I102" t="s">
        <v>18</v>
      </c>
      <c r="J102" t="s">
        <v>20</v>
      </c>
      <c r="K102" t="s">
        <v>22</v>
      </c>
      <c r="L102" t="s">
        <v>29</v>
      </c>
      <c r="M102" t="s">
        <v>19</v>
      </c>
      <c r="N102" t="s">
        <v>25</v>
      </c>
      <c r="O102" t="s">
        <v>19</v>
      </c>
      <c r="P102" t="s">
        <v>20</v>
      </c>
      <c r="Q102" t="s">
        <v>18</v>
      </c>
    </row>
    <row r="103" spans="1:17" x14ac:dyDescent="0.35">
      <c r="A103">
        <v>1101</v>
      </c>
      <c r="B103">
        <v>77</v>
      </c>
      <c r="C103" t="s">
        <v>27</v>
      </c>
      <c r="D103">
        <v>188</v>
      </c>
      <c r="E103">
        <v>61</v>
      </c>
      <c r="F103" s="3">
        <v>26.286391424314601</v>
      </c>
      <c r="G103" s="3" t="str">
        <f t="shared" si="1"/>
        <v>Overweight</v>
      </c>
      <c r="H103" t="s">
        <v>866</v>
      </c>
      <c r="I103" t="s">
        <v>18</v>
      </c>
      <c r="J103" t="s">
        <v>19</v>
      </c>
      <c r="K103" t="s">
        <v>22</v>
      </c>
      <c r="L103" t="s">
        <v>32</v>
      </c>
      <c r="M103" t="s">
        <v>20</v>
      </c>
      <c r="N103" t="s">
        <v>25</v>
      </c>
      <c r="O103" t="s">
        <v>20</v>
      </c>
      <c r="P103" t="s">
        <v>20</v>
      </c>
      <c r="Q103" t="s">
        <v>22</v>
      </c>
    </row>
    <row r="104" spans="1:17" x14ac:dyDescent="0.35">
      <c r="A104">
        <v>96</v>
      </c>
      <c r="B104">
        <v>46</v>
      </c>
      <c r="C104" t="s">
        <v>27</v>
      </c>
      <c r="D104">
        <v>181</v>
      </c>
      <c r="E104">
        <v>76</v>
      </c>
      <c r="F104" s="3">
        <v>31.7853775564462</v>
      </c>
      <c r="G104" s="3" t="str">
        <f t="shared" si="1"/>
        <v>Obese</v>
      </c>
      <c r="H104" t="s">
        <v>123</v>
      </c>
      <c r="I104" t="s">
        <v>18</v>
      </c>
      <c r="J104" t="s">
        <v>19</v>
      </c>
      <c r="K104" t="s">
        <v>18</v>
      </c>
      <c r="L104" t="s">
        <v>29</v>
      </c>
      <c r="M104" t="s">
        <v>19</v>
      </c>
      <c r="N104" t="s">
        <v>25</v>
      </c>
      <c r="O104" t="s">
        <v>19</v>
      </c>
      <c r="P104" t="s">
        <v>19</v>
      </c>
      <c r="Q104" t="s">
        <v>40</v>
      </c>
    </row>
    <row r="105" spans="1:17" x14ac:dyDescent="0.35">
      <c r="A105">
        <v>1222</v>
      </c>
      <c r="B105">
        <v>77</v>
      </c>
      <c r="C105" t="s">
        <v>16</v>
      </c>
      <c r="D105">
        <v>188</v>
      </c>
      <c r="E105">
        <v>72</v>
      </c>
      <c r="F105" s="3">
        <v>21.3184261540524</v>
      </c>
      <c r="G105" s="3" t="str">
        <f t="shared" si="1"/>
        <v>Normal Weight</v>
      </c>
      <c r="H105" t="s">
        <v>937</v>
      </c>
      <c r="I105" t="s">
        <v>31</v>
      </c>
      <c r="J105" t="s">
        <v>20</v>
      </c>
      <c r="K105" t="s">
        <v>22</v>
      </c>
      <c r="L105" t="s">
        <v>32</v>
      </c>
      <c r="M105" t="s">
        <v>19</v>
      </c>
      <c r="N105" t="s">
        <v>21</v>
      </c>
      <c r="O105" t="s">
        <v>20</v>
      </c>
      <c r="P105" t="s">
        <v>19</v>
      </c>
      <c r="Q105" t="s">
        <v>40</v>
      </c>
    </row>
    <row r="106" spans="1:17" x14ac:dyDescent="0.35">
      <c r="A106">
        <v>1383</v>
      </c>
      <c r="B106">
        <v>77</v>
      </c>
      <c r="C106" t="s">
        <v>16</v>
      </c>
      <c r="D106">
        <v>177</v>
      </c>
      <c r="E106">
        <v>53</v>
      </c>
      <c r="F106" s="3">
        <v>26.101750827246502</v>
      </c>
      <c r="G106" s="3" t="str">
        <f t="shared" si="1"/>
        <v>Overweight</v>
      </c>
      <c r="H106" t="s">
        <v>1020</v>
      </c>
      <c r="I106" t="s">
        <v>31</v>
      </c>
      <c r="J106" t="s">
        <v>19</v>
      </c>
      <c r="K106" t="s">
        <v>22</v>
      </c>
      <c r="L106" t="s">
        <v>14</v>
      </c>
      <c r="M106" t="s">
        <v>20</v>
      </c>
      <c r="N106" t="s">
        <v>21</v>
      </c>
      <c r="O106" t="s">
        <v>19</v>
      </c>
      <c r="P106" t="s">
        <v>20</v>
      </c>
      <c r="Q106" t="s">
        <v>18</v>
      </c>
    </row>
    <row r="107" spans="1:17" x14ac:dyDescent="0.35">
      <c r="A107">
        <v>1398</v>
      </c>
      <c r="B107">
        <v>77</v>
      </c>
      <c r="C107" t="s">
        <v>16</v>
      </c>
      <c r="D107">
        <v>163</v>
      </c>
      <c r="E107">
        <v>91</v>
      </c>
      <c r="F107" s="3">
        <v>27.892298499508801</v>
      </c>
      <c r="G107" s="3" t="str">
        <f t="shared" si="1"/>
        <v>Overweight</v>
      </c>
      <c r="H107" t="s">
        <v>1025</v>
      </c>
      <c r="I107" t="s">
        <v>18</v>
      </c>
      <c r="J107" t="s">
        <v>20</v>
      </c>
      <c r="K107" t="s">
        <v>22</v>
      </c>
      <c r="L107" t="s">
        <v>38</v>
      </c>
      <c r="M107" t="s">
        <v>19</v>
      </c>
      <c r="N107" t="s">
        <v>21</v>
      </c>
      <c r="O107" t="s">
        <v>19</v>
      </c>
      <c r="P107" t="s">
        <v>20</v>
      </c>
      <c r="Q107" t="s">
        <v>22</v>
      </c>
    </row>
    <row r="108" spans="1:17" x14ac:dyDescent="0.35">
      <c r="A108">
        <v>1405</v>
      </c>
      <c r="B108">
        <v>77</v>
      </c>
      <c r="C108" t="s">
        <v>27</v>
      </c>
      <c r="D108">
        <v>154</v>
      </c>
      <c r="E108">
        <v>97</v>
      </c>
      <c r="F108" s="3">
        <v>19.570838112383701</v>
      </c>
      <c r="G108" s="3" t="str">
        <f t="shared" si="1"/>
        <v>Normal Weight</v>
      </c>
      <c r="H108" t="s">
        <v>1028</v>
      </c>
      <c r="I108" t="s">
        <v>24</v>
      </c>
      <c r="J108" t="s">
        <v>20</v>
      </c>
      <c r="K108" t="s">
        <v>22</v>
      </c>
      <c r="L108" t="s">
        <v>38</v>
      </c>
      <c r="M108" t="s">
        <v>19</v>
      </c>
      <c r="N108" t="s">
        <v>21</v>
      </c>
      <c r="O108" t="s">
        <v>20</v>
      </c>
      <c r="P108" t="s">
        <v>20</v>
      </c>
      <c r="Q108" t="s">
        <v>40</v>
      </c>
    </row>
    <row r="109" spans="1:17" x14ac:dyDescent="0.35">
      <c r="A109">
        <v>1536</v>
      </c>
      <c r="B109">
        <v>77</v>
      </c>
      <c r="C109" t="s">
        <v>27</v>
      </c>
      <c r="D109">
        <v>151</v>
      </c>
      <c r="E109">
        <v>65</v>
      </c>
      <c r="F109" s="3">
        <v>23.432281476622499</v>
      </c>
      <c r="G109" s="3" t="str">
        <f t="shared" si="1"/>
        <v>Normal Weight</v>
      </c>
      <c r="H109" t="s">
        <v>340</v>
      </c>
      <c r="I109" t="s">
        <v>18</v>
      </c>
      <c r="J109" t="s">
        <v>19</v>
      </c>
      <c r="K109" t="s">
        <v>22</v>
      </c>
      <c r="L109" t="s">
        <v>32</v>
      </c>
      <c r="M109" t="s">
        <v>19</v>
      </c>
      <c r="N109" t="s">
        <v>21</v>
      </c>
      <c r="O109" t="s">
        <v>19</v>
      </c>
      <c r="P109" t="s">
        <v>19</v>
      </c>
      <c r="Q109" t="s">
        <v>22</v>
      </c>
    </row>
    <row r="110" spans="1:17" x14ac:dyDescent="0.35">
      <c r="A110">
        <v>97</v>
      </c>
      <c r="B110">
        <v>35</v>
      </c>
      <c r="C110" t="s">
        <v>16</v>
      </c>
      <c r="D110">
        <v>186</v>
      </c>
      <c r="E110">
        <v>58</v>
      </c>
      <c r="F110" s="3">
        <v>21.565319752528598</v>
      </c>
      <c r="G110" s="3" t="str">
        <f t="shared" si="1"/>
        <v>Normal Weight</v>
      </c>
      <c r="H110" t="s">
        <v>124</v>
      </c>
      <c r="I110" t="s">
        <v>31</v>
      </c>
      <c r="J110" t="s">
        <v>19</v>
      </c>
      <c r="K110" t="s">
        <v>18</v>
      </c>
      <c r="L110" t="s">
        <v>14</v>
      </c>
      <c r="M110" t="s">
        <v>19</v>
      </c>
      <c r="N110" t="s">
        <v>25</v>
      </c>
      <c r="O110" t="s">
        <v>20</v>
      </c>
      <c r="P110" t="s">
        <v>19</v>
      </c>
      <c r="Q110" t="s">
        <v>40</v>
      </c>
    </row>
    <row r="111" spans="1:17" x14ac:dyDescent="0.35">
      <c r="A111">
        <v>1746</v>
      </c>
      <c r="B111">
        <v>77</v>
      </c>
      <c r="C111" t="s">
        <v>16</v>
      </c>
      <c r="D111">
        <v>159</v>
      </c>
      <c r="E111">
        <v>67</v>
      </c>
      <c r="F111" s="3">
        <v>30.799062695835399</v>
      </c>
      <c r="G111" s="3" t="str">
        <f t="shared" si="1"/>
        <v>Obese</v>
      </c>
      <c r="H111" t="s">
        <v>54</v>
      </c>
      <c r="I111" t="s">
        <v>31</v>
      </c>
      <c r="J111" t="s">
        <v>20</v>
      </c>
      <c r="K111" t="s">
        <v>22</v>
      </c>
      <c r="L111" t="s">
        <v>14</v>
      </c>
      <c r="M111" t="s">
        <v>20</v>
      </c>
      <c r="N111" t="s">
        <v>21</v>
      </c>
      <c r="O111" t="s">
        <v>20</v>
      </c>
      <c r="P111" t="s">
        <v>20</v>
      </c>
      <c r="Q111" t="s">
        <v>18</v>
      </c>
    </row>
    <row r="112" spans="1:17" x14ac:dyDescent="0.35">
      <c r="A112">
        <v>1849</v>
      </c>
      <c r="B112">
        <v>77</v>
      </c>
      <c r="C112" t="s">
        <v>27</v>
      </c>
      <c r="D112">
        <v>153</v>
      </c>
      <c r="E112">
        <v>72</v>
      </c>
      <c r="F112" s="3">
        <v>25.6486403830989</v>
      </c>
      <c r="G112" s="3" t="str">
        <f t="shared" si="1"/>
        <v>Overweight</v>
      </c>
      <c r="H112" t="s">
        <v>1218</v>
      </c>
      <c r="I112" t="s">
        <v>24</v>
      </c>
      <c r="J112" t="s">
        <v>20</v>
      </c>
      <c r="K112" t="s">
        <v>22</v>
      </c>
      <c r="L112" t="s">
        <v>38</v>
      </c>
      <c r="M112" t="s">
        <v>19</v>
      </c>
      <c r="N112" t="s">
        <v>21</v>
      </c>
      <c r="O112" t="s">
        <v>19</v>
      </c>
      <c r="P112" t="s">
        <v>20</v>
      </c>
      <c r="Q112" t="s">
        <v>40</v>
      </c>
    </row>
    <row r="113" spans="1:17" x14ac:dyDescent="0.35">
      <c r="A113">
        <v>98</v>
      </c>
      <c r="B113">
        <v>43</v>
      </c>
      <c r="C113" t="s">
        <v>27</v>
      </c>
      <c r="D113">
        <v>153</v>
      </c>
      <c r="E113">
        <v>96</v>
      </c>
      <c r="F113" s="3">
        <v>19.901943783176101</v>
      </c>
      <c r="G113" s="3" t="str">
        <f t="shared" si="1"/>
        <v>Normal Weight</v>
      </c>
      <c r="H113" t="s">
        <v>125</v>
      </c>
      <c r="I113" t="s">
        <v>31</v>
      </c>
      <c r="J113" t="s">
        <v>20</v>
      </c>
      <c r="K113" t="s">
        <v>18</v>
      </c>
      <c r="L113" t="s">
        <v>14</v>
      </c>
      <c r="M113" t="s">
        <v>20</v>
      </c>
      <c r="N113" t="s">
        <v>25</v>
      </c>
      <c r="O113" t="s">
        <v>20</v>
      </c>
      <c r="P113" t="s">
        <v>20</v>
      </c>
      <c r="Q113" t="s">
        <v>22</v>
      </c>
    </row>
    <row r="114" spans="1:17" x14ac:dyDescent="0.35">
      <c r="A114">
        <v>101</v>
      </c>
      <c r="B114">
        <v>27</v>
      </c>
      <c r="C114" t="s">
        <v>27</v>
      </c>
      <c r="D114">
        <v>168</v>
      </c>
      <c r="E114">
        <v>80</v>
      </c>
      <c r="F114" s="3">
        <v>25.722327611403401</v>
      </c>
      <c r="G114" s="3" t="str">
        <f t="shared" si="1"/>
        <v>Overweight</v>
      </c>
      <c r="H114" t="s">
        <v>128</v>
      </c>
      <c r="I114" t="s">
        <v>31</v>
      </c>
      <c r="J114" t="s">
        <v>19</v>
      </c>
      <c r="K114" t="s">
        <v>18</v>
      </c>
      <c r="L114" t="s">
        <v>32</v>
      </c>
      <c r="M114" t="s">
        <v>19</v>
      </c>
      <c r="N114" t="s">
        <v>21</v>
      </c>
      <c r="O114" t="s">
        <v>19</v>
      </c>
      <c r="P114" t="s">
        <v>19</v>
      </c>
      <c r="Q114" t="s">
        <v>40</v>
      </c>
    </row>
    <row r="115" spans="1:17" x14ac:dyDescent="0.35">
      <c r="A115">
        <v>108</v>
      </c>
      <c r="B115">
        <v>25</v>
      </c>
      <c r="C115" t="s">
        <v>27</v>
      </c>
      <c r="D115">
        <v>170</v>
      </c>
      <c r="E115">
        <v>73</v>
      </c>
      <c r="F115" s="3">
        <v>23.910085901301201</v>
      </c>
      <c r="G115" s="3" t="str">
        <f t="shared" si="1"/>
        <v>Normal Weight</v>
      </c>
      <c r="H115" t="s">
        <v>135</v>
      </c>
      <c r="I115" t="s">
        <v>31</v>
      </c>
      <c r="J115" t="s">
        <v>19</v>
      </c>
      <c r="K115" t="s">
        <v>18</v>
      </c>
      <c r="L115" t="s">
        <v>29</v>
      </c>
      <c r="M115" t="s">
        <v>20</v>
      </c>
      <c r="N115" t="s">
        <v>25</v>
      </c>
      <c r="O115" t="s">
        <v>20</v>
      </c>
      <c r="P115" t="s">
        <v>19</v>
      </c>
      <c r="Q115" t="s">
        <v>18</v>
      </c>
    </row>
    <row r="116" spans="1:17" x14ac:dyDescent="0.35">
      <c r="A116">
        <v>213</v>
      </c>
      <c r="B116">
        <v>76</v>
      </c>
      <c r="C116" t="s">
        <v>16</v>
      </c>
      <c r="D116">
        <v>173</v>
      </c>
      <c r="E116">
        <v>96</v>
      </c>
      <c r="F116" s="3">
        <v>21.858325419133699</v>
      </c>
      <c r="G116" s="3" t="str">
        <f t="shared" si="1"/>
        <v>Normal Weight</v>
      </c>
      <c r="H116" t="s">
        <v>229</v>
      </c>
      <c r="I116" t="s">
        <v>31</v>
      </c>
      <c r="J116" t="s">
        <v>20</v>
      </c>
      <c r="K116" t="s">
        <v>22</v>
      </c>
      <c r="L116" t="s">
        <v>29</v>
      </c>
      <c r="M116" t="s">
        <v>19</v>
      </c>
      <c r="N116" t="s">
        <v>25</v>
      </c>
      <c r="O116" t="s">
        <v>20</v>
      </c>
      <c r="P116" t="s">
        <v>20</v>
      </c>
      <c r="Q116" t="s">
        <v>18</v>
      </c>
    </row>
    <row r="117" spans="1:17" x14ac:dyDescent="0.35">
      <c r="A117">
        <v>109</v>
      </c>
      <c r="B117">
        <v>31</v>
      </c>
      <c r="C117" t="s">
        <v>27</v>
      </c>
      <c r="D117">
        <v>179</v>
      </c>
      <c r="E117">
        <v>91</v>
      </c>
      <c r="F117" s="3">
        <v>30.662684830284501</v>
      </c>
      <c r="G117" s="3" t="str">
        <f t="shared" si="1"/>
        <v>Obese</v>
      </c>
      <c r="H117" t="s">
        <v>136</v>
      </c>
      <c r="I117" t="s">
        <v>31</v>
      </c>
      <c r="J117" t="s">
        <v>20</v>
      </c>
      <c r="K117" t="s">
        <v>18</v>
      </c>
      <c r="L117" t="s">
        <v>14</v>
      </c>
      <c r="M117" t="s">
        <v>20</v>
      </c>
      <c r="N117" t="s">
        <v>21</v>
      </c>
      <c r="O117" t="s">
        <v>20</v>
      </c>
      <c r="P117" t="s">
        <v>20</v>
      </c>
      <c r="Q117" t="s">
        <v>22</v>
      </c>
    </row>
    <row r="118" spans="1:17" x14ac:dyDescent="0.35">
      <c r="A118">
        <v>111</v>
      </c>
      <c r="B118">
        <v>77</v>
      </c>
      <c r="C118" t="s">
        <v>27</v>
      </c>
      <c r="D118">
        <v>183</v>
      </c>
      <c r="E118">
        <v>75</v>
      </c>
      <c r="F118" s="3">
        <v>26.333688599720201</v>
      </c>
      <c r="G118" s="3" t="str">
        <f t="shared" si="1"/>
        <v>Overweight</v>
      </c>
      <c r="H118" t="s">
        <v>138</v>
      </c>
      <c r="I118" t="s">
        <v>31</v>
      </c>
      <c r="J118" t="s">
        <v>20</v>
      </c>
      <c r="K118" t="s">
        <v>40</v>
      </c>
      <c r="L118" t="s">
        <v>38</v>
      </c>
      <c r="M118" t="s">
        <v>19</v>
      </c>
      <c r="N118" t="s">
        <v>21</v>
      </c>
      <c r="O118" t="s">
        <v>20</v>
      </c>
      <c r="P118" t="s">
        <v>20</v>
      </c>
      <c r="Q118" t="s">
        <v>18</v>
      </c>
    </row>
    <row r="119" spans="1:17" x14ac:dyDescent="0.35">
      <c r="A119">
        <v>113</v>
      </c>
      <c r="B119">
        <v>79</v>
      </c>
      <c r="C119" t="s">
        <v>16</v>
      </c>
      <c r="D119">
        <v>177</v>
      </c>
      <c r="E119">
        <v>89</v>
      </c>
      <c r="F119" s="3">
        <v>33.688842104192098</v>
      </c>
      <c r="G119" s="3" t="str">
        <f t="shared" si="1"/>
        <v>Obese</v>
      </c>
      <c r="H119" t="s">
        <v>140</v>
      </c>
      <c r="I119" t="s">
        <v>24</v>
      </c>
      <c r="J119" t="s">
        <v>20</v>
      </c>
      <c r="K119" t="s">
        <v>40</v>
      </c>
      <c r="L119" t="s">
        <v>32</v>
      </c>
      <c r="M119" t="s">
        <v>20</v>
      </c>
      <c r="N119" t="s">
        <v>25</v>
      </c>
      <c r="O119" t="s">
        <v>20</v>
      </c>
      <c r="P119" t="s">
        <v>20</v>
      </c>
      <c r="Q119" t="s">
        <v>40</v>
      </c>
    </row>
    <row r="120" spans="1:17" x14ac:dyDescent="0.35">
      <c r="A120">
        <v>323</v>
      </c>
      <c r="B120">
        <v>76</v>
      </c>
      <c r="C120" t="s">
        <v>27</v>
      </c>
      <c r="D120">
        <v>157</v>
      </c>
      <c r="E120">
        <v>81</v>
      </c>
      <c r="F120" s="3">
        <v>34.0087521526141</v>
      </c>
      <c r="G120" s="3" t="str">
        <f t="shared" si="1"/>
        <v>Obese</v>
      </c>
      <c r="H120" t="s">
        <v>328</v>
      </c>
      <c r="I120" t="s">
        <v>18</v>
      </c>
      <c r="J120" t="s">
        <v>20</v>
      </c>
      <c r="K120" t="s">
        <v>22</v>
      </c>
      <c r="L120" t="s">
        <v>29</v>
      </c>
      <c r="M120" t="s">
        <v>19</v>
      </c>
      <c r="N120" t="s">
        <v>25</v>
      </c>
      <c r="O120" t="s">
        <v>20</v>
      </c>
      <c r="P120" t="s">
        <v>20</v>
      </c>
      <c r="Q120" t="s">
        <v>22</v>
      </c>
    </row>
    <row r="121" spans="1:17" x14ac:dyDescent="0.35">
      <c r="A121">
        <v>330</v>
      </c>
      <c r="B121">
        <v>76</v>
      </c>
      <c r="C121" t="s">
        <v>16</v>
      </c>
      <c r="D121">
        <v>173</v>
      </c>
      <c r="E121">
        <v>64</v>
      </c>
      <c r="F121" s="3">
        <v>30.209577167824602</v>
      </c>
      <c r="G121" s="3" t="str">
        <f t="shared" si="1"/>
        <v>Obese</v>
      </c>
      <c r="H121" t="s">
        <v>335</v>
      </c>
      <c r="I121" t="s">
        <v>24</v>
      </c>
      <c r="J121" t="s">
        <v>20</v>
      </c>
      <c r="K121" t="s">
        <v>22</v>
      </c>
      <c r="L121" t="s">
        <v>38</v>
      </c>
      <c r="M121" t="s">
        <v>19</v>
      </c>
      <c r="N121" t="s">
        <v>25</v>
      </c>
      <c r="O121" t="s">
        <v>19</v>
      </c>
      <c r="P121" t="s">
        <v>19</v>
      </c>
      <c r="Q121" t="s">
        <v>22</v>
      </c>
    </row>
    <row r="122" spans="1:17" x14ac:dyDescent="0.35">
      <c r="A122">
        <v>114</v>
      </c>
      <c r="B122">
        <v>57</v>
      </c>
      <c r="C122" t="s">
        <v>16</v>
      </c>
      <c r="D122">
        <v>187</v>
      </c>
      <c r="E122">
        <v>59</v>
      </c>
      <c r="F122" s="3">
        <v>18.698049949999199</v>
      </c>
      <c r="G122" s="3" t="str">
        <f t="shared" si="1"/>
        <v>Normal Weight</v>
      </c>
      <c r="H122" t="s">
        <v>141</v>
      </c>
      <c r="I122" t="s">
        <v>18</v>
      </c>
      <c r="J122" t="s">
        <v>19</v>
      </c>
      <c r="K122" t="s">
        <v>18</v>
      </c>
      <c r="L122" t="s">
        <v>14</v>
      </c>
      <c r="M122" t="s">
        <v>19</v>
      </c>
      <c r="N122" t="s">
        <v>21</v>
      </c>
      <c r="O122" t="s">
        <v>20</v>
      </c>
      <c r="P122" t="s">
        <v>19</v>
      </c>
      <c r="Q122" t="s">
        <v>40</v>
      </c>
    </row>
    <row r="123" spans="1:17" x14ac:dyDescent="0.35">
      <c r="A123">
        <v>115</v>
      </c>
      <c r="B123">
        <v>38</v>
      </c>
      <c r="C123" t="s">
        <v>27</v>
      </c>
      <c r="D123">
        <v>180</v>
      </c>
      <c r="E123">
        <v>68</v>
      </c>
      <c r="F123" s="3">
        <v>27.621445449352699</v>
      </c>
      <c r="G123" s="3" t="str">
        <f t="shared" si="1"/>
        <v>Overweight</v>
      </c>
      <c r="H123" t="s">
        <v>142</v>
      </c>
      <c r="I123" t="s">
        <v>24</v>
      </c>
      <c r="J123" t="s">
        <v>19</v>
      </c>
      <c r="K123" t="s">
        <v>18</v>
      </c>
      <c r="L123" t="s">
        <v>14</v>
      </c>
      <c r="M123" t="s">
        <v>20</v>
      </c>
      <c r="N123" t="s">
        <v>21</v>
      </c>
      <c r="O123" t="s">
        <v>19</v>
      </c>
      <c r="P123" t="s">
        <v>19</v>
      </c>
      <c r="Q123" t="s">
        <v>18</v>
      </c>
    </row>
    <row r="124" spans="1:17" x14ac:dyDescent="0.35">
      <c r="A124">
        <v>779</v>
      </c>
      <c r="B124">
        <v>76</v>
      </c>
      <c r="C124" t="s">
        <v>27</v>
      </c>
      <c r="D124">
        <v>172</v>
      </c>
      <c r="E124">
        <v>71</v>
      </c>
      <c r="F124" s="3">
        <v>29.672550347462298</v>
      </c>
      <c r="G124" s="3" t="str">
        <f t="shared" si="1"/>
        <v>Overweight</v>
      </c>
      <c r="H124" t="s">
        <v>678</v>
      </c>
      <c r="I124" t="s">
        <v>31</v>
      </c>
      <c r="J124" t="s">
        <v>19</v>
      </c>
      <c r="K124" t="s">
        <v>22</v>
      </c>
      <c r="L124" t="s">
        <v>38</v>
      </c>
      <c r="M124" t="s">
        <v>19</v>
      </c>
      <c r="N124" t="s">
        <v>25</v>
      </c>
      <c r="O124" t="s">
        <v>19</v>
      </c>
      <c r="P124" t="s">
        <v>20</v>
      </c>
      <c r="Q124" t="s">
        <v>18</v>
      </c>
    </row>
    <row r="125" spans="1:17" x14ac:dyDescent="0.35">
      <c r="A125">
        <v>117</v>
      </c>
      <c r="B125">
        <v>62</v>
      </c>
      <c r="C125" t="s">
        <v>16</v>
      </c>
      <c r="D125">
        <v>154</v>
      </c>
      <c r="E125">
        <v>73</v>
      </c>
      <c r="F125" s="3">
        <v>26.502796794146601</v>
      </c>
      <c r="G125" s="3" t="str">
        <f t="shared" si="1"/>
        <v>Overweight</v>
      </c>
      <c r="H125" t="s">
        <v>144</v>
      </c>
      <c r="I125" t="s">
        <v>24</v>
      </c>
      <c r="J125" t="s">
        <v>19</v>
      </c>
      <c r="K125" t="s">
        <v>18</v>
      </c>
      <c r="L125" t="s">
        <v>32</v>
      </c>
      <c r="M125" t="s">
        <v>20</v>
      </c>
      <c r="N125" t="s">
        <v>25</v>
      </c>
      <c r="O125" t="s">
        <v>20</v>
      </c>
      <c r="P125" t="s">
        <v>19</v>
      </c>
      <c r="Q125" t="s">
        <v>40</v>
      </c>
    </row>
    <row r="126" spans="1:17" x14ac:dyDescent="0.35">
      <c r="A126">
        <v>989</v>
      </c>
      <c r="B126">
        <v>76</v>
      </c>
      <c r="C126" t="s">
        <v>27</v>
      </c>
      <c r="D126">
        <v>162</v>
      </c>
      <c r="E126">
        <v>88</v>
      </c>
      <c r="F126" s="3">
        <v>34.432562217784501</v>
      </c>
      <c r="G126" s="3" t="str">
        <f t="shared" si="1"/>
        <v>Obese</v>
      </c>
      <c r="H126" t="s">
        <v>511</v>
      </c>
      <c r="I126" t="s">
        <v>24</v>
      </c>
      <c r="J126" t="s">
        <v>19</v>
      </c>
      <c r="K126" t="s">
        <v>22</v>
      </c>
      <c r="L126" t="s">
        <v>38</v>
      </c>
      <c r="M126" t="s">
        <v>20</v>
      </c>
      <c r="N126" t="s">
        <v>21</v>
      </c>
      <c r="O126" t="s">
        <v>19</v>
      </c>
      <c r="P126" t="s">
        <v>19</v>
      </c>
      <c r="Q126" t="s">
        <v>40</v>
      </c>
    </row>
    <row r="127" spans="1:17" x14ac:dyDescent="0.35">
      <c r="A127">
        <v>1006</v>
      </c>
      <c r="B127">
        <v>76</v>
      </c>
      <c r="C127" t="s">
        <v>16</v>
      </c>
      <c r="D127">
        <v>188</v>
      </c>
      <c r="E127">
        <v>67</v>
      </c>
      <c r="F127" s="3">
        <v>34.128023444104798</v>
      </c>
      <c r="G127" s="3" t="str">
        <f t="shared" si="1"/>
        <v>Obese</v>
      </c>
      <c r="H127" t="s">
        <v>409</v>
      </c>
      <c r="I127" t="s">
        <v>18</v>
      </c>
      <c r="J127" t="s">
        <v>20</v>
      </c>
      <c r="K127" t="s">
        <v>22</v>
      </c>
      <c r="L127" t="s">
        <v>14</v>
      </c>
      <c r="M127" t="s">
        <v>19</v>
      </c>
      <c r="N127" t="s">
        <v>25</v>
      </c>
      <c r="O127" t="s">
        <v>19</v>
      </c>
      <c r="P127" t="s">
        <v>19</v>
      </c>
      <c r="Q127" t="s">
        <v>18</v>
      </c>
    </row>
    <row r="128" spans="1:17" x14ac:dyDescent="0.35">
      <c r="A128">
        <v>118</v>
      </c>
      <c r="B128">
        <v>35</v>
      </c>
      <c r="C128" t="s">
        <v>16</v>
      </c>
      <c r="D128">
        <v>174</v>
      </c>
      <c r="E128">
        <v>54</v>
      </c>
      <c r="F128" s="3">
        <v>19.909149997684899</v>
      </c>
      <c r="G128" s="3" t="str">
        <f t="shared" si="1"/>
        <v>Normal Weight</v>
      </c>
      <c r="H128" t="s">
        <v>145</v>
      </c>
      <c r="I128" t="s">
        <v>24</v>
      </c>
      <c r="J128" t="s">
        <v>19</v>
      </c>
      <c r="K128" t="s">
        <v>18</v>
      </c>
      <c r="L128" t="s">
        <v>38</v>
      </c>
      <c r="M128" t="s">
        <v>20</v>
      </c>
      <c r="N128" t="s">
        <v>21</v>
      </c>
      <c r="O128" t="s">
        <v>20</v>
      </c>
      <c r="P128" t="s">
        <v>20</v>
      </c>
      <c r="Q128" t="s">
        <v>22</v>
      </c>
    </row>
    <row r="129" spans="1:17" x14ac:dyDescent="0.35">
      <c r="A129">
        <v>121</v>
      </c>
      <c r="B129">
        <v>41</v>
      </c>
      <c r="C129" t="s">
        <v>16</v>
      </c>
      <c r="D129">
        <v>153</v>
      </c>
      <c r="E129">
        <v>65</v>
      </c>
      <c r="F129" s="3">
        <v>28.6340730312636</v>
      </c>
      <c r="G129" s="3" t="str">
        <f t="shared" si="1"/>
        <v>Overweight</v>
      </c>
      <c r="H129" t="s">
        <v>147</v>
      </c>
      <c r="I129" t="s">
        <v>31</v>
      </c>
      <c r="J129" t="s">
        <v>20</v>
      </c>
      <c r="K129" t="s">
        <v>18</v>
      </c>
      <c r="L129" t="s">
        <v>32</v>
      </c>
      <c r="M129" t="s">
        <v>19</v>
      </c>
      <c r="N129" t="s">
        <v>25</v>
      </c>
      <c r="O129" t="s">
        <v>19</v>
      </c>
      <c r="P129" t="s">
        <v>20</v>
      </c>
      <c r="Q129" t="s">
        <v>40</v>
      </c>
    </row>
    <row r="130" spans="1:17" x14ac:dyDescent="0.35">
      <c r="A130">
        <v>1212</v>
      </c>
      <c r="B130">
        <v>76</v>
      </c>
      <c r="C130" t="s">
        <v>27</v>
      </c>
      <c r="D130">
        <v>154</v>
      </c>
      <c r="E130">
        <v>75</v>
      </c>
      <c r="F130" s="3">
        <v>34.778396597858801</v>
      </c>
      <c r="G130" s="3" t="str">
        <f t="shared" si="1"/>
        <v>Obese</v>
      </c>
      <c r="H130" t="s">
        <v>931</v>
      </c>
      <c r="I130" t="s">
        <v>24</v>
      </c>
      <c r="J130" t="s">
        <v>19</v>
      </c>
      <c r="K130" t="s">
        <v>22</v>
      </c>
      <c r="L130" t="s">
        <v>29</v>
      </c>
      <c r="M130" t="s">
        <v>20</v>
      </c>
      <c r="N130" t="s">
        <v>21</v>
      </c>
      <c r="O130" t="s">
        <v>20</v>
      </c>
      <c r="P130" t="s">
        <v>19</v>
      </c>
      <c r="Q130" t="s">
        <v>40</v>
      </c>
    </row>
    <row r="131" spans="1:17" x14ac:dyDescent="0.35">
      <c r="A131">
        <v>1272</v>
      </c>
      <c r="B131">
        <v>76</v>
      </c>
      <c r="C131" t="s">
        <v>16</v>
      </c>
      <c r="D131">
        <v>176</v>
      </c>
      <c r="E131">
        <v>82</v>
      </c>
      <c r="F131" s="3">
        <v>34.767913782311098</v>
      </c>
      <c r="G131" s="3" t="str">
        <f t="shared" ref="G131:G194" si="2">_xlfn.IFS(F131&lt;18.5, "Underweight", F131&lt;=24.9, "Normal Weight", F131&lt;=29.9, "Overweight", TRUE, "Obese")</f>
        <v>Obese</v>
      </c>
      <c r="H131" t="s">
        <v>855</v>
      </c>
      <c r="I131" t="s">
        <v>18</v>
      </c>
      <c r="J131" t="s">
        <v>20</v>
      </c>
      <c r="K131" t="s">
        <v>22</v>
      </c>
      <c r="L131" t="s">
        <v>29</v>
      </c>
      <c r="M131" t="s">
        <v>20</v>
      </c>
      <c r="N131" t="s">
        <v>21</v>
      </c>
      <c r="O131" t="s">
        <v>19</v>
      </c>
      <c r="P131" t="s">
        <v>19</v>
      </c>
      <c r="Q131" t="s">
        <v>18</v>
      </c>
    </row>
    <row r="132" spans="1:17" x14ac:dyDescent="0.35">
      <c r="A132">
        <v>123</v>
      </c>
      <c r="B132">
        <v>42</v>
      </c>
      <c r="C132" t="s">
        <v>16</v>
      </c>
      <c r="D132">
        <v>169</v>
      </c>
      <c r="E132">
        <v>64</v>
      </c>
      <c r="F132" s="3">
        <v>26.477718404262198</v>
      </c>
      <c r="G132" s="3" t="str">
        <f t="shared" si="2"/>
        <v>Overweight</v>
      </c>
      <c r="H132" t="s">
        <v>68</v>
      </c>
      <c r="I132" t="s">
        <v>24</v>
      </c>
      <c r="J132" t="s">
        <v>20</v>
      </c>
      <c r="K132" t="s">
        <v>18</v>
      </c>
      <c r="L132" t="s">
        <v>14</v>
      </c>
      <c r="M132" t="s">
        <v>19</v>
      </c>
      <c r="N132" t="s">
        <v>25</v>
      </c>
      <c r="O132" t="s">
        <v>20</v>
      </c>
      <c r="P132" t="s">
        <v>20</v>
      </c>
      <c r="Q132" t="s">
        <v>40</v>
      </c>
    </row>
    <row r="133" spans="1:17" x14ac:dyDescent="0.35">
      <c r="A133">
        <v>124</v>
      </c>
      <c r="B133">
        <v>77</v>
      </c>
      <c r="C133" t="s">
        <v>27</v>
      </c>
      <c r="D133">
        <v>183</v>
      </c>
      <c r="E133">
        <v>84</v>
      </c>
      <c r="F133" s="3">
        <v>25.580966617312299</v>
      </c>
      <c r="G133" s="3" t="str">
        <f t="shared" si="2"/>
        <v>Overweight</v>
      </c>
      <c r="H133" t="s">
        <v>148</v>
      </c>
      <c r="I133" t="s">
        <v>31</v>
      </c>
      <c r="J133" t="s">
        <v>19</v>
      </c>
      <c r="K133" t="s">
        <v>40</v>
      </c>
      <c r="L133" t="s">
        <v>14</v>
      </c>
      <c r="M133" t="s">
        <v>19</v>
      </c>
      <c r="N133" t="s">
        <v>21</v>
      </c>
      <c r="O133" t="s">
        <v>19</v>
      </c>
      <c r="P133" t="s">
        <v>20</v>
      </c>
      <c r="Q133" t="s">
        <v>40</v>
      </c>
    </row>
    <row r="134" spans="1:17" x14ac:dyDescent="0.35">
      <c r="A134">
        <v>127</v>
      </c>
      <c r="B134">
        <v>62</v>
      </c>
      <c r="C134" t="s">
        <v>27</v>
      </c>
      <c r="D134">
        <v>184</v>
      </c>
      <c r="E134">
        <v>93</v>
      </c>
      <c r="F134" s="3">
        <v>32.318296573709702</v>
      </c>
      <c r="G134" s="3" t="str">
        <f t="shared" si="2"/>
        <v>Obese</v>
      </c>
      <c r="H134" t="s">
        <v>151</v>
      </c>
      <c r="I134" t="s">
        <v>31</v>
      </c>
      <c r="J134" t="s">
        <v>19</v>
      </c>
      <c r="K134" t="s">
        <v>18</v>
      </c>
      <c r="L134" t="s">
        <v>32</v>
      </c>
      <c r="M134" t="s">
        <v>19</v>
      </c>
      <c r="N134" t="s">
        <v>25</v>
      </c>
      <c r="O134" t="s">
        <v>20</v>
      </c>
      <c r="P134" t="s">
        <v>19</v>
      </c>
      <c r="Q134" t="s">
        <v>22</v>
      </c>
    </row>
    <row r="135" spans="1:17" x14ac:dyDescent="0.35">
      <c r="A135">
        <v>1603</v>
      </c>
      <c r="B135">
        <v>76</v>
      </c>
      <c r="C135" t="s">
        <v>27</v>
      </c>
      <c r="D135">
        <v>189</v>
      </c>
      <c r="E135">
        <v>63</v>
      </c>
      <c r="F135" s="3">
        <v>30.9563869064533</v>
      </c>
      <c r="G135" s="3" t="str">
        <f t="shared" si="2"/>
        <v>Obese</v>
      </c>
      <c r="H135" t="s">
        <v>1115</v>
      </c>
      <c r="I135" t="s">
        <v>18</v>
      </c>
      <c r="J135" t="s">
        <v>19</v>
      </c>
      <c r="K135" t="s">
        <v>22</v>
      </c>
      <c r="L135" t="s">
        <v>14</v>
      </c>
      <c r="M135" t="s">
        <v>20</v>
      </c>
      <c r="N135" t="s">
        <v>25</v>
      </c>
      <c r="O135" t="s">
        <v>19</v>
      </c>
      <c r="P135" t="s">
        <v>19</v>
      </c>
      <c r="Q135" t="s">
        <v>22</v>
      </c>
    </row>
    <row r="136" spans="1:17" x14ac:dyDescent="0.35">
      <c r="A136">
        <v>129</v>
      </c>
      <c r="B136">
        <v>46</v>
      </c>
      <c r="C136" t="s">
        <v>27</v>
      </c>
      <c r="D136">
        <v>178</v>
      </c>
      <c r="E136">
        <v>96</v>
      </c>
      <c r="F136" s="3">
        <v>21.716811479727401</v>
      </c>
      <c r="G136" s="3" t="str">
        <f t="shared" si="2"/>
        <v>Normal Weight</v>
      </c>
      <c r="H136" t="s">
        <v>153</v>
      </c>
      <c r="I136" t="s">
        <v>24</v>
      </c>
      <c r="J136" t="s">
        <v>20</v>
      </c>
      <c r="K136" t="s">
        <v>18</v>
      </c>
      <c r="L136" t="s">
        <v>32</v>
      </c>
      <c r="M136" t="s">
        <v>19</v>
      </c>
      <c r="N136" t="s">
        <v>21</v>
      </c>
      <c r="O136" t="s">
        <v>20</v>
      </c>
      <c r="P136" t="s">
        <v>20</v>
      </c>
      <c r="Q136" t="s">
        <v>18</v>
      </c>
    </row>
    <row r="137" spans="1:17" x14ac:dyDescent="0.35">
      <c r="A137">
        <v>1644</v>
      </c>
      <c r="B137">
        <v>76</v>
      </c>
      <c r="C137" t="s">
        <v>16</v>
      </c>
      <c r="D137">
        <v>173</v>
      </c>
      <c r="E137">
        <v>51</v>
      </c>
      <c r="F137" s="3">
        <v>28.0962158245209</v>
      </c>
      <c r="G137" s="3" t="str">
        <f t="shared" si="2"/>
        <v>Overweight</v>
      </c>
      <c r="H137" t="s">
        <v>770</v>
      </c>
      <c r="I137" t="s">
        <v>18</v>
      </c>
      <c r="J137" t="s">
        <v>20</v>
      </c>
      <c r="K137" t="s">
        <v>22</v>
      </c>
      <c r="L137" t="s">
        <v>14</v>
      </c>
      <c r="M137" t="s">
        <v>19</v>
      </c>
      <c r="N137" t="s">
        <v>21</v>
      </c>
      <c r="O137" t="s">
        <v>20</v>
      </c>
      <c r="P137" t="s">
        <v>20</v>
      </c>
      <c r="Q137" t="s">
        <v>40</v>
      </c>
    </row>
    <row r="138" spans="1:17" x14ac:dyDescent="0.35">
      <c r="A138">
        <v>135</v>
      </c>
      <c r="B138">
        <v>26</v>
      </c>
      <c r="C138" t="s">
        <v>16</v>
      </c>
      <c r="D138">
        <v>151</v>
      </c>
      <c r="E138">
        <v>61</v>
      </c>
      <c r="F138" s="3">
        <v>19.101607338622699</v>
      </c>
      <c r="G138" s="3" t="str">
        <f t="shared" si="2"/>
        <v>Normal Weight</v>
      </c>
      <c r="H138" t="s">
        <v>159</v>
      </c>
      <c r="I138" t="s">
        <v>31</v>
      </c>
      <c r="J138" t="s">
        <v>20</v>
      </c>
      <c r="K138" t="s">
        <v>18</v>
      </c>
      <c r="L138" t="s">
        <v>29</v>
      </c>
      <c r="M138" t="s">
        <v>19</v>
      </c>
      <c r="N138" t="s">
        <v>21</v>
      </c>
      <c r="O138" t="s">
        <v>19</v>
      </c>
      <c r="P138" t="s">
        <v>19</v>
      </c>
      <c r="Q138" t="s">
        <v>22</v>
      </c>
    </row>
    <row r="139" spans="1:17" x14ac:dyDescent="0.35">
      <c r="A139">
        <v>136</v>
      </c>
      <c r="B139">
        <v>41</v>
      </c>
      <c r="C139" t="s">
        <v>16</v>
      </c>
      <c r="D139">
        <v>158</v>
      </c>
      <c r="E139">
        <v>72</v>
      </c>
      <c r="F139" s="3">
        <v>19.3702752106765</v>
      </c>
      <c r="G139" s="3" t="str">
        <f t="shared" si="2"/>
        <v>Normal Weight</v>
      </c>
      <c r="H139" t="s">
        <v>160</v>
      </c>
      <c r="I139" t="s">
        <v>24</v>
      </c>
      <c r="J139" t="s">
        <v>20</v>
      </c>
      <c r="K139" t="s">
        <v>18</v>
      </c>
      <c r="L139" t="s">
        <v>38</v>
      </c>
      <c r="M139" t="s">
        <v>19</v>
      </c>
      <c r="N139" t="s">
        <v>25</v>
      </c>
      <c r="O139" t="s">
        <v>20</v>
      </c>
      <c r="P139" t="s">
        <v>20</v>
      </c>
      <c r="Q139" t="s">
        <v>22</v>
      </c>
    </row>
    <row r="140" spans="1:17" x14ac:dyDescent="0.35">
      <c r="A140">
        <v>137</v>
      </c>
      <c r="B140">
        <v>18</v>
      </c>
      <c r="C140" t="s">
        <v>16</v>
      </c>
      <c r="D140">
        <v>170</v>
      </c>
      <c r="E140">
        <v>53</v>
      </c>
      <c r="F140" s="3">
        <v>32.263707785439202</v>
      </c>
      <c r="G140" s="3" t="str">
        <f t="shared" si="2"/>
        <v>Obese</v>
      </c>
      <c r="H140" t="s">
        <v>161</v>
      </c>
      <c r="I140" t="s">
        <v>18</v>
      </c>
      <c r="J140" t="s">
        <v>19</v>
      </c>
      <c r="K140" t="s">
        <v>18</v>
      </c>
      <c r="L140" t="s">
        <v>14</v>
      </c>
      <c r="M140" t="s">
        <v>20</v>
      </c>
      <c r="N140" t="s">
        <v>25</v>
      </c>
      <c r="O140" t="s">
        <v>20</v>
      </c>
      <c r="P140" t="s">
        <v>20</v>
      </c>
      <c r="Q140" t="s">
        <v>22</v>
      </c>
    </row>
    <row r="141" spans="1:17" x14ac:dyDescent="0.35">
      <c r="A141">
        <v>1889</v>
      </c>
      <c r="B141">
        <v>76</v>
      </c>
      <c r="C141" t="s">
        <v>16</v>
      </c>
      <c r="D141">
        <v>189</v>
      </c>
      <c r="E141">
        <v>62</v>
      </c>
      <c r="F141" s="3">
        <v>33.505820456604397</v>
      </c>
      <c r="G141" s="3" t="str">
        <f t="shared" si="2"/>
        <v>Obese</v>
      </c>
      <c r="H141" t="s">
        <v>686</v>
      </c>
      <c r="I141" t="s">
        <v>18</v>
      </c>
      <c r="J141" t="s">
        <v>19</v>
      </c>
      <c r="K141" t="s">
        <v>22</v>
      </c>
      <c r="L141" t="s">
        <v>29</v>
      </c>
      <c r="M141" t="s">
        <v>20</v>
      </c>
      <c r="N141" t="s">
        <v>25</v>
      </c>
      <c r="O141" t="s">
        <v>19</v>
      </c>
      <c r="P141" t="s">
        <v>19</v>
      </c>
      <c r="Q141" t="s">
        <v>18</v>
      </c>
    </row>
    <row r="142" spans="1:17" x14ac:dyDescent="0.35">
      <c r="A142">
        <v>139</v>
      </c>
      <c r="B142">
        <v>25</v>
      </c>
      <c r="C142" t="s">
        <v>27</v>
      </c>
      <c r="D142">
        <v>183</v>
      </c>
      <c r="E142">
        <v>97</v>
      </c>
      <c r="F142" s="3">
        <v>19.244997512802801</v>
      </c>
      <c r="G142" s="3" t="str">
        <f t="shared" si="2"/>
        <v>Normal Weight</v>
      </c>
      <c r="H142" t="s">
        <v>163</v>
      </c>
      <c r="I142" t="s">
        <v>24</v>
      </c>
      <c r="J142" t="s">
        <v>19</v>
      </c>
      <c r="K142" t="s">
        <v>18</v>
      </c>
      <c r="L142" t="s">
        <v>14</v>
      </c>
      <c r="M142" t="s">
        <v>19</v>
      </c>
      <c r="N142" t="s">
        <v>21</v>
      </c>
      <c r="O142" t="s">
        <v>20</v>
      </c>
      <c r="P142" t="s">
        <v>19</v>
      </c>
      <c r="Q142" t="s">
        <v>22</v>
      </c>
    </row>
    <row r="143" spans="1:17" x14ac:dyDescent="0.35">
      <c r="A143">
        <v>1924</v>
      </c>
      <c r="B143">
        <v>76</v>
      </c>
      <c r="C143" t="s">
        <v>27</v>
      </c>
      <c r="D143">
        <v>181</v>
      </c>
      <c r="E143">
        <v>70</v>
      </c>
      <c r="F143" s="3">
        <v>22.882195372071401</v>
      </c>
      <c r="G143" s="3" t="str">
        <f t="shared" si="2"/>
        <v>Normal Weight</v>
      </c>
      <c r="H143" t="s">
        <v>884</v>
      </c>
      <c r="I143" t="s">
        <v>24</v>
      </c>
      <c r="J143" t="s">
        <v>20</v>
      </c>
      <c r="K143" t="s">
        <v>22</v>
      </c>
      <c r="L143" t="s">
        <v>14</v>
      </c>
      <c r="M143" t="s">
        <v>19</v>
      </c>
      <c r="N143" t="s">
        <v>21</v>
      </c>
      <c r="O143" t="s">
        <v>19</v>
      </c>
      <c r="P143" t="s">
        <v>19</v>
      </c>
      <c r="Q143" t="s">
        <v>18</v>
      </c>
    </row>
    <row r="144" spans="1:17" x14ac:dyDescent="0.35">
      <c r="A144">
        <v>1953</v>
      </c>
      <c r="B144">
        <v>76</v>
      </c>
      <c r="C144" t="s">
        <v>16</v>
      </c>
      <c r="D144">
        <v>188</v>
      </c>
      <c r="E144">
        <v>64</v>
      </c>
      <c r="F144" s="3">
        <v>32.549571497168003</v>
      </c>
      <c r="G144" s="3" t="str">
        <f t="shared" si="2"/>
        <v>Obese</v>
      </c>
      <c r="H144" t="s">
        <v>1256</v>
      </c>
      <c r="I144" t="s">
        <v>24</v>
      </c>
      <c r="J144" t="s">
        <v>19</v>
      </c>
      <c r="K144" t="s">
        <v>22</v>
      </c>
      <c r="L144" t="s">
        <v>29</v>
      </c>
      <c r="M144" t="s">
        <v>19</v>
      </c>
      <c r="N144" t="s">
        <v>25</v>
      </c>
      <c r="O144" t="s">
        <v>20</v>
      </c>
      <c r="P144" t="s">
        <v>19</v>
      </c>
      <c r="Q144" t="s">
        <v>40</v>
      </c>
    </row>
    <row r="145" spans="1:17" x14ac:dyDescent="0.35">
      <c r="A145">
        <v>140</v>
      </c>
      <c r="B145">
        <v>41</v>
      </c>
      <c r="C145" t="s">
        <v>27</v>
      </c>
      <c r="D145">
        <v>171</v>
      </c>
      <c r="E145">
        <v>97</v>
      </c>
      <c r="F145" s="3">
        <v>25.725348137857999</v>
      </c>
      <c r="G145" s="3" t="str">
        <f t="shared" si="2"/>
        <v>Overweight</v>
      </c>
      <c r="H145" t="s">
        <v>164</v>
      </c>
      <c r="I145" t="s">
        <v>24</v>
      </c>
      <c r="J145" t="s">
        <v>19</v>
      </c>
      <c r="K145" t="s">
        <v>18</v>
      </c>
      <c r="L145" t="s">
        <v>32</v>
      </c>
      <c r="M145" t="s">
        <v>19</v>
      </c>
      <c r="N145" t="s">
        <v>25</v>
      </c>
      <c r="O145" t="s">
        <v>19</v>
      </c>
      <c r="P145" t="s">
        <v>20</v>
      </c>
      <c r="Q145" t="s">
        <v>40</v>
      </c>
    </row>
    <row r="146" spans="1:17" x14ac:dyDescent="0.35">
      <c r="A146">
        <v>144</v>
      </c>
      <c r="B146">
        <v>25</v>
      </c>
      <c r="C146" t="s">
        <v>27</v>
      </c>
      <c r="D146">
        <v>179</v>
      </c>
      <c r="E146">
        <v>79</v>
      </c>
      <c r="F146" s="3">
        <v>19.158721787301801</v>
      </c>
      <c r="G146" s="3" t="str">
        <f t="shared" si="2"/>
        <v>Normal Weight</v>
      </c>
      <c r="H146" t="s">
        <v>168</v>
      </c>
      <c r="I146" t="s">
        <v>18</v>
      </c>
      <c r="J146" t="s">
        <v>19</v>
      </c>
      <c r="K146" t="s">
        <v>18</v>
      </c>
      <c r="L146" t="s">
        <v>32</v>
      </c>
      <c r="M146" t="s">
        <v>19</v>
      </c>
      <c r="N146" t="s">
        <v>21</v>
      </c>
      <c r="O146" t="s">
        <v>19</v>
      </c>
      <c r="P146" t="s">
        <v>20</v>
      </c>
      <c r="Q146" t="s">
        <v>18</v>
      </c>
    </row>
    <row r="147" spans="1:17" x14ac:dyDescent="0.35">
      <c r="A147">
        <v>10</v>
      </c>
      <c r="B147">
        <v>75</v>
      </c>
      <c r="C147" t="s">
        <v>16</v>
      </c>
      <c r="D147">
        <v>177</v>
      </c>
      <c r="E147">
        <v>65</v>
      </c>
      <c r="F147" s="3">
        <v>22.064518766485602</v>
      </c>
      <c r="G147" s="3" t="str">
        <f t="shared" si="2"/>
        <v>Normal Weight</v>
      </c>
      <c r="H147" t="s">
        <v>37</v>
      </c>
      <c r="I147" t="s">
        <v>24</v>
      </c>
      <c r="J147" t="s">
        <v>20</v>
      </c>
      <c r="K147" t="s">
        <v>22</v>
      </c>
      <c r="L147" t="s">
        <v>38</v>
      </c>
      <c r="M147" t="s">
        <v>19</v>
      </c>
      <c r="N147" t="s">
        <v>25</v>
      </c>
      <c r="O147" t="s">
        <v>20</v>
      </c>
      <c r="P147" t="s">
        <v>19</v>
      </c>
      <c r="Q147" t="s">
        <v>18</v>
      </c>
    </row>
    <row r="148" spans="1:17" x14ac:dyDescent="0.35">
      <c r="A148">
        <v>145</v>
      </c>
      <c r="B148">
        <v>52</v>
      </c>
      <c r="C148" t="s">
        <v>16</v>
      </c>
      <c r="D148">
        <v>175</v>
      </c>
      <c r="E148">
        <v>52</v>
      </c>
      <c r="F148" s="3">
        <v>25.909795483225398</v>
      </c>
      <c r="G148" s="3" t="str">
        <f t="shared" si="2"/>
        <v>Overweight</v>
      </c>
      <c r="H148" t="s">
        <v>169</v>
      </c>
      <c r="I148" t="s">
        <v>18</v>
      </c>
      <c r="J148" t="s">
        <v>19</v>
      </c>
      <c r="K148" t="s">
        <v>18</v>
      </c>
      <c r="L148" t="s">
        <v>32</v>
      </c>
      <c r="M148" t="s">
        <v>19</v>
      </c>
      <c r="N148" t="s">
        <v>21</v>
      </c>
      <c r="O148" t="s">
        <v>20</v>
      </c>
      <c r="P148" t="s">
        <v>19</v>
      </c>
      <c r="Q148" t="s">
        <v>18</v>
      </c>
    </row>
    <row r="149" spans="1:17" x14ac:dyDescent="0.35">
      <c r="A149">
        <v>147</v>
      </c>
      <c r="B149">
        <v>50</v>
      </c>
      <c r="C149" t="s">
        <v>27</v>
      </c>
      <c r="D149">
        <v>177</v>
      </c>
      <c r="E149">
        <v>74</v>
      </c>
      <c r="F149" s="3">
        <v>27.9199663869103</v>
      </c>
      <c r="G149" s="3" t="str">
        <f t="shared" si="2"/>
        <v>Overweight</v>
      </c>
      <c r="H149" t="s">
        <v>140</v>
      </c>
      <c r="I149" t="s">
        <v>24</v>
      </c>
      <c r="J149" t="s">
        <v>20</v>
      </c>
      <c r="K149" t="s">
        <v>18</v>
      </c>
      <c r="L149" t="s">
        <v>29</v>
      </c>
      <c r="M149" t="s">
        <v>19</v>
      </c>
      <c r="N149" t="s">
        <v>21</v>
      </c>
      <c r="O149" t="s">
        <v>20</v>
      </c>
      <c r="P149" t="s">
        <v>20</v>
      </c>
      <c r="Q149" t="s">
        <v>22</v>
      </c>
    </row>
    <row r="150" spans="1:17" x14ac:dyDescent="0.35">
      <c r="A150">
        <v>148</v>
      </c>
      <c r="B150">
        <v>76</v>
      </c>
      <c r="C150" t="s">
        <v>27</v>
      </c>
      <c r="D150">
        <v>175</v>
      </c>
      <c r="E150">
        <v>69</v>
      </c>
      <c r="F150" s="3">
        <v>23.985040420876999</v>
      </c>
      <c r="G150" s="3" t="str">
        <f t="shared" si="2"/>
        <v>Normal Weight</v>
      </c>
      <c r="H150" t="s">
        <v>171</v>
      </c>
      <c r="I150" t="s">
        <v>31</v>
      </c>
      <c r="J150" t="s">
        <v>19</v>
      </c>
      <c r="K150" t="s">
        <v>40</v>
      </c>
      <c r="L150" t="s">
        <v>38</v>
      </c>
      <c r="M150" t="s">
        <v>20</v>
      </c>
      <c r="N150" t="s">
        <v>25</v>
      </c>
      <c r="O150" t="s">
        <v>19</v>
      </c>
      <c r="P150" t="s">
        <v>20</v>
      </c>
      <c r="Q150" t="s">
        <v>40</v>
      </c>
    </row>
    <row r="151" spans="1:17" x14ac:dyDescent="0.35">
      <c r="A151">
        <v>150</v>
      </c>
      <c r="B151">
        <v>59</v>
      </c>
      <c r="C151" t="s">
        <v>27</v>
      </c>
      <c r="D151">
        <v>170</v>
      </c>
      <c r="E151">
        <v>71</v>
      </c>
      <c r="F151" s="3">
        <v>20.2592897124538</v>
      </c>
      <c r="G151" s="3" t="str">
        <f t="shared" si="2"/>
        <v>Normal Weight</v>
      </c>
      <c r="H151" t="s">
        <v>173</v>
      </c>
      <c r="I151" t="s">
        <v>24</v>
      </c>
      <c r="J151" t="s">
        <v>20</v>
      </c>
      <c r="K151" t="s">
        <v>18</v>
      </c>
      <c r="L151" t="s">
        <v>38</v>
      </c>
      <c r="M151" t="s">
        <v>19</v>
      </c>
      <c r="N151" t="s">
        <v>21</v>
      </c>
      <c r="O151" t="s">
        <v>20</v>
      </c>
      <c r="P151" t="s">
        <v>19</v>
      </c>
      <c r="Q151" t="s">
        <v>18</v>
      </c>
    </row>
    <row r="152" spans="1:17" x14ac:dyDescent="0.35">
      <c r="A152">
        <v>152</v>
      </c>
      <c r="B152">
        <v>75</v>
      </c>
      <c r="C152" t="s">
        <v>27</v>
      </c>
      <c r="D152">
        <v>183</v>
      </c>
      <c r="E152">
        <v>82</v>
      </c>
      <c r="F152" s="3">
        <v>20.141662036403901</v>
      </c>
      <c r="G152" s="3" t="str">
        <f t="shared" si="2"/>
        <v>Normal Weight</v>
      </c>
      <c r="H152" t="s">
        <v>174</v>
      </c>
      <c r="I152" t="s">
        <v>18</v>
      </c>
      <c r="J152" t="s">
        <v>20</v>
      </c>
      <c r="K152" t="s">
        <v>40</v>
      </c>
      <c r="L152" t="s">
        <v>14</v>
      </c>
      <c r="M152" t="s">
        <v>20</v>
      </c>
      <c r="N152" t="s">
        <v>21</v>
      </c>
      <c r="O152" t="s">
        <v>19</v>
      </c>
      <c r="P152" t="s">
        <v>20</v>
      </c>
      <c r="Q152" t="s">
        <v>40</v>
      </c>
    </row>
    <row r="153" spans="1:17" x14ac:dyDescent="0.35">
      <c r="A153">
        <v>493</v>
      </c>
      <c r="B153">
        <v>75</v>
      </c>
      <c r="C153" t="s">
        <v>27</v>
      </c>
      <c r="D153">
        <v>162</v>
      </c>
      <c r="E153">
        <v>96</v>
      </c>
      <c r="F153" s="3">
        <v>27.4892179070556</v>
      </c>
      <c r="G153" s="3" t="str">
        <f t="shared" si="2"/>
        <v>Overweight</v>
      </c>
      <c r="H153" t="s">
        <v>459</v>
      </c>
      <c r="I153" t="s">
        <v>24</v>
      </c>
      <c r="J153" t="s">
        <v>20</v>
      </c>
      <c r="K153" t="s">
        <v>22</v>
      </c>
      <c r="L153" t="s">
        <v>14</v>
      </c>
      <c r="M153" t="s">
        <v>19</v>
      </c>
      <c r="N153" t="s">
        <v>21</v>
      </c>
      <c r="O153" t="s">
        <v>20</v>
      </c>
      <c r="P153" t="s">
        <v>20</v>
      </c>
      <c r="Q153" t="s">
        <v>18</v>
      </c>
    </row>
    <row r="154" spans="1:17" x14ac:dyDescent="0.35">
      <c r="A154">
        <v>154</v>
      </c>
      <c r="B154">
        <v>45</v>
      </c>
      <c r="C154" t="s">
        <v>27</v>
      </c>
      <c r="D154">
        <v>160</v>
      </c>
      <c r="E154">
        <v>64</v>
      </c>
      <c r="F154" s="3">
        <v>34.443525912844997</v>
      </c>
      <c r="G154" s="3" t="str">
        <f t="shared" si="2"/>
        <v>Obese</v>
      </c>
      <c r="H154" t="s">
        <v>176</v>
      </c>
      <c r="I154" t="s">
        <v>24</v>
      </c>
      <c r="J154" t="s">
        <v>19</v>
      </c>
      <c r="K154" t="s">
        <v>18</v>
      </c>
      <c r="L154" t="s">
        <v>38</v>
      </c>
      <c r="M154" t="s">
        <v>19</v>
      </c>
      <c r="N154" t="s">
        <v>25</v>
      </c>
      <c r="O154" t="s">
        <v>19</v>
      </c>
      <c r="P154" t="s">
        <v>19</v>
      </c>
      <c r="Q154" t="s">
        <v>22</v>
      </c>
    </row>
    <row r="155" spans="1:17" x14ac:dyDescent="0.35">
      <c r="A155">
        <v>549</v>
      </c>
      <c r="B155">
        <v>75</v>
      </c>
      <c r="C155" t="s">
        <v>16</v>
      </c>
      <c r="D155">
        <v>187</v>
      </c>
      <c r="E155">
        <v>81</v>
      </c>
      <c r="F155" s="3">
        <v>23.618882181787601</v>
      </c>
      <c r="G155" s="3" t="str">
        <f t="shared" si="2"/>
        <v>Normal Weight</v>
      </c>
      <c r="H155" t="s">
        <v>504</v>
      </c>
      <c r="I155" t="s">
        <v>31</v>
      </c>
      <c r="J155" t="s">
        <v>19</v>
      </c>
      <c r="K155" t="s">
        <v>22</v>
      </c>
      <c r="L155" t="s">
        <v>32</v>
      </c>
      <c r="M155" t="s">
        <v>20</v>
      </c>
      <c r="N155" t="s">
        <v>25</v>
      </c>
      <c r="O155" t="s">
        <v>20</v>
      </c>
      <c r="P155" t="s">
        <v>20</v>
      </c>
      <c r="Q155" t="s">
        <v>22</v>
      </c>
    </row>
    <row r="156" spans="1:17" x14ac:dyDescent="0.35">
      <c r="A156">
        <v>155</v>
      </c>
      <c r="B156">
        <v>24</v>
      </c>
      <c r="C156" t="s">
        <v>16</v>
      </c>
      <c r="D156">
        <v>172</v>
      </c>
      <c r="E156">
        <v>95</v>
      </c>
      <c r="F156" s="3">
        <v>34.506228535000602</v>
      </c>
      <c r="G156" s="3" t="str">
        <f t="shared" si="2"/>
        <v>Obese</v>
      </c>
      <c r="H156" t="s">
        <v>177</v>
      </c>
      <c r="I156" t="s">
        <v>18</v>
      </c>
      <c r="J156" t="s">
        <v>20</v>
      </c>
      <c r="K156" t="s">
        <v>18</v>
      </c>
      <c r="L156" t="s">
        <v>38</v>
      </c>
      <c r="M156" t="s">
        <v>19</v>
      </c>
      <c r="N156" t="s">
        <v>25</v>
      </c>
      <c r="O156" t="s">
        <v>20</v>
      </c>
      <c r="P156" t="s">
        <v>20</v>
      </c>
      <c r="Q156" t="s">
        <v>18</v>
      </c>
    </row>
    <row r="157" spans="1:17" x14ac:dyDescent="0.35">
      <c r="A157">
        <v>554</v>
      </c>
      <c r="B157">
        <v>75</v>
      </c>
      <c r="C157" t="s">
        <v>27</v>
      </c>
      <c r="D157">
        <v>164</v>
      </c>
      <c r="E157">
        <v>69</v>
      </c>
      <c r="F157" s="3">
        <v>26.155759387766199</v>
      </c>
      <c r="G157" s="3" t="str">
        <f t="shared" si="2"/>
        <v>Overweight</v>
      </c>
      <c r="H157" t="s">
        <v>509</v>
      </c>
      <c r="I157" t="s">
        <v>18</v>
      </c>
      <c r="J157" t="s">
        <v>20</v>
      </c>
      <c r="K157" t="s">
        <v>22</v>
      </c>
      <c r="L157" t="s">
        <v>29</v>
      </c>
      <c r="M157" t="s">
        <v>20</v>
      </c>
      <c r="N157" t="s">
        <v>25</v>
      </c>
      <c r="O157" t="s">
        <v>20</v>
      </c>
      <c r="P157" t="s">
        <v>20</v>
      </c>
      <c r="Q157" t="s">
        <v>18</v>
      </c>
    </row>
    <row r="158" spans="1:17" x14ac:dyDescent="0.35">
      <c r="A158">
        <v>595</v>
      </c>
      <c r="B158">
        <v>75</v>
      </c>
      <c r="C158" t="s">
        <v>16</v>
      </c>
      <c r="D158">
        <v>157</v>
      </c>
      <c r="E158">
        <v>60</v>
      </c>
      <c r="F158" s="3">
        <v>22.7907926641651</v>
      </c>
      <c r="G158" s="3" t="str">
        <f t="shared" si="2"/>
        <v>Normal Weight</v>
      </c>
      <c r="H158" t="s">
        <v>543</v>
      </c>
      <c r="I158" t="s">
        <v>24</v>
      </c>
      <c r="J158" t="s">
        <v>20</v>
      </c>
      <c r="K158" t="s">
        <v>22</v>
      </c>
      <c r="L158" t="s">
        <v>38</v>
      </c>
      <c r="M158" t="s">
        <v>19</v>
      </c>
      <c r="N158" t="s">
        <v>21</v>
      </c>
      <c r="O158" t="s">
        <v>19</v>
      </c>
      <c r="P158" t="s">
        <v>19</v>
      </c>
      <c r="Q158" t="s">
        <v>18</v>
      </c>
    </row>
    <row r="159" spans="1:17" x14ac:dyDescent="0.35">
      <c r="A159">
        <v>607</v>
      </c>
      <c r="B159">
        <v>75</v>
      </c>
      <c r="C159" t="s">
        <v>16</v>
      </c>
      <c r="D159">
        <v>164</v>
      </c>
      <c r="E159">
        <v>77</v>
      </c>
      <c r="F159" s="3">
        <v>22.848599411696799</v>
      </c>
      <c r="G159" s="3" t="str">
        <f t="shared" si="2"/>
        <v>Normal Weight</v>
      </c>
      <c r="H159" t="s">
        <v>552</v>
      </c>
      <c r="I159" t="s">
        <v>18</v>
      </c>
      <c r="J159" t="s">
        <v>20</v>
      </c>
      <c r="K159" t="s">
        <v>22</v>
      </c>
      <c r="L159" t="s">
        <v>29</v>
      </c>
      <c r="M159" t="s">
        <v>20</v>
      </c>
      <c r="N159" t="s">
        <v>25</v>
      </c>
      <c r="O159" t="s">
        <v>20</v>
      </c>
      <c r="P159" t="s">
        <v>19</v>
      </c>
      <c r="Q159" t="s">
        <v>40</v>
      </c>
    </row>
    <row r="160" spans="1:17" x14ac:dyDescent="0.35">
      <c r="A160">
        <v>160</v>
      </c>
      <c r="B160">
        <v>50</v>
      </c>
      <c r="C160" t="s">
        <v>16</v>
      </c>
      <c r="D160">
        <v>179</v>
      </c>
      <c r="E160">
        <v>73</v>
      </c>
      <c r="F160" s="3">
        <v>28.907711932848201</v>
      </c>
      <c r="G160" s="3" t="str">
        <f t="shared" si="2"/>
        <v>Overweight</v>
      </c>
      <c r="H160" t="s">
        <v>182</v>
      </c>
      <c r="I160" t="s">
        <v>31</v>
      </c>
      <c r="J160" t="s">
        <v>20</v>
      </c>
      <c r="K160" t="s">
        <v>18</v>
      </c>
      <c r="L160" t="s">
        <v>32</v>
      </c>
      <c r="M160" t="s">
        <v>20</v>
      </c>
      <c r="N160" t="s">
        <v>21</v>
      </c>
      <c r="O160" t="s">
        <v>19</v>
      </c>
      <c r="P160" t="s">
        <v>19</v>
      </c>
      <c r="Q160" t="s">
        <v>40</v>
      </c>
    </row>
    <row r="161" spans="1:17" x14ac:dyDescent="0.35">
      <c r="A161">
        <v>166</v>
      </c>
      <c r="B161">
        <v>54</v>
      </c>
      <c r="C161" t="s">
        <v>16</v>
      </c>
      <c r="D161">
        <v>165</v>
      </c>
      <c r="E161">
        <v>93</v>
      </c>
      <c r="F161" s="3">
        <v>33.756589553622497</v>
      </c>
      <c r="G161" s="3" t="str">
        <f t="shared" si="2"/>
        <v>Obese</v>
      </c>
      <c r="H161" t="s">
        <v>188</v>
      </c>
      <c r="I161" t="s">
        <v>31</v>
      </c>
      <c r="J161" t="s">
        <v>20</v>
      </c>
      <c r="K161" t="s">
        <v>18</v>
      </c>
      <c r="L161" t="s">
        <v>29</v>
      </c>
      <c r="M161" t="s">
        <v>19</v>
      </c>
      <c r="N161" t="s">
        <v>21</v>
      </c>
      <c r="O161" t="s">
        <v>19</v>
      </c>
      <c r="P161" t="s">
        <v>20</v>
      </c>
      <c r="Q161" t="s">
        <v>40</v>
      </c>
    </row>
    <row r="162" spans="1:17" x14ac:dyDescent="0.35">
      <c r="A162">
        <v>669</v>
      </c>
      <c r="B162">
        <v>75</v>
      </c>
      <c r="C162" t="s">
        <v>27</v>
      </c>
      <c r="D162">
        <v>166</v>
      </c>
      <c r="E162">
        <v>61</v>
      </c>
      <c r="F162" s="3">
        <v>19.304644260416801</v>
      </c>
      <c r="G162" s="3" t="str">
        <f t="shared" si="2"/>
        <v>Normal Weight</v>
      </c>
      <c r="H162" t="s">
        <v>602</v>
      </c>
      <c r="I162" t="s">
        <v>24</v>
      </c>
      <c r="J162" t="s">
        <v>20</v>
      </c>
      <c r="K162" t="s">
        <v>22</v>
      </c>
      <c r="L162" t="s">
        <v>14</v>
      </c>
      <c r="M162" t="s">
        <v>20</v>
      </c>
      <c r="N162" t="s">
        <v>21</v>
      </c>
      <c r="O162" t="s">
        <v>20</v>
      </c>
      <c r="P162" t="s">
        <v>20</v>
      </c>
      <c r="Q162" t="s">
        <v>22</v>
      </c>
    </row>
    <row r="163" spans="1:17" x14ac:dyDescent="0.35">
      <c r="A163">
        <v>170</v>
      </c>
      <c r="B163">
        <v>39</v>
      </c>
      <c r="C163" t="s">
        <v>27</v>
      </c>
      <c r="D163">
        <v>189</v>
      </c>
      <c r="E163">
        <v>76</v>
      </c>
      <c r="F163" s="3">
        <v>28.570989628999499</v>
      </c>
      <c r="G163" s="3" t="str">
        <f t="shared" si="2"/>
        <v>Overweight</v>
      </c>
      <c r="H163" t="s">
        <v>192</v>
      </c>
      <c r="I163" t="s">
        <v>24</v>
      </c>
      <c r="J163" t="s">
        <v>20</v>
      </c>
      <c r="K163" t="s">
        <v>18</v>
      </c>
      <c r="L163" t="s">
        <v>32</v>
      </c>
      <c r="M163" t="s">
        <v>20</v>
      </c>
      <c r="N163" t="s">
        <v>25</v>
      </c>
      <c r="O163" t="s">
        <v>20</v>
      </c>
      <c r="P163" t="s">
        <v>19</v>
      </c>
      <c r="Q163" t="s">
        <v>40</v>
      </c>
    </row>
    <row r="164" spans="1:17" x14ac:dyDescent="0.35">
      <c r="A164">
        <v>731</v>
      </c>
      <c r="B164">
        <v>75</v>
      </c>
      <c r="C164" t="s">
        <v>16</v>
      </c>
      <c r="D164">
        <v>178</v>
      </c>
      <c r="E164">
        <v>63</v>
      </c>
      <c r="F164" s="3">
        <v>26.760222283509801</v>
      </c>
      <c r="G164" s="3" t="str">
        <f t="shared" si="2"/>
        <v>Overweight</v>
      </c>
      <c r="H164" t="s">
        <v>641</v>
      </c>
      <c r="I164" t="s">
        <v>31</v>
      </c>
      <c r="J164" t="s">
        <v>20</v>
      </c>
      <c r="K164" t="s">
        <v>22</v>
      </c>
      <c r="L164" t="s">
        <v>29</v>
      </c>
      <c r="M164" t="s">
        <v>19</v>
      </c>
      <c r="N164" t="s">
        <v>21</v>
      </c>
      <c r="O164" t="s">
        <v>20</v>
      </c>
      <c r="P164" t="s">
        <v>19</v>
      </c>
      <c r="Q164" t="s">
        <v>22</v>
      </c>
    </row>
    <row r="165" spans="1:17" x14ac:dyDescent="0.35">
      <c r="A165">
        <v>171</v>
      </c>
      <c r="B165">
        <v>44</v>
      </c>
      <c r="C165" t="s">
        <v>16</v>
      </c>
      <c r="D165">
        <v>177</v>
      </c>
      <c r="E165">
        <v>67</v>
      </c>
      <c r="F165" s="3">
        <v>27.515716724500098</v>
      </c>
      <c r="G165" s="3" t="str">
        <f t="shared" si="2"/>
        <v>Overweight</v>
      </c>
      <c r="H165" t="s">
        <v>128</v>
      </c>
      <c r="I165" t="s">
        <v>24</v>
      </c>
      <c r="J165" t="s">
        <v>19</v>
      </c>
      <c r="K165" t="s">
        <v>18</v>
      </c>
      <c r="L165" t="s">
        <v>32</v>
      </c>
      <c r="M165" t="s">
        <v>19</v>
      </c>
      <c r="N165" t="s">
        <v>21</v>
      </c>
      <c r="O165" t="s">
        <v>19</v>
      </c>
      <c r="P165" t="s">
        <v>19</v>
      </c>
      <c r="Q165" t="s">
        <v>22</v>
      </c>
    </row>
    <row r="166" spans="1:17" x14ac:dyDescent="0.35">
      <c r="A166">
        <v>815</v>
      </c>
      <c r="B166">
        <v>75</v>
      </c>
      <c r="C166" t="s">
        <v>16</v>
      </c>
      <c r="D166">
        <v>161</v>
      </c>
      <c r="E166">
        <v>52</v>
      </c>
      <c r="F166" s="3">
        <v>28.947448135780199</v>
      </c>
      <c r="G166" s="3" t="str">
        <f t="shared" si="2"/>
        <v>Overweight</v>
      </c>
      <c r="H166" t="s">
        <v>698</v>
      </c>
      <c r="I166" t="s">
        <v>31</v>
      </c>
      <c r="J166" t="s">
        <v>20</v>
      </c>
      <c r="K166" t="s">
        <v>22</v>
      </c>
      <c r="L166" t="s">
        <v>14</v>
      </c>
      <c r="M166" t="s">
        <v>19</v>
      </c>
      <c r="N166" t="s">
        <v>25</v>
      </c>
      <c r="O166" t="s">
        <v>20</v>
      </c>
      <c r="P166" t="s">
        <v>20</v>
      </c>
      <c r="Q166" t="s">
        <v>18</v>
      </c>
    </row>
    <row r="167" spans="1:17" x14ac:dyDescent="0.35">
      <c r="A167">
        <v>819</v>
      </c>
      <c r="B167">
        <v>75</v>
      </c>
      <c r="C167" t="s">
        <v>27</v>
      </c>
      <c r="D167">
        <v>185</v>
      </c>
      <c r="E167">
        <v>93</v>
      </c>
      <c r="F167" s="3">
        <v>18.964004853585699</v>
      </c>
      <c r="G167" s="3" t="str">
        <f t="shared" si="2"/>
        <v>Normal Weight</v>
      </c>
      <c r="H167" t="s">
        <v>701</v>
      </c>
      <c r="I167" t="s">
        <v>31</v>
      </c>
      <c r="J167" t="s">
        <v>20</v>
      </c>
      <c r="K167" t="s">
        <v>22</v>
      </c>
      <c r="L167" t="s">
        <v>29</v>
      </c>
      <c r="M167" t="s">
        <v>20</v>
      </c>
      <c r="N167" t="s">
        <v>25</v>
      </c>
      <c r="O167" t="s">
        <v>20</v>
      </c>
      <c r="P167" t="s">
        <v>19</v>
      </c>
      <c r="Q167" t="s">
        <v>22</v>
      </c>
    </row>
    <row r="168" spans="1:17" x14ac:dyDescent="0.35">
      <c r="A168">
        <v>831</v>
      </c>
      <c r="B168">
        <v>75</v>
      </c>
      <c r="C168" t="s">
        <v>27</v>
      </c>
      <c r="D168">
        <v>179</v>
      </c>
      <c r="E168">
        <v>92</v>
      </c>
      <c r="F168" s="3">
        <v>22.948895144658501</v>
      </c>
      <c r="G168" s="3" t="str">
        <f t="shared" si="2"/>
        <v>Normal Weight</v>
      </c>
      <c r="H168" t="s">
        <v>709</v>
      </c>
      <c r="I168" t="s">
        <v>24</v>
      </c>
      <c r="J168" t="s">
        <v>19</v>
      </c>
      <c r="K168" t="s">
        <v>22</v>
      </c>
      <c r="L168" t="s">
        <v>14</v>
      </c>
      <c r="M168" t="s">
        <v>19</v>
      </c>
      <c r="N168" t="s">
        <v>25</v>
      </c>
      <c r="O168" t="s">
        <v>20</v>
      </c>
      <c r="P168" t="s">
        <v>19</v>
      </c>
      <c r="Q168" t="s">
        <v>40</v>
      </c>
    </row>
    <row r="169" spans="1:17" x14ac:dyDescent="0.35">
      <c r="A169">
        <v>172</v>
      </c>
      <c r="B169">
        <v>52</v>
      </c>
      <c r="C169" t="s">
        <v>16</v>
      </c>
      <c r="D169">
        <v>188</v>
      </c>
      <c r="E169">
        <v>70</v>
      </c>
      <c r="F169" s="3">
        <v>22.620778957284301</v>
      </c>
      <c r="G169" s="3" t="str">
        <f t="shared" si="2"/>
        <v>Normal Weight</v>
      </c>
      <c r="H169" t="s">
        <v>193</v>
      </c>
      <c r="I169" t="s">
        <v>18</v>
      </c>
      <c r="J169" t="s">
        <v>20</v>
      </c>
      <c r="K169" t="s">
        <v>18</v>
      </c>
      <c r="L169" t="s">
        <v>32</v>
      </c>
      <c r="M169" t="s">
        <v>19</v>
      </c>
      <c r="N169" t="s">
        <v>25</v>
      </c>
      <c r="O169" t="s">
        <v>19</v>
      </c>
      <c r="P169" t="s">
        <v>19</v>
      </c>
      <c r="Q169" t="s">
        <v>40</v>
      </c>
    </row>
    <row r="170" spans="1:17" x14ac:dyDescent="0.35">
      <c r="A170">
        <v>175</v>
      </c>
      <c r="B170">
        <v>54</v>
      </c>
      <c r="C170" t="s">
        <v>27</v>
      </c>
      <c r="D170">
        <v>169</v>
      </c>
      <c r="E170">
        <v>71</v>
      </c>
      <c r="F170" s="3">
        <v>27.7270991741795</v>
      </c>
      <c r="G170" s="3" t="str">
        <f t="shared" si="2"/>
        <v>Overweight</v>
      </c>
      <c r="H170" t="s">
        <v>195</v>
      </c>
      <c r="I170" t="s">
        <v>31</v>
      </c>
      <c r="J170" t="s">
        <v>20</v>
      </c>
      <c r="K170" t="s">
        <v>18</v>
      </c>
      <c r="L170" t="s">
        <v>14</v>
      </c>
      <c r="M170" t="s">
        <v>19</v>
      </c>
      <c r="N170" t="s">
        <v>21</v>
      </c>
      <c r="O170" t="s">
        <v>20</v>
      </c>
      <c r="P170" t="s">
        <v>19</v>
      </c>
      <c r="Q170" t="s">
        <v>18</v>
      </c>
    </row>
    <row r="171" spans="1:17" x14ac:dyDescent="0.35">
      <c r="A171">
        <v>176</v>
      </c>
      <c r="B171">
        <v>64</v>
      </c>
      <c r="C171" t="s">
        <v>27</v>
      </c>
      <c r="D171">
        <v>150</v>
      </c>
      <c r="E171">
        <v>89</v>
      </c>
      <c r="F171" s="3">
        <v>26.993246196986799</v>
      </c>
      <c r="G171" s="3" t="str">
        <f t="shared" si="2"/>
        <v>Overweight</v>
      </c>
      <c r="H171" t="s">
        <v>196</v>
      </c>
      <c r="I171" t="s">
        <v>31</v>
      </c>
      <c r="J171" t="s">
        <v>20</v>
      </c>
      <c r="K171" t="s">
        <v>18</v>
      </c>
      <c r="L171" t="s">
        <v>29</v>
      </c>
      <c r="M171" t="s">
        <v>19</v>
      </c>
      <c r="N171" t="s">
        <v>21</v>
      </c>
      <c r="O171" t="s">
        <v>20</v>
      </c>
      <c r="P171" t="s">
        <v>19</v>
      </c>
      <c r="Q171" t="s">
        <v>40</v>
      </c>
    </row>
    <row r="172" spans="1:17" x14ac:dyDescent="0.35">
      <c r="A172">
        <v>950</v>
      </c>
      <c r="B172">
        <v>75</v>
      </c>
      <c r="C172" t="s">
        <v>27</v>
      </c>
      <c r="D172">
        <v>178</v>
      </c>
      <c r="E172">
        <v>97</v>
      </c>
      <c r="F172" s="3">
        <v>28.7787417290257</v>
      </c>
      <c r="G172" s="3" t="str">
        <f t="shared" si="2"/>
        <v>Overweight</v>
      </c>
      <c r="H172" t="s">
        <v>769</v>
      </c>
      <c r="I172" t="s">
        <v>18</v>
      </c>
      <c r="J172" t="s">
        <v>19</v>
      </c>
      <c r="K172" t="s">
        <v>22</v>
      </c>
      <c r="L172" t="s">
        <v>32</v>
      </c>
      <c r="M172" t="s">
        <v>19</v>
      </c>
      <c r="N172" t="s">
        <v>25</v>
      </c>
      <c r="O172" t="s">
        <v>19</v>
      </c>
      <c r="P172" t="s">
        <v>20</v>
      </c>
      <c r="Q172" t="s">
        <v>22</v>
      </c>
    </row>
    <row r="173" spans="1:17" x14ac:dyDescent="0.35">
      <c r="A173">
        <v>180</v>
      </c>
      <c r="B173">
        <v>22</v>
      </c>
      <c r="C173" t="s">
        <v>27</v>
      </c>
      <c r="D173">
        <v>153</v>
      </c>
      <c r="E173">
        <v>99</v>
      </c>
      <c r="F173" s="3">
        <v>24.720271760232801</v>
      </c>
      <c r="G173" s="3" t="str">
        <f t="shared" si="2"/>
        <v>Normal Weight</v>
      </c>
      <c r="H173" t="s">
        <v>200</v>
      </c>
      <c r="I173" t="s">
        <v>18</v>
      </c>
      <c r="J173" t="s">
        <v>19</v>
      </c>
      <c r="K173" t="s">
        <v>18</v>
      </c>
      <c r="L173" t="s">
        <v>32</v>
      </c>
      <c r="M173" t="s">
        <v>20</v>
      </c>
      <c r="N173" t="s">
        <v>25</v>
      </c>
      <c r="O173" t="s">
        <v>20</v>
      </c>
      <c r="P173" t="s">
        <v>20</v>
      </c>
      <c r="Q173" t="s">
        <v>22</v>
      </c>
    </row>
    <row r="174" spans="1:17" x14ac:dyDescent="0.35">
      <c r="A174">
        <v>183</v>
      </c>
      <c r="B174">
        <v>31</v>
      </c>
      <c r="C174" t="s">
        <v>16</v>
      </c>
      <c r="D174">
        <v>164</v>
      </c>
      <c r="E174">
        <v>98</v>
      </c>
      <c r="F174" s="3">
        <v>29.771385714430199</v>
      </c>
      <c r="G174" s="3" t="str">
        <f t="shared" si="2"/>
        <v>Overweight</v>
      </c>
      <c r="H174" t="s">
        <v>203</v>
      </c>
      <c r="I174" t="s">
        <v>24</v>
      </c>
      <c r="J174" t="s">
        <v>19</v>
      </c>
      <c r="K174" t="s">
        <v>18</v>
      </c>
      <c r="L174" t="s">
        <v>29</v>
      </c>
      <c r="M174" t="s">
        <v>20</v>
      </c>
      <c r="N174" t="s">
        <v>21</v>
      </c>
      <c r="O174" t="s">
        <v>19</v>
      </c>
      <c r="P174" t="s">
        <v>20</v>
      </c>
      <c r="Q174" t="s">
        <v>22</v>
      </c>
    </row>
    <row r="175" spans="1:17" x14ac:dyDescent="0.35">
      <c r="A175">
        <v>1153</v>
      </c>
      <c r="B175">
        <v>75</v>
      </c>
      <c r="C175" t="s">
        <v>27</v>
      </c>
      <c r="D175">
        <v>164</v>
      </c>
      <c r="E175">
        <v>85</v>
      </c>
      <c r="F175" s="3">
        <v>21.733673047579</v>
      </c>
      <c r="G175" s="3" t="str">
        <f t="shared" si="2"/>
        <v>Normal Weight</v>
      </c>
      <c r="H175" t="s">
        <v>167</v>
      </c>
      <c r="I175" t="s">
        <v>18</v>
      </c>
      <c r="J175" t="s">
        <v>19</v>
      </c>
      <c r="K175" t="s">
        <v>22</v>
      </c>
      <c r="L175" t="s">
        <v>32</v>
      </c>
      <c r="M175" t="s">
        <v>19</v>
      </c>
      <c r="N175" t="s">
        <v>21</v>
      </c>
      <c r="O175" t="s">
        <v>20</v>
      </c>
      <c r="P175" t="s">
        <v>20</v>
      </c>
      <c r="Q175" t="s">
        <v>40</v>
      </c>
    </row>
    <row r="176" spans="1:17" x14ac:dyDescent="0.35">
      <c r="A176">
        <v>1225</v>
      </c>
      <c r="B176">
        <v>75</v>
      </c>
      <c r="C176" t="s">
        <v>16</v>
      </c>
      <c r="D176">
        <v>162</v>
      </c>
      <c r="E176">
        <v>61</v>
      </c>
      <c r="F176" s="3">
        <v>28.2926908610605</v>
      </c>
      <c r="G176" s="3" t="str">
        <f t="shared" si="2"/>
        <v>Overweight</v>
      </c>
      <c r="H176" t="s">
        <v>939</v>
      </c>
      <c r="I176" t="s">
        <v>31</v>
      </c>
      <c r="J176" t="s">
        <v>19</v>
      </c>
      <c r="K176" t="s">
        <v>22</v>
      </c>
      <c r="L176" t="s">
        <v>29</v>
      </c>
      <c r="M176" t="s">
        <v>20</v>
      </c>
      <c r="N176" t="s">
        <v>21</v>
      </c>
      <c r="O176" t="s">
        <v>19</v>
      </c>
      <c r="P176" t="s">
        <v>20</v>
      </c>
      <c r="Q176" t="s">
        <v>40</v>
      </c>
    </row>
    <row r="177" spans="1:17" x14ac:dyDescent="0.35">
      <c r="A177">
        <v>184</v>
      </c>
      <c r="B177">
        <v>56</v>
      </c>
      <c r="C177" t="s">
        <v>16</v>
      </c>
      <c r="D177">
        <v>170</v>
      </c>
      <c r="E177">
        <v>57</v>
      </c>
      <c r="F177" s="3">
        <v>33.887350693648301</v>
      </c>
      <c r="G177" s="3" t="str">
        <f t="shared" si="2"/>
        <v>Obese</v>
      </c>
      <c r="H177" t="s">
        <v>204</v>
      </c>
      <c r="I177" t="s">
        <v>24</v>
      </c>
      <c r="J177" t="s">
        <v>19</v>
      </c>
      <c r="K177" t="s">
        <v>18</v>
      </c>
      <c r="L177" t="s">
        <v>38</v>
      </c>
      <c r="M177" t="s">
        <v>20</v>
      </c>
      <c r="N177" t="s">
        <v>25</v>
      </c>
      <c r="O177" t="s">
        <v>19</v>
      </c>
      <c r="P177" t="s">
        <v>19</v>
      </c>
      <c r="Q177" t="s">
        <v>22</v>
      </c>
    </row>
    <row r="178" spans="1:17" x14ac:dyDescent="0.35">
      <c r="A178">
        <v>185</v>
      </c>
      <c r="B178">
        <v>44</v>
      </c>
      <c r="C178" t="s">
        <v>27</v>
      </c>
      <c r="D178">
        <v>184</v>
      </c>
      <c r="E178">
        <v>60</v>
      </c>
      <c r="F178" s="3">
        <v>27.9984766744574</v>
      </c>
      <c r="G178" s="3" t="str">
        <f t="shared" si="2"/>
        <v>Overweight</v>
      </c>
      <c r="H178" t="s">
        <v>205</v>
      </c>
      <c r="I178" t="s">
        <v>24</v>
      </c>
      <c r="J178" t="s">
        <v>19</v>
      </c>
      <c r="K178" t="s">
        <v>18</v>
      </c>
      <c r="L178" t="s">
        <v>14</v>
      </c>
      <c r="M178" t="s">
        <v>19</v>
      </c>
      <c r="N178" t="s">
        <v>21</v>
      </c>
      <c r="O178" t="s">
        <v>20</v>
      </c>
      <c r="P178" t="s">
        <v>20</v>
      </c>
      <c r="Q178" t="s">
        <v>22</v>
      </c>
    </row>
    <row r="179" spans="1:17" x14ac:dyDescent="0.35">
      <c r="A179">
        <v>187</v>
      </c>
      <c r="B179">
        <v>32</v>
      </c>
      <c r="C179" t="s">
        <v>27</v>
      </c>
      <c r="D179">
        <v>185</v>
      </c>
      <c r="E179">
        <v>94</v>
      </c>
      <c r="F179" s="3">
        <v>28.0984052033123</v>
      </c>
      <c r="G179" s="3" t="str">
        <f t="shared" si="2"/>
        <v>Overweight</v>
      </c>
      <c r="H179" t="s">
        <v>143</v>
      </c>
      <c r="I179" t="s">
        <v>24</v>
      </c>
      <c r="J179" t="s">
        <v>19</v>
      </c>
      <c r="K179" t="s">
        <v>18</v>
      </c>
      <c r="L179" t="s">
        <v>29</v>
      </c>
      <c r="M179" t="s">
        <v>19</v>
      </c>
      <c r="N179" t="s">
        <v>25</v>
      </c>
      <c r="O179" t="s">
        <v>19</v>
      </c>
      <c r="P179" t="s">
        <v>19</v>
      </c>
      <c r="Q179" t="s">
        <v>18</v>
      </c>
    </row>
    <row r="180" spans="1:17" x14ac:dyDescent="0.35">
      <c r="A180">
        <v>1820</v>
      </c>
      <c r="B180">
        <v>75</v>
      </c>
      <c r="C180" t="s">
        <v>16</v>
      </c>
      <c r="D180">
        <v>169</v>
      </c>
      <c r="E180">
        <v>56</v>
      </c>
      <c r="F180" s="3">
        <v>23.239751965471601</v>
      </c>
      <c r="G180" s="3" t="str">
        <f t="shared" si="2"/>
        <v>Normal Weight</v>
      </c>
      <c r="H180" t="s">
        <v>1209</v>
      </c>
      <c r="I180" t="s">
        <v>24</v>
      </c>
      <c r="J180" t="s">
        <v>19</v>
      </c>
      <c r="K180" t="s">
        <v>22</v>
      </c>
      <c r="L180" t="s">
        <v>38</v>
      </c>
      <c r="M180" t="s">
        <v>20</v>
      </c>
      <c r="N180" t="s">
        <v>25</v>
      </c>
      <c r="O180" t="s">
        <v>20</v>
      </c>
      <c r="P180" t="s">
        <v>19</v>
      </c>
      <c r="Q180" t="s">
        <v>18</v>
      </c>
    </row>
    <row r="181" spans="1:17" x14ac:dyDescent="0.35">
      <c r="A181">
        <v>1846</v>
      </c>
      <c r="B181">
        <v>75</v>
      </c>
      <c r="C181" t="s">
        <v>16</v>
      </c>
      <c r="D181">
        <v>186</v>
      </c>
      <c r="E181">
        <v>82</v>
      </c>
      <c r="F181" s="3">
        <v>20.323962244091501</v>
      </c>
      <c r="G181" s="3" t="str">
        <f t="shared" si="2"/>
        <v>Normal Weight</v>
      </c>
      <c r="H181" t="s">
        <v>1208</v>
      </c>
      <c r="I181" t="s">
        <v>31</v>
      </c>
      <c r="J181" t="s">
        <v>19</v>
      </c>
      <c r="K181" t="s">
        <v>22</v>
      </c>
      <c r="L181" t="s">
        <v>38</v>
      </c>
      <c r="M181" t="s">
        <v>19</v>
      </c>
      <c r="N181" t="s">
        <v>21</v>
      </c>
      <c r="O181" t="s">
        <v>20</v>
      </c>
      <c r="P181" t="s">
        <v>19</v>
      </c>
      <c r="Q181" t="s">
        <v>18</v>
      </c>
    </row>
    <row r="182" spans="1:17" x14ac:dyDescent="0.35">
      <c r="A182">
        <v>188</v>
      </c>
      <c r="B182">
        <v>32</v>
      </c>
      <c r="C182" t="s">
        <v>16</v>
      </c>
      <c r="D182">
        <v>161</v>
      </c>
      <c r="E182">
        <v>86</v>
      </c>
      <c r="F182" s="3">
        <v>31.144729016226702</v>
      </c>
      <c r="G182" s="3" t="str">
        <f t="shared" si="2"/>
        <v>Obese</v>
      </c>
      <c r="H182" t="s">
        <v>207</v>
      </c>
      <c r="I182" t="s">
        <v>18</v>
      </c>
      <c r="J182" t="s">
        <v>19</v>
      </c>
      <c r="K182" t="s">
        <v>18</v>
      </c>
      <c r="L182" t="s">
        <v>29</v>
      </c>
      <c r="M182" t="s">
        <v>19</v>
      </c>
      <c r="N182" t="s">
        <v>25</v>
      </c>
      <c r="O182" t="s">
        <v>20</v>
      </c>
      <c r="P182" t="s">
        <v>20</v>
      </c>
      <c r="Q182" t="s">
        <v>40</v>
      </c>
    </row>
    <row r="183" spans="1:17" x14ac:dyDescent="0.35">
      <c r="A183">
        <v>1968</v>
      </c>
      <c r="B183">
        <v>75</v>
      </c>
      <c r="C183" t="s">
        <v>27</v>
      </c>
      <c r="D183">
        <v>176</v>
      </c>
      <c r="E183">
        <v>81</v>
      </c>
      <c r="F183" s="3">
        <v>27.837161984179001</v>
      </c>
      <c r="G183" s="3" t="str">
        <f t="shared" si="2"/>
        <v>Overweight</v>
      </c>
      <c r="H183" t="s">
        <v>107</v>
      </c>
      <c r="I183" t="s">
        <v>31</v>
      </c>
      <c r="J183" t="s">
        <v>20</v>
      </c>
      <c r="K183" t="s">
        <v>22</v>
      </c>
      <c r="L183" t="s">
        <v>38</v>
      </c>
      <c r="M183" t="s">
        <v>19</v>
      </c>
      <c r="N183" t="s">
        <v>25</v>
      </c>
      <c r="O183" t="s">
        <v>20</v>
      </c>
      <c r="P183" t="s">
        <v>19</v>
      </c>
      <c r="Q183" t="s">
        <v>22</v>
      </c>
    </row>
    <row r="184" spans="1:17" x14ac:dyDescent="0.35">
      <c r="A184">
        <v>191</v>
      </c>
      <c r="B184">
        <v>77</v>
      </c>
      <c r="C184" t="s">
        <v>16</v>
      </c>
      <c r="D184">
        <v>158</v>
      </c>
      <c r="E184">
        <v>78</v>
      </c>
      <c r="F184" s="3">
        <v>29.203268730396498</v>
      </c>
      <c r="G184" s="3" t="str">
        <f t="shared" si="2"/>
        <v>Overweight</v>
      </c>
      <c r="H184" t="s">
        <v>209</v>
      </c>
      <c r="I184" t="s">
        <v>24</v>
      </c>
      <c r="J184" t="s">
        <v>20</v>
      </c>
      <c r="K184" t="s">
        <v>40</v>
      </c>
      <c r="L184" t="s">
        <v>32</v>
      </c>
      <c r="M184" t="s">
        <v>19</v>
      </c>
      <c r="N184" t="s">
        <v>25</v>
      </c>
      <c r="O184" t="s">
        <v>20</v>
      </c>
      <c r="P184" t="s">
        <v>20</v>
      </c>
      <c r="Q184" t="s">
        <v>22</v>
      </c>
    </row>
    <row r="185" spans="1:17" x14ac:dyDescent="0.35">
      <c r="A185">
        <v>112</v>
      </c>
      <c r="B185">
        <v>74</v>
      </c>
      <c r="C185" t="s">
        <v>27</v>
      </c>
      <c r="D185">
        <v>153</v>
      </c>
      <c r="E185">
        <v>69</v>
      </c>
      <c r="F185" s="3">
        <v>24.0493360054605</v>
      </c>
      <c r="G185" s="3" t="str">
        <f t="shared" si="2"/>
        <v>Normal Weight</v>
      </c>
      <c r="H185" t="s">
        <v>139</v>
      </c>
      <c r="I185" t="s">
        <v>31</v>
      </c>
      <c r="J185" t="s">
        <v>19</v>
      </c>
      <c r="K185" t="s">
        <v>22</v>
      </c>
      <c r="L185" t="s">
        <v>29</v>
      </c>
      <c r="M185" t="s">
        <v>19</v>
      </c>
      <c r="N185" t="s">
        <v>25</v>
      </c>
      <c r="O185" t="s">
        <v>20</v>
      </c>
      <c r="P185" t="s">
        <v>20</v>
      </c>
      <c r="Q185" t="s">
        <v>18</v>
      </c>
    </row>
    <row r="186" spans="1:17" x14ac:dyDescent="0.35">
      <c r="A186">
        <v>221</v>
      </c>
      <c r="B186">
        <v>74</v>
      </c>
      <c r="C186" t="s">
        <v>16</v>
      </c>
      <c r="D186">
        <v>168</v>
      </c>
      <c r="E186">
        <v>86</v>
      </c>
      <c r="F186" s="3">
        <v>33.106441498674798</v>
      </c>
      <c r="G186" s="3" t="str">
        <f t="shared" si="2"/>
        <v>Obese</v>
      </c>
      <c r="H186" t="s">
        <v>237</v>
      </c>
      <c r="I186" t="s">
        <v>24</v>
      </c>
      <c r="J186" t="s">
        <v>19</v>
      </c>
      <c r="K186" t="s">
        <v>22</v>
      </c>
      <c r="L186" t="s">
        <v>32</v>
      </c>
      <c r="M186" t="s">
        <v>19</v>
      </c>
      <c r="N186" t="s">
        <v>21</v>
      </c>
      <c r="O186" t="s">
        <v>19</v>
      </c>
      <c r="P186" t="s">
        <v>20</v>
      </c>
      <c r="Q186" t="s">
        <v>18</v>
      </c>
    </row>
    <row r="187" spans="1:17" x14ac:dyDescent="0.35">
      <c r="A187">
        <v>240</v>
      </c>
      <c r="B187">
        <v>74</v>
      </c>
      <c r="C187" t="s">
        <v>16</v>
      </c>
      <c r="D187">
        <v>184</v>
      </c>
      <c r="E187">
        <v>62</v>
      </c>
      <c r="F187" s="3">
        <v>31.666967581117099</v>
      </c>
      <c r="G187" s="3" t="str">
        <f t="shared" si="2"/>
        <v>Obese</v>
      </c>
      <c r="H187" t="s">
        <v>253</v>
      </c>
      <c r="I187" t="s">
        <v>18</v>
      </c>
      <c r="J187" t="s">
        <v>19</v>
      </c>
      <c r="K187" t="s">
        <v>22</v>
      </c>
      <c r="L187" t="s">
        <v>29</v>
      </c>
      <c r="M187" t="s">
        <v>19</v>
      </c>
      <c r="N187" t="s">
        <v>21</v>
      </c>
      <c r="O187" t="s">
        <v>19</v>
      </c>
      <c r="P187" t="s">
        <v>19</v>
      </c>
      <c r="Q187" t="s">
        <v>22</v>
      </c>
    </row>
    <row r="188" spans="1:17" x14ac:dyDescent="0.35">
      <c r="A188">
        <v>243</v>
      </c>
      <c r="B188">
        <v>74</v>
      </c>
      <c r="C188" t="s">
        <v>27</v>
      </c>
      <c r="D188">
        <v>153</v>
      </c>
      <c r="E188">
        <v>66</v>
      </c>
      <c r="F188" s="3">
        <v>24.8891818299684</v>
      </c>
      <c r="G188" s="3" t="str">
        <f t="shared" si="2"/>
        <v>Normal Weight</v>
      </c>
      <c r="H188" t="s">
        <v>75</v>
      </c>
      <c r="I188" t="s">
        <v>18</v>
      </c>
      <c r="J188" t="s">
        <v>19</v>
      </c>
      <c r="K188" t="s">
        <v>22</v>
      </c>
      <c r="L188" t="s">
        <v>32</v>
      </c>
      <c r="M188" t="s">
        <v>19</v>
      </c>
      <c r="N188" t="s">
        <v>21</v>
      </c>
      <c r="O188" t="s">
        <v>19</v>
      </c>
      <c r="P188" t="s">
        <v>20</v>
      </c>
      <c r="Q188" t="s">
        <v>18</v>
      </c>
    </row>
    <row r="189" spans="1:17" x14ac:dyDescent="0.35">
      <c r="A189">
        <v>193</v>
      </c>
      <c r="B189">
        <v>68</v>
      </c>
      <c r="C189" t="s">
        <v>27</v>
      </c>
      <c r="D189">
        <v>162</v>
      </c>
      <c r="E189">
        <v>58</v>
      </c>
      <c r="F189" s="3">
        <v>28.787837635580999</v>
      </c>
      <c r="G189" s="3" t="str">
        <f t="shared" si="2"/>
        <v>Overweight</v>
      </c>
      <c r="H189" t="s">
        <v>211</v>
      </c>
      <c r="I189" t="s">
        <v>24</v>
      </c>
      <c r="J189" t="s">
        <v>20</v>
      </c>
      <c r="K189" t="s">
        <v>18</v>
      </c>
      <c r="L189" t="s">
        <v>38</v>
      </c>
      <c r="M189" t="s">
        <v>19</v>
      </c>
      <c r="N189" t="s">
        <v>21</v>
      </c>
      <c r="O189" t="s">
        <v>19</v>
      </c>
      <c r="P189" t="s">
        <v>20</v>
      </c>
      <c r="Q189" t="s">
        <v>18</v>
      </c>
    </row>
    <row r="190" spans="1:17" x14ac:dyDescent="0.35">
      <c r="A190">
        <v>196</v>
      </c>
      <c r="B190">
        <v>66</v>
      </c>
      <c r="C190" t="s">
        <v>27</v>
      </c>
      <c r="D190">
        <v>182</v>
      </c>
      <c r="E190">
        <v>50</v>
      </c>
      <c r="F190" s="3">
        <v>21.829616646165501</v>
      </c>
      <c r="G190" s="3" t="str">
        <f t="shared" si="2"/>
        <v>Normal Weight</v>
      </c>
      <c r="H190" t="s">
        <v>214</v>
      </c>
      <c r="I190" t="s">
        <v>24</v>
      </c>
      <c r="J190" t="s">
        <v>20</v>
      </c>
      <c r="K190" t="s">
        <v>18</v>
      </c>
      <c r="L190" t="s">
        <v>32</v>
      </c>
      <c r="M190" t="s">
        <v>20</v>
      </c>
      <c r="N190" t="s">
        <v>25</v>
      </c>
      <c r="O190" t="s">
        <v>19</v>
      </c>
      <c r="P190" t="s">
        <v>20</v>
      </c>
      <c r="Q190" t="s">
        <v>22</v>
      </c>
    </row>
    <row r="191" spans="1:17" x14ac:dyDescent="0.35">
      <c r="A191">
        <v>528</v>
      </c>
      <c r="B191">
        <v>74</v>
      </c>
      <c r="C191" t="s">
        <v>16</v>
      </c>
      <c r="D191">
        <v>185</v>
      </c>
      <c r="E191">
        <v>79</v>
      </c>
      <c r="F191" s="3">
        <v>30.4958056957332</v>
      </c>
      <c r="G191" s="3" t="str">
        <f t="shared" si="2"/>
        <v>Obese</v>
      </c>
      <c r="H191" t="s">
        <v>68</v>
      </c>
      <c r="I191" t="s">
        <v>31</v>
      </c>
      <c r="J191" t="s">
        <v>20</v>
      </c>
      <c r="K191" t="s">
        <v>22</v>
      </c>
      <c r="L191" t="s">
        <v>38</v>
      </c>
      <c r="M191" t="s">
        <v>19</v>
      </c>
      <c r="N191" t="s">
        <v>25</v>
      </c>
      <c r="O191" t="s">
        <v>20</v>
      </c>
      <c r="P191" t="s">
        <v>20</v>
      </c>
      <c r="Q191" t="s">
        <v>18</v>
      </c>
    </row>
    <row r="192" spans="1:17" x14ac:dyDescent="0.35">
      <c r="A192">
        <v>635</v>
      </c>
      <c r="B192">
        <v>74</v>
      </c>
      <c r="C192" t="s">
        <v>16</v>
      </c>
      <c r="D192">
        <v>168</v>
      </c>
      <c r="E192">
        <v>65</v>
      </c>
      <c r="F192" s="3">
        <v>23.642273124801701</v>
      </c>
      <c r="G192" s="3" t="str">
        <f t="shared" si="2"/>
        <v>Normal Weight</v>
      </c>
      <c r="H192" t="s">
        <v>576</v>
      </c>
      <c r="I192" t="s">
        <v>18</v>
      </c>
      <c r="J192" t="s">
        <v>20</v>
      </c>
      <c r="K192" t="s">
        <v>22</v>
      </c>
      <c r="L192" t="s">
        <v>32</v>
      </c>
      <c r="M192" t="s">
        <v>20</v>
      </c>
      <c r="N192" t="s">
        <v>21</v>
      </c>
      <c r="O192" t="s">
        <v>20</v>
      </c>
      <c r="P192" t="s">
        <v>19</v>
      </c>
      <c r="Q192" t="s">
        <v>40</v>
      </c>
    </row>
    <row r="193" spans="1:17" x14ac:dyDescent="0.35">
      <c r="A193">
        <v>197</v>
      </c>
      <c r="B193">
        <v>69</v>
      </c>
      <c r="C193" t="s">
        <v>16</v>
      </c>
      <c r="D193">
        <v>155</v>
      </c>
      <c r="E193">
        <v>89</v>
      </c>
      <c r="F193" s="3">
        <v>33.495637212328198</v>
      </c>
      <c r="G193" s="3" t="str">
        <f t="shared" si="2"/>
        <v>Obese</v>
      </c>
      <c r="H193" t="s">
        <v>215</v>
      </c>
      <c r="I193" t="s">
        <v>18</v>
      </c>
      <c r="J193" t="s">
        <v>20</v>
      </c>
      <c r="K193" t="s">
        <v>18</v>
      </c>
      <c r="L193" t="s">
        <v>38</v>
      </c>
      <c r="M193" t="s">
        <v>20</v>
      </c>
      <c r="N193" t="s">
        <v>25</v>
      </c>
      <c r="O193" t="s">
        <v>20</v>
      </c>
      <c r="P193" t="s">
        <v>19</v>
      </c>
      <c r="Q193" t="s">
        <v>18</v>
      </c>
    </row>
    <row r="194" spans="1:17" x14ac:dyDescent="0.35">
      <c r="A194">
        <v>810</v>
      </c>
      <c r="B194">
        <v>74</v>
      </c>
      <c r="C194" t="s">
        <v>16</v>
      </c>
      <c r="D194">
        <v>184</v>
      </c>
      <c r="E194">
        <v>55</v>
      </c>
      <c r="F194" s="3">
        <v>30.6676187835475</v>
      </c>
      <c r="G194" s="3" t="str">
        <f t="shared" si="2"/>
        <v>Obese</v>
      </c>
      <c r="H194" t="s">
        <v>341</v>
      </c>
      <c r="I194" t="s">
        <v>24</v>
      </c>
      <c r="J194" t="s">
        <v>19</v>
      </c>
      <c r="K194" t="s">
        <v>22</v>
      </c>
      <c r="L194" t="s">
        <v>38</v>
      </c>
      <c r="M194" t="s">
        <v>20</v>
      </c>
      <c r="N194" t="s">
        <v>25</v>
      </c>
      <c r="O194" t="s">
        <v>20</v>
      </c>
      <c r="P194" t="s">
        <v>20</v>
      </c>
      <c r="Q194" t="s">
        <v>40</v>
      </c>
    </row>
    <row r="195" spans="1:17" x14ac:dyDescent="0.35">
      <c r="A195">
        <v>198</v>
      </c>
      <c r="B195">
        <v>78</v>
      </c>
      <c r="C195" t="s">
        <v>27</v>
      </c>
      <c r="D195">
        <v>176</v>
      </c>
      <c r="E195">
        <v>79</v>
      </c>
      <c r="F195" s="3">
        <v>31.046601110243401</v>
      </c>
      <c r="G195" s="3" t="str">
        <f t="shared" ref="G195:G258" si="3">_xlfn.IFS(F195&lt;18.5, "Underweight", F195&lt;=24.9, "Normal Weight", F195&lt;=29.9, "Overweight", TRUE, "Obese")</f>
        <v>Obese</v>
      </c>
      <c r="H195" t="s">
        <v>216</v>
      </c>
      <c r="I195" t="s">
        <v>24</v>
      </c>
      <c r="J195" t="s">
        <v>20</v>
      </c>
      <c r="K195" t="s">
        <v>40</v>
      </c>
      <c r="L195" t="s">
        <v>38</v>
      </c>
      <c r="M195" t="s">
        <v>20</v>
      </c>
      <c r="N195" t="s">
        <v>25</v>
      </c>
      <c r="O195" t="s">
        <v>20</v>
      </c>
      <c r="P195" t="s">
        <v>19</v>
      </c>
      <c r="Q195" t="s">
        <v>22</v>
      </c>
    </row>
    <row r="196" spans="1:17" x14ac:dyDescent="0.35">
      <c r="A196">
        <v>922</v>
      </c>
      <c r="B196">
        <v>74</v>
      </c>
      <c r="C196" t="s">
        <v>27</v>
      </c>
      <c r="D196">
        <v>179</v>
      </c>
      <c r="E196">
        <v>79</v>
      </c>
      <c r="F196" s="3">
        <v>29.542926813888698</v>
      </c>
      <c r="G196" s="3" t="str">
        <f t="shared" si="3"/>
        <v>Overweight</v>
      </c>
      <c r="H196" t="s">
        <v>754</v>
      </c>
      <c r="I196" t="s">
        <v>24</v>
      </c>
      <c r="J196" t="s">
        <v>20</v>
      </c>
      <c r="K196" t="s">
        <v>22</v>
      </c>
      <c r="L196" t="s">
        <v>14</v>
      </c>
      <c r="M196" t="s">
        <v>20</v>
      </c>
      <c r="N196" t="s">
        <v>21</v>
      </c>
      <c r="O196" t="s">
        <v>19</v>
      </c>
      <c r="P196" t="s">
        <v>19</v>
      </c>
      <c r="Q196" t="s">
        <v>18</v>
      </c>
    </row>
    <row r="197" spans="1:17" x14ac:dyDescent="0.35">
      <c r="A197">
        <v>200</v>
      </c>
      <c r="B197">
        <v>21</v>
      </c>
      <c r="C197" t="s">
        <v>16</v>
      </c>
      <c r="D197">
        <v>176</v>
      </c>
      <c r="E197">
        <v>77</v>
      </c>
      <c r="F197" s="3">
        <v>23.4659442739217</v>
      </c>
      <c r="G197" s="3" t="str">
        <f t="shared" si="3"/>
        <v>Normal Weight</v>
      </c>
      <c r="H197" t="s">
        <v>218</v>
      </c>
      <c r="I197" t="s">
        <v>24</v>
      </c>
      <c r="J197" t="s">
        <v>20</v>
      </c>
      <c r="K197" t="s">
        <v>18</v>
      </c>
      <c r="L197" t="s">
        <v>14</v>
      </c>
      <c r="M197" t="s">
        <v>19</v>
      </c>
      <c r="N197" t="s">
        <v>25</v>
      </c>
      <c r="O197" t="s">
        <v>19</v>
      </c>
      <c r="P197" t="s">
        <v>19</v>
      </c>
      <c r="Q197" t="s">
        <v>18</v>
      </c>
    </row>
    <row r="198" spans="1:17" x14ac:dyDescent="0.35">
      <c r="A198">
        <v>203</v>
      </c>
      <c r="B198">
        <v>40</v>
      </c>
      <c r="C198" t="s">
        <v>16</v>
      </c>
      <c r="D198">
        <v>163</v>
      </c>
      <c r="E198">
        <v>88</v>
      </c>
      <c r="F198" s="3">
        <v>26.3236061070048</v>
      </c>
      <c r="G198" s="3" t="str">
        <f t="shared" si="3"/>
        <v>Overweight</v>
      </c>
      <c r="H198" t="s">
        <v>220</v>
      </c>
      <c r="I198" t="s">
        <v>18</v>
      </c>
      <c r="J198" t="s">
        <v>19</v>
      </c>
      <c r="K198" t="s">
        <v>18</v>
      </c>
      <c r="L198" t="s">
        <v>29</v>
      </c>
      <c r="M198" t="s">
        <v>20</v>
      </c>
      <c r="N198" t="s">
        <v>21</v>
      </c>
      <c r="O198" t="s">
        <v>20</v>
      </c>
      <c r="P198" t="s">
        <v>20</v>
      </c>
      <c r="Q198" t="s">
        <v>40</v>
      </c>
    </row>
    <row r="199" spans="1:17" x14ac:dyDescent="0.35">
      <c r="A199">
        <v>1096</v>
      </c>
      <c r="B199">
        <v>74</v>
      </c>
      <c r="C199" t="s">
        <v>16</v>
      </c>
      <c r="D199">
        <v>186</v>
      </c>
      <c r="E199">
        <v>77</v>
      </c>
      <c r="F199" s="3">
        <v>34.179607189588197</v>
      </c>
      <c r="G199" s="3" t="str">
        <f t="shared" si="3"/>
        <v>Obese</v>
      </c>
      <c r="H199" t="s">
        <v>862</v>
      </c>
      <c r="I199" t="s">
        <v>18</v>
      </c>
      <c r="J199" t="s">
        <v>20</v>
      </c>
      <c r="K199" t="s">
        <v>22</v>
      </c>
      <c r="L199" t="s">
        <v>14</v>
      </c>
      <c r="M199" t="s">
        <v>19</v>
      </c>
      <c r="N199" t="s">
        <v>25</v>
      </c>
      <c r="O199" t="s">
        <v>20</v>
      </c>
      <c r="P199" t="s">
        <v>20</v>
      </c>
      <c r="Q199" t="s">
        <v>22</v>
      </c>
    </row>
    <row r="200" spans="1:17" x14ac:dyDescent="0.35">
      <c r="A200">
        <v>206</v>
      </c>
      <c r="B200">
        <v>32</v>
      </c>
      <c r="C200" t="s">
        <v>27</v>
      </c>
      <c r="D200">
        <v>184</v>
      </c>
      <c r="E200">
        <v>57</v>
      </c>
      <c r="F200" s="3">
        <v>19.165508560284401</v>
      </c>
      <c r="G200" s="3" t="str">
        <f t="shared" si="3"/>
        <v>Normal Weight</v>
      </c>
      <c r="H200" t="s">
        <v>223</v>
      </c>
      <c r="I200" t="s">
        <v>18</v>
      </c>
      <c r="J200" t="s">
        <v>20</v>
      </c>
      <c r="K200" t="s">
        <v>18</v>
      </c>
      <c r="L200" t="s">
        <v>32</v>
      </c>
      <c r="M200" t="s">
        <v>20</v>
      </c>
      <c r="N200" t="s">
        <v>21</v>
      </c>
      <c r="O200" t="s">
        <v>19</v>
      </c>
      <c r="P200" t="s">
        <v>19</v>
      </c>
      <c r="Q200" t="s">
        <v>40</v>
      </c>
    </row>
    <row r="201" spans="1:17" x14ac:dyDescent="0.35">
      <c r="A201">
        <v>209</v>
      </c>
      <c r="B201">
        <v>53</v>
      </c>
      <c r="C201" t="s">
        <v>27</v>
      </c>
      <c r="D201">
        <v>163</v>
      </c>
      <c r="E201">
        <v>58</v>
      </c>
      <c r="F201" s="3">
        <v>20.941312512805101</v>
      </c>
      <c r="G201" s="3" t="str">
        <f t="shared" si="3"/>
        <v>Normal Weight</v>
      </c>
      <c r="H201" t="s">
        <v>225</v>
      </c>
      <c r="I201" t="s">
        <v>18</v>
      </c>
      <c r="J201" t="s">
        <v>20</v>
      </c>
      <c r="K201" t="s">
        <v>18</v>
      </c>
      <c r="L201" t="s">
        <v>32</v>
      </c>
      <c r="M201" t="s">
        <v>19</v>
      </c>
      <c r="N201" t="s">
        <v>21</v>
      </c>
      <c r="O201" t="s">
        <v>19</v>
      </c>
      <c r="P201" t="s">
        <v>19</v>
      </c>
      <c r="Q201" t="s">
        <v>18</v>
      </c>
    </row>
    <row r="202" spans="1:17" x14ac:dyDescent="0.35">
      <c r="A202">
        <v>210</v>
      </c>
      <c r="B202">
        <v>30</v>
      </c>
      <c r="C202" t="s">
        <v>16</v>
      </c>
      <c r="D202">
        <v>169</v>
      </c>
      <c r="E202">
        <v>88</v>
      </c>
      <c r="F202" s="3">
        <v>34.746798880248797</v>
      </c>
      <c r="G202" s="3" t="str">
        <f t="shared" si="3"/>
        <v>Obese</v>
      </c>
      <c r="H202" t="s">
        <v>226</v>
      </c>
      <c r="I202" t="s">
        <v>31</v>
      </c>
      <c r="J202" t="s">
        <v>19</v>
      </c>
      <c r="K202" t="s">
        <v>18</v>
      </c>
      <c r="L202" t="s">
        <v>29</v>
      </c>
      <c r="M202" t="s">
        <v>19</v>
      </c>
      <c r="N202" t="s">
        <v>21</v>
      </c>
      <c r="O202" t="s">
        <v>20</v>
      </c>
      <c r="P202" t="s">
        <v>20</v>
      </c>
      <c r="Q202" t="s">
        <v>22</v>
      </c>
    </row>
    <row r="203" spans="1:17" x14ac:dyDescent="0.35">
      <c r="A203">
        <v>215</v>
      </c>
      <c r="B203">
        <v>39</v>
      </c>
      <c r="C203" t="s">
        <v>27</v>
      </c>
      <c r="D203">
        <v>175</v>
      </c>
      <c r="E203">
        <v>80</v>
      </c>
      <c r="F203" s="3">
        <v>25.5208433779854</v>
      </c>
      <c r="G203" s="3" t="str">
        <f t="shared" si="3"/>
        <v>Overweight</v>
      </c>
      <c r="H203" t="s">
        <v>231</v>
      </c>
      <c r="I203" t="s">
        <v>24</v>
      </c>
      <c r="J203" t="s">
        <v>19</v>
      </c>
      <c r="K203" t="s">
        <v>18</v>
      </c>
      <c r="L203" t="s">
        <v>38</v>
      </c>
      <c r="M203" t="s">
        <v>19</v>
      </c>
      <c r="N203" t="s">
        <v>25</v>
      </c>
      <c r="O203" t="s">
        <v>19</v>
      </c>
      <c r="P203" t="s">
        <v>19</v>
      </c>
      <c r="Q203" t="s">
        <v>22</v>
      </c>
    </row>
    <row r="204" spans="1:17" x14ac:dyDescent="0.35">
      <c r="A204">
        <v>220</v>
      </c>
      <c r="B204">
        <v>79</v>
      </c>
      <c r="C204" t="s">
        <v>16</v>
      </c>
      <c r="D204">
        <v>152</v>
      </c>
      <c r="E204">
        <v>89</v>
      </c>
      <c r="F204" s="3">
        <v>31.974811512826701</v>
      </c>
      <c r="G204" s="3" t="str">
        <f t="shared" si="3"/>
        <v>Obese</v>
      </c>
      <c r="H204" t="s">
        <v>236</v>
      </c>
      <c r="I204" t="s">
        <v>24</v>
      </c>
      <c r="J204" t="s">
        <v>20</v>
      </c>
      <c r="K204" t="s">
        <v>40</v>
      </c>
      <c r="L204" t="s">
        <v>32</v>
      </c>
      <c r="M204" t="s">
        <v>20</v>
      </c>
      <c r="N204" t="s">
        <v>25</v>
      </c>
      <c r="O204" t="s">
        <v>19</v>
      </c>
      <c r="P204" t="s">
        <v>19</v>
      </c>
      <c r="Q204" t="s">
        <v>40</v>
      </c>
    </row>
    <row r="205" spans="1:17" x14ac:dyDescent="0.35">
      <c r="A205">
        <v>1321</v>
      </c>
      <c r="B205">
        <v>74</v>
      </c>
      <c r="C205" t="s">
        <v>27</v>
      </c>
      <c r="D205">
        <v>187</v>
      </c>
      <c r="E205">
        <v>52</v>
      </c>
      <c r="F205" s="3">
        <v>22.718492684974901</v>
      </c>
      <c r="G205" s="3" t="str">
        <f t="shared" si="3"/>
        <v>Normal Weight</v>
      </c>
      <c r="H205" t="s">
        <v>582</v>
      </c>
      <c r="I205" t="s">
        <v>18</v>
      </c>
      <c r="J205" t="s">
        <v>20</v>
      </c>
      <c r="K205" t="s">
        <v>22</v>
      </c>
      <c r="L205" t="s">
        <v>29</v>
      </c>
      <c r="M205" t="s">
        <v>19</v>
      </c>
      <c r="N205" t="s">
        <v>21</v>
      </c>
      <c r="O205" t="s">
        <v>20</v>
      </c>
      <c r="P205" t="s">
        <v>20</v>
      </c>
      <c r="Q205" t="s">
        <v>40</v>
      </c>
    </row>
    <row r="206" spans="1:17" x14ac:dyDescent="0.35">
      <c r="A206">
        <v>1467</v>
      </c>
      <c r="B206">
        <v>74</v>
      </c>
      <c r="C206" t="s">
        <v>16</v>
      </c>
      <c r="D206">
        <v>163</v>
      </c>
      <c r="E206">
        <v>68</v>
      </c>
      <c r="F206" s="3">
        <v>19.4609242085345</v>
      </c>
      <c r="G206" s="3" t="str">
        <f t="shared" si="3"/>
        <v>Normal Weight</v>
      </c>
      <c r="H206" t="s">
        <v>498</v>
      </c>
      <c r="I206" t="s">
        <v>18</v>
      </c>
      <c r="J206" t="s">
        <v>19</v>
      </c>
      <c r="K206" t="s">
        <v>22</v>
      </c>
      <c r="L206" t="s">
        <v>29</v>
      </c>
      <c r="M206" t="s">
        <v>19</v>
      </c>
      <c r="N206" t="s">
        <v>25</v>
      </c>
      <c r="O206" t="s">
        <v>19</v>
      </c>
      <c r="P206" t="s">
        <v>19</v>
      </c>
      <c r="Q206" t="s">
        <v>40</v>
      </c>
    </row>
    <row r="207" spans="1:17" x14ac:dyDescent="0.35">
      <c r="A207">
        <v>222</v>
      </c>
      <c r="B207">
        <v>70</v>
      </c>
      <c r="C207" t="s">
        <v>27</v>
      </c>
      <c r="D207">
        <v>158</v>
      </c>
      <c r="E207">
        <v>96</v>
      </c>
      <c r="F207" s="3">
        <v>19.930658365328</v>
      </c>
      <c r="G207" s="3" t="str">
        <f t="shared" si="3"/>
        <v>Normal Weight</v>
      </c>
      <c r="H207" t="s">
        <v>238</v>
      </c>
      <c r="I207" t="s">
        <v>24</v>
      </c>
      <c r="J207" t="s">
        <v>20</v>
      </c>
      <c r="K207" t="s">
        <v>40</v>
      </c>
      <c r="L207" t="s">
        <v>29</v>
      </c>
      <c r="M207" t="s">
        <v>19</v>
      </c>
      <c r="N207" t="s">
        <v>25</v>
      </c>
      <c r="O207" t="s">
        <v>20</v>
      </c>
      <c r="P207" t="s">
        <v>19</v>
      </c>
      <c r="Q207" t="s">
        <v>22</v>
      </c>
    </row>
    <row r="208" spans="1:17" x14ac:dyDescent="0.35">
      <c r="A208">
        <v>1585</v>
      </c>
      <c r="B208">
        <v>74</v>
      </c>
      <c r="C208" t="s">
        <v>16</v>
      </c>
      <c r="D208">
        <v>177</v>
      </c>
      <c r="E208">
        <v>81</v>
      </c>
      <c r="F208" s="3">
        <v>21.610247571126699</v>
      </c>
      <c r="G208" s="3" t="str">
        <f t="shared" si="3"/>
        <v>Normal Weight</v>
      </c>
      <c r="H208" t="s">
        <v>873</v>
      </c>
      <c r="I208" t="s">
        <v>24</v>
      </c>
      <c r="J208" t="s">
        <v>20</v>
      </c>
      <c r="K208" t="s">
        <v>22</v>
      </c>
      <c r="L208" t="s">
        <v>32</v>
      </c>
      <c r="M208" t="s">
        <v>20</v>
      </c>
      <c r="N208" t="s">
        <v>25</v>
      </c>
      <c r="O208" t="s">
        <v>19</v>
      </c>
      <c r="P208" t="s">
        <v>20</v>
      </c>
      <c r="Q208" t="s">
        <v>22</v>
      </c>
    </row>
    <row r="209" spans="1:17" x14ac:dyDescent="0.35">
      <c r="A209">
        <v>223</v>
      </c>
      <c r="B209">
        <v>23</v>
      </c>
      <c r="C209" t="s">
        <v>27</v>
      </c>
      <c r="D209">
        <v>177</v>
      </c>
      <c r="E209">
        <v>50</v>
      </c>
      <c r="F209" s="3">
        <v>27.3829911846668</v>
      </c>
      <c r="G209" s="3" t="str">
        <f t="shared" si="3"/>
        <v>Overweight</v>
      </c>
      <c r="H209" t="s">
        <v>239</v>
      </c>
      <c r="I209" t="s">
        <v>24</v>
      </c>
      <c r="J209" t="s">
        <v>19</v>
      </c>
      <c r="K209" t="s">
        <v>18</v>
      </c>
      <c r="L209" t="s">
        <v>14</v>
      </c>
      <c r="M209" t="s">
        <v>20</v>
      </c>
      <c r="N209" t="s">
        <v>21</v>
      </c>
      <c r="O209" t="s">
        <v>19</v>
      </c>
      <c r="P209" t="s">
        <v>20</v>
      </c>
      <c r="Q209" t="s">
        <v>18</v>
      </c>
    </row>
    <row r="210" spans="1:17" x14ac:dyDescent="0.35">
      <c r="A210">
        <v>1705</v>
      </c>
      <c r="B210">
        <v>74</v>
      </c>
      <c r="C210" t="s">
        <v>27</v>
      </c>
      <c r="D210">
        <v>152</v>
      </c>
      <c r="E210">
        <v>53</v>
      </c>
      <c r="F210" s="3">
        <v>27.942682939943001</v>
      </c>
      <c r="G210" s="3" t="str">
        <f t="shared" si="3"/>
        <v>Overweight</v>
      </c>
      <c r="H210" t="s">
        <v>911</v>
      </c>
      <c r="I210" t="s">
        <v>18</v>
      </c>
      <c r="J210" t="s">
        <v>20</v>
      </c>
      <c r="K210" t="s">
        <v>22</v>
      </c>
      <c r="L210" t="s">
        <v>38</v>
      </c>
      <c r="M210" t="s">
        <v>20</v>
      </c>
      <c r="N210" t="s">
        <v>21</v>
      </c>
      <c r="O210" t="s">
        <v>20</v>
      </c>
      <c r="P210" t="s">
        <v>20</v>
      </c>
      <c r="Q210" t="s">
        <v>40</v>
      </c>
    </row>
    <row r="211" spans="1:17" x14ac:dyDescent="0.35">
      <c r="A211">
        <v>1828</v>
      </c>
      <c r="B211">
        <v>74</v>
      </c>
      <c r="C211" t="s">
        <v>16</v>
      </c>
      <c r="D211">
        <v>152</v>
      </c>
      <c r="E211">
        <v>94</v>
      </c>
      <c r="F211" s="3">
        <v>23.712941069363001</v>
      </c>
      <c r="G211" s="3" t="str">
        <f t="shared" si="3"/>
        <v>Normal Weight</v>
      </c>
      <c r="H211" t="s">
        <v>1214</v>
      </c>
      <c r="I211" t="s">
        <v>18</v>
      </c>
      <c r="J211" t="s">
        <v>20</v>
      </c>
      <c r="K211" t="s">
        <v>22</v>
      </c>
      <c r="L211" t="s">
        <v>38</v>
      </c>
      <c r="M211" t="s">
        <v>19</v>
      </c>
      <c r="N211" t="s">
        <v>25</v>
      </c>
      <c r="O211" t="s">
        <v>20</v>
      </c>
      <c r="P211" t="s">
        <v>19</v>
      </c>
      <c r="Q211" t="s">
        <v>18</v>
      </c>
    </row>
    <row r="212" spans="1:17" x14ac:dyDescent="0.35">
      <c r="A212">
        <v>1836</v>
      </c>
      <c r="B212">
        <v>74</v>
      </c>
      <c r="C212" t="s">
        <v>16</v>
      </c>
      <c r="D212">
        <v>157</v>
      </c>
      <c r="E212">
        <v>65</v>
      </c>
      <c r="F212" s="3">
        <v>23.507814500941201</v>
      </c>
      <c r="G212" s="3" t="str">
        <f t="shared" si="3"/>
        <v>Normal Weight</v>
      </c>
      <c r="H212" t="s">
        <v>561</v>
      </c>
      <c r="I212" t="s">
        <v>24</v>
      </c>
      <c r="J212" t="s">
        <v>20</v>
      </c>
      <c r="K212" t="s">
        <v>22</v>
      </c>
      <c r="L212" t="s">
        <v>38</v>
      </c>
      <c r="M212" t="s">
        <v>20</v>
      </c>
      <c r="N212" t="s">
        <v>21</v>
      </c>
      <c r="O212" t="s">
        <v>19</v>
      </c>
      <c r="P212" t="s">
        <v>20</v>
      </c>
      <c r="Q212" t="s">
        <v>40</v>
      </c>
    </row>
    <row r="213" spans="1:17" x14ac:dyDescent="0.35">
      <c r="A213">
        <v>1929</v>
      </c>
      <c r="B213">
        <v>74</v>
      </c>
      <c r="C213" t="s">
        <v>27</v>
      </c>
      <c r="D213">
        <v>152</v>
      </c>
      <c r="E213">
        <v>59</v>
      </c>
      <c r="F213" s="3">
        <v>34.062731519941899</v>
      </c>
      <c r="G213" s="3" t="str">
        <f t="shared" si="3"/>
        <v>Obese</v>
      </c>
      <c r="H213" t="s">
        <v>517</v>
      </c>
      <c r="I213" t="s">
        <v>31</v>
      </c>
      <c r="J213" t="s">
        <v>20</v>
      </c>
      <c r="K213" t="s">
        <v>22</v>
      </c>
      <c r="L213" t="s">
        <v>29</v>
      </c>
      <c r="M213" t="s">
        <v>19</v>
      </c>
      <c r="N213" t="s">
        <v>21</v>
      </c>
      <c r="O213" t="s">
        <v>20</v>
      </c>
      <c r="P213" t="s">
        <v>20</v>
      </c>
      <c r="Q213" t="s">
        <v>18</v>
      </c>
    </row>
    <row r="214" spans="1:17" x14ac:dyDescent="0.35">
      <c r="A214">
        <v>281</v>
      </c>
      <c r="B214">
        <v>73</v>
      </c>
      <c r="C214" t="s">
        <v>27</v>
      </c>
      <c r="D214">
        <v>189</v>
      </c>
      <c r="E214">
        <v>93</v>
      </c>
      <c r="F214" s="3">
        <v>29.9133818832223</v>
      </c>
      <c r="G214" s="3" t="str">
        <f t="shared" si="3"/>
        <v>Obese</v>
      </c>
      <c r="H214" t="s">
        <v>290</v>
      </c>
      <c r="I214" t="s">
        <v>24</v>
      </c>
      <c r="J214" t="s">
        <v>19</v>
      </c>
      <c r="K214" t="s">
        <v>22</v>
      </c>
      <c r="L214" t="s">
        <v>29</v>
      </c>
      <c r="M214" t="s">
        <v>20</v>
      </c>
      <c r="N214" t="s">
        <v>25</v>
      </c>
      <c r="O214" t="s">
        <v>19</v>
      </c>
      <c r="P214" t="s">
        <v>20</v>
      </c>
      <c r="Q214" t="s">
        <v>40</v>
      </c>
    </row>
    <row r="215" spans="1:17" x14ac:dyDescent="0.35">
      <c r="A215">
        <v>307</v>
      </c>
      <c r="B215">
        <v>73</v>
      </c>
      <c r="C215" t="s">
        <v>27</v>
      </c>
      <c r="D215">
        <v>166</v>
      </c>
      <c r="E215">
        <v>62</v>
      </c>
      <c r="F215" s="3">
        <v>27.701863404559901</v>
      </c>
      <c r="G215" s="3" t="str">
        <f t="shared" si="3"/>
        <v>Overweight</v>
      </c>
      <c r="H215" t="s">
        <v>237</v>
      </c>
      <c r="I215" t="s">
        <v>18</v>
      </c>
      <c r="J215" t="s">
        <v>19</v>
      </c>
      <c r="K215" t="s">
        <v>22</v>
      </c>
      <c r="L215" t="s">
        <v>32</v>
      </c>
      <c r="M215" t="s">
        <v>20</v>
      </c>
      <c r="N215" t="s">
        <v>25</v>
      </c>
      <c r="O215" t="s">
        <v>19</v>
      </c>
      <c r="P215" t="s">
        <v>19</v>
      </c>
      <c r="Q215" t="s">
        <v>22</v>
      </c>
    </row>
    <row r="216" spans="1:17" x14ac:dyDescent="0.35">
      <c r="A216">
        <v>224</v>
      </c>
      <c r="B216">
        <v>45</v>
      </c>
      <c r="C216" t="s">
        <v>16</v>
      </c>
      <c r="D216">
        <v>169</v>
      </c>
      <c r="E216">
        <v>50</v>
      </c>
      <c r="F216" s="3">
        <v>33.568289823607898</v>
      </c>
      <c r="G216" s="3" t="str">
        <f t="shared" si="3"/>
        <v>Obese</v>
      </c>
      <c r="H216" t="s">
        <v>240</v>
      </c>
      <c r="I216" t="s">
        <v>18</v>
      </c>
      <c r="J216" t="s">
        <v>19</v>
      </c>
      <c r="K216" t="s">
        <v>18</v>
      </c>
      <c r="L216" t="s">
        <v>32</v>
      </c>
      <c r="M216" t="s">
        <v>20</v>
      </c>
      <c r="N216" t="s">
        <v>25</v>
      </c>
      <c r="O216" t="s">
        <v>20</v>
      </c>
      <c r="P216" t="s">
        <v>20</v>
      </c>
      <c r="Q216" t="s">
        <v>40</v>
      </c>
    </row>
    <row r="217" spans="1:17" x14ac:dyDescent="0.35">
      <c r="A217">
        <v>225</v>
      </c>
      <c r="B217">
        <v>45</v>
      </c>
      <c r="C217" t="s">
        <v>27</v>
      </c>
      <c r="D217">
        <v>156</v>
      </c>
      <c r="E217">
        <v>91</v>
      </c>
      <c r="F217" s="3">
        <v>24.9015504475651</v>
      </c>
      <c r="G217" s="3" t="str">
        <f t="shared" si="3"/>
        <v>Overweight</v>
      </c>
      <c r="H217" t="s">
        <v>241</v>
      </c>
      <c r="I217" t="s">
        <v>31</v>
      </c>
      <c r="J217" t="s">
        <v>20</v>
      </c>
      <c r="K217" t="s">
        <v>18</v>
      </c>
      <c r="L217" t="s">
        <v>38</v>
      </c>
      <c r="M217" t="s">
        <v>19</v>
      </c>
      <c r="N217" t="s">
        <v>25</v>
      </c>
      <c r="O217" t="s">
        <v>19</v>
      </c>
      <c r="P217" t="s">
        <v>19</v>
      </c>
      <c r="Q217" t="s">
        <v>18</v>
      </c>
    </row>
    <row r="218" spans="1:17" x14ac:dyDescent="0.35">
      <c r="A218">
        <v>226</v>
      </c>
      <c r="B218">
        <v>61</v>
      </c>
      <c r="C218" t="s">
        <v>27</v>
      </c>
      <c r="D218">
        <v>163</v>
      </c>
      <c r="E218">
        <v>91</v>
      </c>
      <c r="F218" s="3">
        <v>32.187836218568002</v>
      </c>
      <c r="G218" s="3" t="str">
        <f t="shared" si="3"/>
        <v>Obese</v>
      </c>
      <c r="H218" t="s">
        <v>242</v>
      </c>
      <c r="I218" t="s">
        <v>18</v>
      </c>
      <c r="J218" t="s">
        <v>19</v>
      </c>
      <c r="K218" t="s">
        <v>18</v>
      </c>
      <c r="L218" t="s">
        <v>14</v>
      </c>
      <c r="M218" t="s">
        <v>20</v>
      </c>
      <c r="N218" t="s">
        <v>25</v>
      </c>
      <c r="O218" t="s">
        <v>20</v>
      </c>
      <c r="P218" t="s">
        <v>19</v>
      </c>
      <c r="Q218" t="s">
        <v>22</v>
      </c>
    </row>
    <row r="219" spans="1:17" x14ac:dyDescent="0.35">
      <c r="A219">
        <v>228</v>
      </c>
      <c r="B219">
        <v>37</v>
      </c>
      <c r="C219" t="s">
        <v>16</v>
      </c>
      <c r="D219">
        <v>168</v>
      </c>
      <c r="E219">
        <v>64</v>
      </c>
      <c r="F219" s="3">
        <v>33.934009079518603</v>
      </c>
      <c r="G219" s="3" t="str">
        <f t="shared" si="3"/>
        <v>Obese</v>
      </c>
      <c r="H219" t="s">
        <v>244</v>
      </c>
      <c r="I219" t="s">
        <v>24</v>
      </c>
      <c r="J219" t="s">
        <v>19</v>
      </c>
      <c r="K219" t="s">
        <v>18</v>
      </c>
      <c r="L219" t="s">
        <v>38</v>
      </c>
      <c r="M219" t="s">
        <v>20</v>
      </c>
      <c r="N219" t="s">
        <v>21</v>
      </c>
      <c r="O219" t="s">
        <v>19</v>
      </c>
      <c r="P219" t="s">
        <v>20</v>
      </c>
      <c r="Q219" t="s">
        <v>22</v>
      </c>
    </row>
    <row r="220" spans="1:17" x14ac:dyDescent="0.35">
      <c r="A220">
        <v>737</v>
      </c>
      <c r="B220">
        <v>73</v>
      </c>
      <c r="C220" t="s">
        <v>16</v>
      </c>
      <c r="D220">
        <v>170</v>
      </c>
      <c r="E220">
        <v>65</v>
      </c>
      <c r="F220" s="3">
        <v>29.776585350094901</v>
      </c>
      <c r="G220" s="3" t="str">
        <f t="shared" si="3"/>
        <v>Overweight</v>
      </c>
      <c r="H220" t="s">
        <v>646</v>
      </c>
      <c r="I220" t="s">
        <v>24</v>
      </c>
      <c r="J220" t="s">
        <v>19</v>
      </c>
      <c r="K220" t="s">
        <v>22</v>
      </c>
      <c r="L220" t="s">
        <v>14</v>
      </c>
      <c r="M220" t="s">
        <v>19</v>
      </c>
      <c r="N220" t="s">
        <v>25</v>
      </c>
      <c r="O220" t="s">
        <v>19</v>
      </c>
      <c r="P220" t="s">
        <v>20</v>
      </c>
      <c r="Q220" t="s">
        <v>22</v>
      </c>
    </row>
    <row r="221" spans="1:17" x14ac:dyDescent="0.35">
      <c r="A221">
        <v>899</v>
      </c>
      <c r="B221">
        <v>73</v>
      </c>
      <c r="C221" t="s">
        <v>16</v>
      </c>
      <c r="D221">
        <v>180</v>
      </c>
      <c r="E221">
        <v>81</v>
      </c>
      <c r="F221" s="3">
        <v>25.211766851438</v>
      </c>
      <c r="G221" s="3" t="str">
        <f t="shared" si="3"/>
        <v>Overweight</v>
      </c>
      <c r="H221" t="s">
        <v>742</v>
      </c>
      <c r="I221" t="s">
        <v>18</v>
      </c>
      <c r="J221" t="s">
        <v>19</v>
      </c>
      <c r="K221" t="s">
        <v>22</v>
      </c>
      <c r="L221" t="s">
        <v>29</v>
      </c>
      <c r="M221" t="s">
        <v>20</v>
      </c>
      <c r="N221" t="s">
        <v>25</v>
      </c>
      <c r="O221" t="s">
        <v>20</v>
      </c>
      <c r="P221" t="s">
        <v>20</v>
      </c>
      <c r="Q221" t="s">
        <v>40</v>
      </c>
    </row>
    <row r="222" spans="1:17" x14ac:dyDescent="0.35">
      <c r="A222">
        <v>986</v>
      </c>
      <c r="B222">
        <v>73</v>
      </c>
      <c r="C222" t="s">
        <v>16</v>
      </c>
      <c r="D222">
        <v>176</v>
      </c>
      <c r="E222">
        <v>53</v>
      </c>
      <c r="F222" s="3">
        <v>22.3663635832336</v>
      </c>
      <c r="G222" s="3" t="str">
        <f t="shared" si="3"/>
        <v>Normal Weight</v>
      </c>
      <c r="H222" t="s">
        <v>794</v>
      </c>
      <c r="I222" t="s">
        <v>18</v>
      </c>
      <c r="J222" t="s">
        <v>20</v>
      </c>
      <c r="K222" t="s">
        <v>22</v>
      </c>
      <c r="L222" t="s">
        <v>38</v>
      </c>
      <c r="M222" t="s">
        <v>19</v>
      </c>
      <c r="N222" t="s">
        <v>25</v>
      </c>
      <c r="O222" t="s">
        <v>19</v>
      </c>
      <c r="P222" t="s">
        <v>20</v>
      </c>
      <c r="Q222" t="s">
        <v>22</v>
      </c>
    </row>
    <row r="223" spans="1:17" x14ac:dyDescent="0.35">
      <c r="A223">
        <v>993</v>
      </c>
      <c r="B223">
        <v>73</v>
      </c>
      <c r="C223" t="s">
        <v>27</v>
      </c>
      <c r="D223">
        <v>176</v>
      </c>
      <c r="E223">
        <v>97</v>
      </c>
      <c r="F223" s="3">
        <v>29.724136357451101</v>
      </c>
      <c r="G223" s="3" t="str">
        <f t="shared" si="3"/>
        <v>Overweight</v>
      </c>
      <c r="H223" t="s">
        <v>798</v>
      </c>
      <c r="I223" t="s">
        <v>18</v>
      </c>
      <c r="J223" t="s">
        <v>19</v>
      </c>
      <c r="K223" t="s">
        <v>22</v>
      </c>
      <c r="L223" t="s">
        <v>14</v>
      </c>
      <c r="M223" t="s">
        <v>20</v>
      </c>
      <c r="N223" t="s">
        <v>25</v>
      </c>
      <c r="O223" t="s">
        <v>20</v>
      </c>
      <c r="P223" t="s">
        <v>19</v>
      </c>
      <c r="Q223" t="s">
        <v>18</v>
      </c>
    </row>
    <row r="224" spans="1:17" x14ac:dyDescent="0.35">
      <c r="A224">
        <v>229</v>
      </c>
      <c r="B224">
        <v>47</v>
      </c>
      <c r="C224" t="s">
        <v>16</v>
      </c>
      <c r="D224">
        <v>163</v>
      </c>
      <c r="E224">
        <v>66</v>
      </c>
      <c r="F224" s="3">
        <v>30.898484739266401</v>
      </c>
      <c r="G224" s="3" t="str">
        <f t="shared" si="3"/>
        <v>Obese</v>
      </c>
      <c r="H224" t="s">
        <v>106</v>
      </c>
      <c r="I224" t="s">
        <v>31</v>
      </c>
      <c r="J224" t="s">
        <v>19</v>
      </c>
      <c r="K224" t="s">
        <v>18</v>
      </c>
      <c r="L224" t="s">
        <v>32</v>
      </c>
      <c r="M224" t="s">
        <v>20</v>
      </c>
      <c r="N224" t="s">
        <v>25</v>
      </c>
      <c r="O224" t="s">
        <v>20</v>
      </c>
      <c r="P224" t="s">
        <v>19</v>
      </c>
      <c r="Q224" t="s">
        <v>40</v>
      </c>
    </row>
    <row r="225" spans="1:17" x14ac:dyDescent="0.35">
      <c r="A225">
        <v>1143</v>
      </c>
      <c r="B225">
        <v>73</v>
      </c>
      <c r="C225" t="s">
        <v>27</v>
      </c>
      <c r="D225">
        <v>155</v>
      </c>
      <c r="E225">
        <v>74</v>
      </c>
      <c r="F225" s="3">
        <v>21.770240375957499</v>
      </c>
      <c r="G225" s="3" t="str">
        <f t="shared" si="3"/>
        <v>Normal Weight</v>
      </c>
      <c r="H225" t="s">
        <v>335</v>
      </c>
      <c r="I225" t="s">
        <v>18</v>
      </c>
      <c r="J225" t="s">
        <v>20</v>
      </c>
      <c r="K225" t="s">
        <v>22</v>
      </c>
      <c r="L225" t="s">
        <v>38</v>
      </c>
      <c r="M225" t="s">
        <v>19</v>
      </c>
      <c r="N225" t="s">
        <v>25</v>
      </c>
      <c r="O225" t="s">
        <v>20</v>
      </c>
      <c r="P225" t="s">
        <v>19</v>
      </c>
      <c r="Q225" t="s">
        <v>40</v>
      </c>
    </row>
    <row r="226" spans="1:17" x14ac:dyDescent="0.35">
      <c r="A226">
        <v>230</v>
      </c>
      <c r="B226">
        <v>79</v>
      </c>
      <c r="C226" t="s">
        <v>16</v>
      </c>
      <c r="D226">
        <v>187</v>
      </c>
      <c r="E226">
        <v>71</v>
      </c>
      <c r="F226" s="3">
        <v>34.032017480983797</v>
      </c>
      <c r="G226" s="3" t="str">
        <f t="shared" si="3"/>
        <v>Obese</v>
      </c>
      <c r="H226" t="s">
        <v>245</v>
      </c>
      <c r="I226" t="s">
        <v>24</v>
      </c>
      <c r="J226" t="s">
        <v>19</v>
      </c>
      <c r="K226" t="s">
        <v>40</v>
      </c>
      <c r="L226" t="s">
        <v>29</v>
      </c>
      <c r="M226" t="s">
        <v>20</v>
      </c>
      <c r="N226" t="s">
        <v>25</v>
      </c>
      <c r="O226" t="s">
        <v>20</v>
      </c>
      <c r="P226" t="s">
        <v>20</v>
      </c>
      <c r="Q226" t="s">
        <v>40</v>
      </c>
    </row>
    <row r="227" spans="1:17" x14ac:dyDescent="0.35">
      <c r="A227">
        <v>1200</v>
      </c>
      <c r="B227">
        <v>73</v>
      </c>
      <c r="C227" t="s">
        <v>27</v>
      </c>
      <c r="D227">
        <v>167</v>
      </c>
      <c r="E227">
        <v>94</v>
      </c>
      <c r="F227" s="3">
        <v>19.035767732913801</v>
      </c>
      <c r="G227" s="3" t="str">
        <f t="shared" si="3"/>
        <v>Normal Weight</v>
      </c>
      <c r="H227" t="s">
        <v>922</v>
      </c>
      <c r="I227" t="s">
        <v>24</v>
      </c>
      <c r="J227" t="s">
        <v>20</v>
      </c>
      <c r="K227" t="s">
        <v>22</v>
      </c>
      <c r="L227" t="s">
        <v>32</v>
      </c>
      <c r="M227" t="s">
        <v>20</v>
      </c>
      <c r="N227" t="s">
        <v>21</v>
      </c>
      <c r="O227" t="s">
        <v>19</v>
      </c>
      <c r="P227" t="s">
        <v>19</v>
      </c>
      <c r="Q227" t="s">
        <v>18</v>
      </c>
    </row>
    <row r="228" spans="1:17" x14ac:dyDescent="0.35">
      <c r="A228">
        <v>232</v>
      </c>
      <c r="B228">
        <v>75</v>
      </c>
      <c r="C228" t="s">
        <v>16</v>
      </c>
      <c r="D228">
        <v>189</v>
      </c>
      <c r="E228">
        <v>84</v>
      </c>
      <c r="F228" s="3">
        <v>24.496164877990498</v>
      </c>
      <c r="G228" s="3" t="str">
        <f t="shared" si="3"/>
        <v>Normal Weight</v>
      </c>
      <c r="H228" t="s">
        <v>247</v>
      </c>
      <c r="I228" t="s">
        <v>31</v>
      </c>
      <c r="J228" t="s">
        <v>20</v>
      </c>
      <c r="K228" t="s">
        <v>40</v>
      </c>
      <c r="L228" t="s">
        <v>38</v>
      </c>
      <c r="M228" t="s">
        <v>19</v>
      </c>
      <c r="N228" t="s">
        <v>25</v>
      </c>
      <c r="O228" t="s">
        <v>19</v>
      </c>
      <c r="P228" t="s">
        <v>19</v>
      </c>
      <c r="Q228" t="s">
        <v>40</v>
      </c>
    </row>
    <row r="229" spans="1:17" x14ac:dyDescent="0.35">
      <c r="A229">
        <v>234</v>
      </c>
      <c r="B229">
        <v>45</v>
      </c>
      <c r="C229" t="s">
        <v>16</v>
      </c>
      <c r="D229">
        <v>179</v>
      </c>
      <c r="E229">
        <v>65</v>
      </c>
      <c r="F229" s="3">
        <v>23.046851809101401</v>
      </c>
      <c r="G229" s="3" t="str">
        <f t="shared" si="3"/>
        <v>Normal Weight</v>
      </c>
      <c r="H229" t="s">
        <v>248</v>
      </c>
      <c r="I229" t="s">
        <v>24</v>
      </c>
      <c r="J229" t="s">
        <v>20</v>
      </c>
      <c r="K229" t="s">
        <v>18</v>
      </c>
      <c r="L229" t="s">
        <v>38</v>
      </c>
      <c r="M229" t="s">
        <v>20</v>
      </c>
      <c r="N229" t="s">
        <v>21</v>
      </c>
      <c r="O229" t="s">
        <v>20</v>
      </c>
      <c r="P229" t="s">
        <v>20</v>
      </c>
      <c r="Q229" t="s">
        <v>22</v>
      </c>
    </row>
    <row r="230" spans="1:17" x14ac:dyDescent="0.35">
      <c r="A230">
        <v>1317</v>
      </c>
      <c r="B230">
        <v>73</v>
      </c>
      <c r="C230" t="s">
        <v>27</v>
      </c>
      <c r="D230">
        <v>158</v>
      </c>
      <c r="E230">
        <v>60</v>
      </c>
      <c r="F230" s="3">
        <v>19.582830454933902</v>
      </c>
      <c r="G230" s="3" t="str">
        <f t="shared" si="3"/>
        <v>Normal Weight</v>
      </c>
      <c r="H230" t="s">
        <v>991</v>
      </c>
      <c r="I230" t="s">
        <v>31</v>
      </c>
      <c r="J230" t="s">
        <v>20</v>
      </c>
      <c r="K230" t="s">
        <v>22</v>
      </c>
      <c r="L230" t="s">
        <v>32</v>
      </c>
      <c r="M230" t="s">
        <v>19</v>
      </c>
      <c r="N230" t="s">
        <v>21</v>
      </c>
      <c r="O230" t="s">
        <v>19</v>
      </c>
      <c r="P230" t="s">
        <v>20</v>
      </c>
      <c r="Q230" t="s">
        <v>40</v>
      </c>
    </row>
    <row r="231" spans="1:17" x14ac:dyDescent="0.35">
      <c r="A231">
        <v>235</v>
      </c>
      <c r="B231">
        <v>42</v>
      </c>
      <c r="C231" t="s">
        <v>16</v>
      </c>
      <c r="D231">
        <v>158</v>
      </c>
      <c r="E231">
        <v>57</v>
      </c>
      <c r="F231" s="3">
        <v>23.9808466140185</v>
      </c>
      <c r="G231" s="3" t="str">
        <f t="shared" si="3"/>
        <v>Normal Weight</v>
      </c>
      <c r="H231" t="s">
        <v>249</v>
      </c>
      <c r="I231" t="s">
        <v>18</v>
      </c>
      <c r="J231" t="s">
        <v>19</v>
      </c>
      <c r="K231" t="s">
        <v>18</v>
      </c>
      <c r="L231" t="s">
        <v>14</v>
      </c>
      <c r="M231" t="s">
        <v>19</v>
      </c>
      <c r="N231" t="s">
        <v>21</v>
      </c>
      <c r="O231" t="s">
        <v>20</v>
      </c>
      <c r="P231" t="s">
        <v>20</v>
      </c>
      <c r="Q231" t="s">
        <v>18</v>
      </c>
    </row>
    <row r="232" spans="1:17" x14ac:dyDescent="0.35">
      <c r="A232">
        <v>239</v>
      </c>
      <c r="B232">
        <v>18</v>
      </c>
      <c r="C232" t="s">
        <v>27</v>
      </c>
      <c r="D232">
        <v>160</v>
      </c>
      <c r="E232">
        <v>75</v>
      </c>
      <c r="F232" s="3">
        <v>21.879239749427398</v>
      </c>
      <c r="G232" s="3" t="str">
        <f t="shared" si="3"/>
        <v>Normal Weight</v>
      </c>
      <c r="H232" t="s">
        <v>252</v>
      </c>
      <c r="I232" t="s">
        <v>18</v>
      </c>
      <c r="J232" t="s">
        <v>19</v>
      </c>
      <c r="K232" t="s">
        <v>18</v>
      </c>
      <c r="L232" t="s">
        <v>32</v>
      </c>
      <c r="M232" t="s">
        <v>19</v>
      </c>
      <c r="N232" t="s">
        <v>25</v>
      </c>
      <c r="O232" t="s">
        <v>19</v>
      </c>
      <c r="P232" t="s">
        <v>19</v>
      </c>
      <c r="Q232" t="s">
        <v>22</v>
      </c>
    </row>
    <row r="233" spans="1:17" x14ac:dyDescent="0.35">
      <c r="A233">
        <v>1492</v>
      </c>
      <c r="B233">
        <v>73</v>
      </c>
      <c r="C233" t="s">
        <v>27</v>
      </c>
      <c r="D233">
        <v>150</v>
      </c>
      <c r="E233">
        <v>74</v>
      </c>
      <c r="F233" s="3">
        <v>26.489516799236</v>
      </c>
      <c r="G233" s="3" t="str">
        <f t="shared" si="3"/>
        <v>Overweight</v>
      </c>
      <c r="H233" t="s">
        <v>1066</v>
      </c>
      <c r="I233" t="s">
        <v>18</v>
      </c>
      <c r="J233" t="s">
        <v>20</v>
      </c>
      <c r="K233" t="s">
        <v>22</v>
      </c>
      <c r="L233" t="s">
        <v>14</v>
      </c>
      <c r="M233" t="s">
        <v>20</v>
      </c>
      <c r="N233" t="s">
        <v>25</v>
      </c>
      <c r="O233" t="s">
        <v>20</v>
      </c>
      <c r="P233" t="s">
        <v>19</v>
      </c>
      <c r="Q233" t="s">
        <v>18</v>
      </c>
    </row>
    <row r="234" spans="1:17" x14ac:dyDescent="0.35">
      <c r="A234">
        <v>245</v>
      </c>
      <c r="B234">
        <v>30</v>
      </c>
      <c r="C234" t="s">
        <v>16</v>
      </c>
      <c r="D234">
        <v>177</v>
      </c>
      <c r="E234">
        <v>63</v>
      </c>
      <c r="F234" s="3">
        <v>23.524092001841499</v>
      </c>
      <c r="G234" s="3" t="str">
        <f t="shared" si="3"/>
        <v>Normal Weight</v>
      </c>
      <c r="H234" t="s">
        <v>257</v>
      </c>
      <c r="I234" t="s">
        <v>18</v>
      </c>
      <c r="J234" t="s">
        <v>19</v>
      </c>
      <c r="K234" t="s">
        <v>18</v>
      </c>
      <c r="L234" t="s">
        <v>14</v>
      </c>
      <c r="M234" t="s">
        <v>19</v>
      </c>
      <c r="N234" t="s">
        <v>21</v>
      </c>
      <c r="O234" t="s">
        <v>20</v>
      </c>
      <c r="P234" t="s">
        <v>20</v>
      </c>
      <c r="Q234" t="s">
        <v>22</v>
      </c>
    </row>
    <row r="235" spans="1:17" x14ac:dyDescent="0.35">
      <c r="A235">
        <v>1645</v>
      </c>
      <c r="B235">
        <v>73</v>
      </c>
      <c r="C235" t="s">
        <v>27</v>
      </c>
      <c r="D235">
        <v>169</v>
      </c>
      <c r="E235">
        <v>58</v>
      </c>
      <c r="F235" s="3">
        <v>27.302423444288898</v>
      </c>
      <c r="G235" s="3" t="str">
        <f t="shared" si="3"/>
        <v>Overweight</v>
      </c>
      <c r="H235" t="s">
        <v>234</v>
      </c>
      <c r="I235" t="s">
        <v>18</v>
      </c>
      <c r="J235" t="s">
        <v>20</v>
      </c>
      <c r="K235" t="s">
        <v>22</v>
      </c>
      <c r="L235" t="s">
        <v>32</v>
      </c>
      <c r="M235" t="s">
        <v>20</v>
      </c>
      <c r="N235" t="s">
        <v>25</v>
      </c>
      <c r="O235" t="s">
        <v>20</v>
      </c>
      <c r="P235" t="s">
        <v>20</v>
      </c>
      <c r="Q235" t="s">
        <v>22</v>
      </c>
    </row>
    <row r="236" spans="1:17" x14ac:dyDescent="0.35">
      <c r="A236">
        <v>1720</v>
      </c>
      <c r="B236">
        <v>73</v>
      </c>
      <c r="C236" t="s">
        <v>27</v>
      </c>
      <c r="D236">
        <v>172</v>
      </c>
      <c r="E236">
        <v>73</v>
      </c>
      <c r="F236" s="3">
        <v>32.669291980738002</v>
      </c>
      <c r="G236" s="3" t="str">
        <f t="shared" si="3"/>
        <v>Obese</v>
      </c>
      <c r="H236" t="s">
        <v>1167</v>
      </c>
      <c r="I236" t="s">
        <v>24</v>
      </c>
      <c r="J236" t="s">
        <v>19</v>
      </c>
      <c r="K236" t="s">
        <v>22</v>
      </c>
      <c r="L236" t="s">
        <v>29</v>
      </c>
      <c r="M236" t="s">
        <v>20</v>
      </c>
      <c r="N236" t="s">
        <v>25</v>
      </c>
      <c r="O236" t="s">
        <v>20</v>
      </c>
      <c r="P236" t="s">
        <v>19</v>
      </c>
      <c r="Q236" t="s">
        <v>40</v>
      </c>
    </row>
    <row r="237" spans="1:17" x14ac:dyDescent="0.35">
      <c r="A237">
        <v>1778</v>
      </c>
      <c r="B237">
        <v>73</v>
      </c>
      <c r="C237" t="s">
        <v>27</v>
      </c>
      <c r="D237">
        <v>151</v>
      </c>
      <c r="E237">
        <v>59</v>
      </c>
      <c r="F237" s="3">
        <v>24.185843829494999</v>
      </c>
      <c r="G237" s="3" t="str">
        <f t="shared" si="3"/>
        <v>Normal Weight</v>
      </c>
      <c r="H237" t="s">
        <v>234</v>
      </c>
      <c r="I237" t="s">
        <v>24</v>
      </c>
      <c r="J237" t="s">
        <v>19</v>
      </c>
      <c r="K237" t="s">
        <v>22</v>
      </c>
      <c r="L237" t="s">
        <v>29</v>
      </c>
      <c r="M237" t="s">
        <v>20</v>
      </c>
      <c r="N237" t="s">
        <v>25</v>
      </c>
      <c r="O237" t="s">
        <v>20</v>
      </c>
      <c r="P237" t="s">
        <v>20</v>
      </c>
      <c r="Q237" t="s">
        <v>22</v>
      </c>
    </row>
    <row r="238" spans="1:17" x14ac:dyDescent="0.35">
      <c r="A238">
        <v>1877</v>
      </c>
      <c r="B238">
        <v>73</v>
      </c>
      <c r="C238" t="s">
        <v>27</v>
      </c>
      <c r="D238">
        <v>167</v>
      </c>
      <c r="E238">
        <v>90</v>
      </c>
      <c r="F238" s="3">
        <v>26.9401730733566</v>
      </c>
      <c r="G238" s="3" t="str">
        <f t="shared" si="3"/>
        <v>Overweight</v>
      </c>
      <c r="H238" t="s">
        <v>634</v>
      </c>
      <c r="I238" t="s">
        <v>24</v>
      </c>
      <c r="J238" t="s">
        <v>20</v>
      </c>
      <c r="K238" t="s">
        <v>22</v>
      </c>
      <c r="L238" t="s">
        <v>38</v>
      </c>
      <c r="M238" t="s">
        <v>20</v>
      </c>
      <c r="N238" t="s">
        <v>25</v>
      </c>
      <c r="O238" t="s">
        <v>19</v>
      </c>
      <c r="P238" t="s">
        <v>20</v>
      </c>
      <c r="Q238" t="s">
        <v>22</v>
      </c>
    </row>
    <row r="239" spans="1:17" x14ac:dyDescent="0.35">
      <c r="A239">
        <v>52</v>
      </c>
      <c r="B239">
        <v>72</v>
      </c>
      <c r="C239" t="s">
        <v>27</v>
      </c>
      <c r="D239">
        <v>177</v>
      </c>
      <c r="E239">
        <v>51</v>
      </c>
      <c r="F239" s="3">
        <v>32.484535945403103</v>
      </c>
      <c r="G239" s="3" t="str">
        <f t="shared" si="3"/>
        <v>Obese</v>
      </c>
      <c r="H239" t="s">
        <v>81</v>
      </c>
      <c r="I239" t="s">
        <v>18</v>
      </c>
      <c r="J239" t="s">
        <v>20</v>
      </c>
      <c r="K239" t="s">
        <v>22</v>
      </c>
      <c r="L239" t="s">
        <v>32</v>
      </c>
      <c r="M239" t="s">
        <v>19</v>
      </c>
      <c r="N239" t="s">
        <v>25</v>
      </c>
      <c r="O239" t="s">
        <v>19</v>
      </c>
      <c r="P239" t="s">
        <v>19</v>
      </c>
      <c r="Q239" t="s">
        <v>22</v>
      </c>
    </row>
    <row r="240" spans="1:17" x14ac:dyDescent="0.35">
      <c r="A240">
        <v>162</v>
      </c>
      <c r="B240">
        <v>72</v>
      </c>
      <c r="C240" t="s">
        <v>27</v>
      </c>
      <c r="D240">
        <v>176</v>
      </c>
      <c r="E240">
        <v>55</v>
      </c>
      <c r="F240" s="3">
        <v>26.4532861063193</v>
      </c>
      <c r="G240" s="3" t="str">
        <f t="shared" si="3"/>
        <v>Overweight</v>
      </c>
      <c r="H240" t="s">
        <v>184</v>
      </c>
      <c r="I240" t="s">
        <v>24</v>
      </c>
      <c r="J240" t="s">
        <v>20</v>
      </c>
      <c r="K240" t="s">
        <v>22</v>
      </c>
      <c r="L240" t="s">
        <v>32</v>
      </c>
      <c r="M240" t="s">
        <v>20</v>
      </c>
      <c r="N240" t="s">
        <v>25</v>
      </c>
      <c r="O240" t="s">
        <v>20</v>
      </c>
      <c r="P240" t="s">
        <v>19</v>
      </c>
      <c r="Q240" t="s">
        <v>40</v>
      </c>
    </row>
    <row r="241" spans="1:17" x14ac:dyDescent="0.35">
      <c r="A241">
        <v>182</v>
      </c>
      <c r="B241">
        <v>72</v>
      </c>
      <c r="C241" t="s">
        <v>16</v>
      </c>
      <c r="D241">
        <v>187</v>
      </c>
      <c r="E241">
        <v>74</v>
      </c>
      <c r="F241" s="3">
        <v>19.815298707590198</v>
      </c>
      <c r="G241" s="3" t="str">
        <f t="shared" si="3"/>
        <v>Normal Weight</v>
      </c>
      <c r="H241" t="s">
        <v>202</v>
      </c>
      <c r="I241" t="s">
        <v>18</v>
      </c>
      <c r="J241" t="s">
        <v>20</v>
      </c>
      <c r="K241" t="s">
        <v>22</v>
      </c>
      <c r="L241" t="s">
        <v>38</v>
      </c>
      <c r="M241" t="s">
        <v>19</v>
      </c>
      <c r="N241" t="s">
        <v>21</v>
      </c>
      <c r="O241" t="s">
        <v>20</v>
      </c>
      <c r="P241" t="s">
        <v>20</v>
      </c>
      <c r="Q241" t="s">
        <v>22</v>
      </c>
    </row>
    <row r="242" spans="1:17" x14ac:dyDescent="0.35">
      <c r="A242">
        <v>233</v>
      </c>
      <c r="B242">
        <v>72</v>
      </c>
      <c r="C242" t="s">
        <v>16</v>
      </c>
      <c r="D242">
        <v>166</v>
      </c>
      <c r="E242">
        <v>94</v>
      </c>
      <c r="F242" s="3">
        <v>33.979989346657902</v>
      </c>
      <c r="G242" s="3" t="str">
        <f t="shared" si="3"/>
        <v>Obese</v>
      </c>
      <c r="H242" t="s">
        <v>248</v>
      </c>
      <c r="I242" t="s">
        <v>18</v>
      </c>
      <c r="J242" t="s">
        <v>19</v>
      </c>
      <c r="K242" t="s">
        <v>22</v>
      </c>
      <c r="L242" t="s">
        <v>32</v>
      </c>
      <c r="M242" t="s">
        <v>20</v>
      </c>
      <c r="N242" t="s">
        <v>25</v>
      </c>
      <c r="O242" t="s">
        <v>19</v>
      </c>
      <c r="P242" t="s">
        <v>20</v>
      </c>
      <c r="Q242" t="s">
        <v>18</v>
      </c>
    </row>
    <row r="243" spans="1:17" x14ac:dyDescent="0.35">
      <c r="A243">
        <v>303</v>
      </c>
      <c r="B243">
        <v>72</v>
      </c>
      <c r="C243" t="s">
        <v>27</v>
      </c>
      <c r="D243">
        <v>155</v>
      </c>
      <c r="E243">
        <v>50</v>
      </c>
      <c r="F243" s="3">
        <v>25.383210603098998</v>
      </c>
      <c r="G243" s="3" t="str">
        <f t="shared" si="3"/>
        <v>Overweight</v>
      </c>
      <c r="H243" t="s">
        <v>311</v>
      </c>
      <c r="I243" t="s">
        <v>31</v>
      </c>
      <c r="J243" t="s">
        <v>19</v>
      </c>
      <c r="K243" t="s">
        <v>22</v>
      </c>
      <c r="L243" t="s">
        <v>32</v>
      </c>
      <c r="M243" t="s">
        <v>19</v>
      </c>
      <c r="N243" t="s">
        <v>21</v>
      </c>
      <c r="O243" t="s">
        <v>19</v>
      </c>
      <c r="P243" t="s">
        <v>19</v>
      </c>
      <c r="Q243" t="s">
        <v>22</v>
      </c>
    </row>
    <row r="244" spans="1:17" x14ac:dyDescent="0.35">
      <c r="A244">
        <v>305</v>
      </c>
      <c r="B244">
        <v>72</v>
      </c>
      <c r="C244" t="s">
        <v>27</v>
      </c>
      <c r="D244">
        <v>174</v>
      </c>
      <c r="E244">
        <v>81</v>
      </c>
      <c r="F244" s="3">
        <v>21.8659109595548</v>
      </c>
      <c r="G244" s="3" t="str">
        <f t="shared" si="3"/>
        <v>Normal Weight</v>
      </c>
      <c r="H244" t="s">
        <v>312</v>
      </c>
      <c r="I244" t="s">
        <v>24</v>
      </c>
      <c r="J244" t="s">
        <v>19</v>
      </c>
      <c r="K244" t="s">
        <v>22</v>
      </c>
      <c r="L244" t="s">
        <v>38</v>
      </c>
      <c r="M244" t="s">
        <v>20</v>
      </c>
      <c r="N244" t="s">
        <v>21</v>
      </c>
      <c r="O244" t="s">
        <v>19</v>
      </c>
      <c r="P244" t="s">
        <v>20</v>
      </c>
      <c r="Q244" t="s">
        <v>18</v>
      </c>
    </row>
    <row r="245" spans="1:17" x14ac:dyDescent="0.35">
      <c r="A245">
        <v>247</v>
      </c>
      <c r="B245">
        <v>20</v>
      </c>
      <c r="C245" t="s">
        <v>16</v>
      </c>
      <c r="D245">
        <v>151</v>
      </c>
      <c r="E245">
        <v>55</v>
      </c>
      <c r="F245" s="3">
        <v>29.105827322418801</v>
      </c>
      <c r="G245" s="3" t="str">
        <f t="shared" si="3"/>
        <v>Overweight</v>
      </c>
      <c r="H245" t="s">
        <v>259</v>
      </c>
      <c r="I245" t="s">
        <v>24</v>
      </c>
      <c r="J245" t="s">
        <v>19</v>
      </c>
      <c r="K245" t="s">
        <v>18</v>
      </c>
      <c r="L245" t="s">
        <v>14</v>
      </c>
      <c r="M245" t="s">
        <v>20</v>
      </c>
      <c r="N245" t="s">
        <v>21</v>
      </c>
      <c r="O245" t="s">
        <v>19</v>
      </c>
      <c r="P245" t="s">
        <v>20</v>
      </c>
      <c r="Q245" t="s">
        <v>22</v>
      </c>
    </row>
    <row r="246" spans="1:17" x14ac:dyDescent="0.35">
      <c r="A246">
        <v>250</v>
      </c>
      <c r="B246">
        <v>25</v>
      </c>
      <c r="C246" t="s">
        <v>16</v>
      </c>
      <c r="D246">
        <v>178</v>
      </c>
      <c r="E246">
        <v>63</v>
      </c>
      <c r="F246" s="3">
        <v>24.723829410551001</v>
      </c>
      <c r="G246" s="3" t="str">
        <f t="shared" si="3"/>
        <v>Normal Weight</v>
      </c>
      <c r="H246" t="s">
        <v>262</v>
      </c>
      <c r="I246" t="s">
        <v>18</v>
      </c>
      <c r="J246" t="s">
        <v>20</v>
      </c>
      <c r="K246" t="s">
        <v>18</v>
      </c>
      <c r="L246" t="s">
        <v>32</v>
      </c>
      <c r="M246" t="s">
        <v>19</v>
      </c>
      <c r="N246" t="s">
        <v>25</v>
      </c>
      <c r="O246" t="s">
        <v>19</v>
      </c>
      <c r="P246" t="s">
        <v>19</v>
      </c>
      <c r="Q246" t="s">
        <v>40</v>
      </c>
    </row>
    <row r="247" spans="1:17" x14ac:dyDescent="0.35">
      <c r="A247">
        <v>518</v>
      </c>
      <c r="B247">
        <v>72</v>
      </c>
      <c r="C247" t="s">
        <v>27</v>
      </c>
      <c r="D247">
        <v>173</v>
      </c>
      <c r="E247">
        <v>74</v>
      </c>
      <c r="F247" s="3">
        <v>30.075826882448499</v>
      </c>
      <c r="G247" s="3" t="str">
        <f t="shared" si="3"/>
        <v>Obese</v>
      </c>
      <c r="H247" t="s">
        <v>479</v>
      </c>
      <c r="I247" t="s">
        <v>24</v>
      </c>
      <c r="J247" t="s">
        <v>19</v>
      </c>
      <c r="K247" t="s">
        <v>22</v>
      </c>
      <c r="L247" t="s">
        <v>32</v>
      </c>
      <c r="M247" t="s">
        <v>19</v>
      </c>
      <c r="N247" t="s">
        <v>25</v>
      </c>
      <c r="O247" t="s">
        <v>19</v>
      </c>
      <c r="P247" t="s">
        <v>19</v>
      </c>
      <c r="Q247" t="s">
        <v>40</v>
      </c>
    </row>
    <row r="248" spans="1:17" x14ac:dyDescent="0.35">
      <c r="A248">
        <v>581</v>
      </c>
      <c r="B248">
        <v>72</v>
      </c>
      <c r="C248" t="s">
        <v>27</v>
      </c>
      <c r="D248">
        <v>178</v>
      </c>
      <c r="E248">
        <v>59</v>
      </c>
      <c r="F248" s="3">
        <v>20.9010054659914</v>
      </c>
      <c r="G248" s="3" t="str">
        <f t="shared" si="3"/>
        <v>Normal Weight</v>
      </c>
      <c r="H248" t="s">
        <v>533</v>
      </c>
      <c r="I248" t="s">
        <v>31</v>
      </c>
      <c r="J248" t="s">
        <v>19</v>
      </c>
      <c r="K248" t="s">
        <v>22</v>
      </c>
      <c r="L248" t="s">
        <v>29</v>
      </c>
      <c r="M248" t="s">
        <v>19</v>
      </c>
      <c r="N248" t="s">
        <v>25</v>
      </c>
      <c r="O248" t="s">
        <v>19</v>
      </c>
      <c r="P248" t="s">
        <v>20</v>
      </c>
      <c r="Q248" t="s">
        <v>22</v>
      </c>
    </row>
    <row r="249" spans="1:17" x14ac:dyDescent="0.35">
      <c r="A249">
        <v>596</v>
      </c>
      <c r="B249">
        <v>72</v>
      </c>
      <c r="C249" t="s">
        <v>27</v>
      </c>
      <c r="D249">
        <v>175</v>
      </c>
      <c r="E249">
        <v>70</v>
      </c>
      <c r="F249" s="3">
        <v>24.8534579193628</v>
      </c>
      <c r="G249" s="3" t="str">
        <f t="shared" si="3"/>
        <v>Normal Weight</v>
      </c>
      <c r="H249" t="s">
        <v>544</v>
      </c>
      <c r="I249" t="s">
        <v>31</v>
      </c>
      <c r="J249" t="s">
        <v>20</v>
      </c>
      <c r="K249" t="s">
        <v>22</v>
      </c>
      <c r="L249" t="s">
        <v>29</v>
      </c>
      <c r="M249" t="s">
        <v>19</v>
      </c>
      <c r="N249" t="s">
        <v>25</v>
      </c>
      <c r="O249" t="s">
        <v>19</v>
      </c>
      <c r="P249" t="s">
        <v>19</v>
      </c>
      <c r="Q249" t="s">
        <v>18</v>
      </c>
    </row>
    <row r="250" spans="1:17" x14ac:dyDescent="0.35">
      <c r="A250">
        <v>251</v>
      </c>
      <c r="B250">
        <v>44</v>
      </c>
      <c r="C250" t="s">
        <v>16</v>
      </c>
      <c r="D250">
        <v>179</v>
      </c>
      <c r="E250">
        <v>96</v>
      </c>
      <c r="F250" s="3">
        <v>31.730362779471299</v>
      </c>
      <c r="G250" s="3" t="str">
        <f t="shared" si="3"/>
        <v>Obese</v>
      </c>
      <c r="H250" t="s">
        <v>116</v>
      </c>
      <c r="I250" t="s">
        <v>24</v>
      </c>
      <c r="J250" t="s">
        <v>20</v>
      </c>
      <c r="K250" t="s">
        <v>18</v>
      </c>
      <c r="L250" t="s">
        <v>29</v>
      </c>
      <c r="M250" t="s">
        <v>20</v>
      </c>
      <c r="N250" t="s">
        <v>25</v>
      </c>
      <c r="O250" t="s">
        <v>20</v>
      </c>
      <c r="P250" t="s">
        <v>19</v>
      </c>
      <c r="Q250" t="s">
        <v>18</v>
      </c>
    </row>
    <row r="251" spans="1:17" x14ac:dyDescent="0.35">
      <c r="A251">
        <v>681</v>
      </c>
      <c r="B251">
        <v>72</v>
      </c>
      <c r="C251" t="s">
        <v>27</v>
      </c>
      <c r="D251">
        <v>164</v>
      </c>
      <c r="E251">
        <v>73</v>
      </c>
      <c r="F251" s="3">
        <v>28.198674414632698</v>
      </c>
      <c r="G251" s="3" t="str">
        <f t="shared" si="3"/>
        <v>Overweight</v>
      </c>
      <c r="H251" t="s">
        <v>610</v>
      </c>
      <c r="I251" t="s">
        <v>31</v>
      </c>
      <c r="J251" t="s">
        <v>20</v>
      </c>
      <c r="K251" t="s">
        <v>22</v>
      </c>
      <c r="L251" t="s">
        <v>32</v>
      </c>
      <c r="M251" t="s">
        <v>20</v>
      </c>
      <c r="N251" t="s">
        <v>25</v>
      </c>
      <c r="O251" t="s">
        <v>19</v>
      </c>
      <c r="P251" t="s">
        <v>19</v>
      </c>
      <c r="Q251" t="s">
        <v>40</v>
      </c>
    </row>
    <row r="252" spans="1:17" x14ac:dyDescent="0.35">
      <c r="A252">
        <v>764</v>
      </c>
      <c r="B252">
        <v>72</v>
      </c>
      <c r="C252" t="s">
        <v>16</v>
      </c>
      <c r="D252">
        <v>162</v>
      </c>
      <c r="E252">
        <v>77</v>
      </c>
      <c r="F252" s="3">
        <v>20.873821444664902</v>
      </c>
      <c r="G252" s="3" t="str">
        <f t="shared" si="3"/>
        <v>Normal Weight</v>
      </c>
      <c r="H252" t="s">
        <v>666</v>
      </c>
      <c r="I252" t="s">
        <v>24</v>
      </c>
      <c r="J252" t="s">
        <v>20</v>
      </c>
      <c r="K252" t="s">
        <v>22</v>
      </c>
      <c r="L252" t="s">
        <v>32</v>
      </c>
      <c r="M252" t="s">
        <v>20</v>
      </c>
      <c r="N252" t="s">
        <v>25</v>
      </c>
      <c r="O252" t="s">
        <v>19</v>
      </c>
      <c r="P252" t="s">
        <v>19</v>
      </c>
      <c r="Q252" t="s">
        <v>18</v>
      </c>
    </row>
    <row r="253" spans="1:17" x14ac:dyDescent="0.35">
      <c r="A253">
        <v>252</v>
      </c>
      <c r="B253">
        <v>26</v>
      </c>
      <c r="C253" t="s">
        <v>16</v>
      </c>
      <c r="D253">
        <v>161</v>
      </c>
      <c r="E253">
        <v>57</v>
      </c>
      <c r="F253" s="3">
        <v>25.669760894524099</v>
      </c>
      <c r="G253" s="3" t="str">
        <f t="shared" si="3"/>
        <v>Overweight</v>
      </c>
      <c r="H253" t="s">
        <v>263</v>
      </c>
      <c r="I253" t="s">
        <v>24</v>
      </c>
      <c r="J253" t="s">
        <v>19</v>
      </c>
      <c r="K253" t="s">
        <v>18</v>
      </c>
      <c r="L253" t="s">
        <v>14</v>
      </c>
      <c r="M253" t="s">
        <v>19</v>
      </c>
      <c r="N253" t="s">
        <v>21</v>
      </c>
      <c r="O253" t="s">
        <v>19</v>
      </c>
      <c r="P253" t="s">
        <v>19</v>
      </c>
      <c r="Q253" t="s">
        <v>22</v>
      </c>
    </row>
    <row r="254" spans="1:17" x14ac:dyDescent="0.35">
      <c r="A254">
        <v>253</v>
      </c>
      <c r="B254">
        <v>79</v>
      </c>
      <c r="C254" t="s">
        <v>27</v>
      </c>
      <c r="D254">
        <v>184</v>
      </c>
      <c r="E254">
        <v>64</v>
      </c>
      <c r="F254" s="3">
        <v>32.847305584947101</v>
      </c>
      <c r="G254" s="3" t="str">
        <f t="shared" si="3"/>
        <v>Obese</v>
      </c>
      <c r="H254" t="s">
        <v>264</v>
      </c>
      <c r="I254" t="s">
        <v>31</v>
      </c>
      <c r="J254" t="s">
        <v>19</v>
      </c>
      <c r="K254" t="s">
        <v>40</v>
      </c>
      <c r="L254" t="s">
        <v>38</v>
      </c>
      <c r="M254" t="s">
        <v>20</v>
      </c>
      <c r="N254" t="s">
        <v>25</v>
      </c>
      <c r="O254" t="s">
        <v>20</v>
      </c>
      <c r="P254" t="s">
        <v>19</v>
      </c>
      <c r="Q254" t="s">
        <v>18</v>
      </c>
    </row>
    <row r="255" spans="1:17" x14ac:dyDescent="0.35">
      <c r="A255">
        <v>255</v>
      </c>
      <c r="B255">
        <v>50</v>
      </c>
      <c r="C255" t="s">
        <v>27</v>
      </c>
      <c r="D255">
        <v>170</v>
      </c>
      <c r="E255">
        <v>62</v>
      </c>
      <c r="F255" s="3">
        <v>34.136821921560603</v>
      </c>
      <c r="G255" s="3" t="str">
        <f t="shared" si="3"/>
        <v>Obese</v>
      </c>
      <c r="H255" t="s">
        <v>266</v>
      </c>
      <c r="I255" t="s">
        <v>24</v>
      </c>
      <c r="J255" t="s">
        <v>20</v>
      </c>
      <c r="K255" t="s">
        <v>18</v>
      </c>
      <c r="L255" t="s">
        <v>14</v>
      </c>
      <c r="M255" t="s">
        <v>20</v>
      </c>
      <c r="N255" t="s">
        <v>25</v>
      </c>
      <c r="O255" t="s">
        <v>19</v>
      </c>
      <c r="P255" t="s">
        <v>20</v>
      </c>
      <c r="Q255" t="s">
        <v>40</v>
      </c>
    </row>
    <row r="256" spans="1:17" x14ac:dyDescent="0.35">
      <c r="A256">
        <v>259</v>
      </c>
      <c r="B256">
        <v>41</v>
      </c>
      <c r="C256" t="s">
        <v>16</v>
      </c>
      <c r="D256">
        <v>186</v>
      </c>
      <c r="E256">
        <v>55</v>
      </c>
      <c r="F256" s="3">
        <v>24.996959835829198</v>
      </c>
      <c r="G256" s="3" t="str">
        <f t="shared" si="3"/>
        <v>Overweight</v>
      </c>
      <c r="H256" t="s">
        <v>270</v>
      </c>
      <c r="I256" t="s">
        <v>31</v>
      </c>
      <c r="J256" t="s">
        <v>19</v>
      </c>
      <c r="K256" t="s">
        <v>18</v>
      </c>
      <c r="L256" t="s">
        <v>38</v>
      </c>
      <c r="M256" t="s">
        <v>19</v>
      </c>
      <c r="N256" t="s">
        <v>21</v>
      </c>
      <c r="O256" t="s">
        <v>20</v>
      </c>
      <c r="P256" t="s">
        <v>19</v>
      </c>
      <c r="Q256" t="s">
        <v>40</v>
      </c>
    </row>
    <row r="257" spans="1:17" x14ac:dyDescent="0.35">
      <c r="A257">
        <v>1231</v>
      </c>
      <c r="B257">
        <v>72</v>
      </c>
      <c r="C257" t="s">
        <v>16</v>
      </c>
      <c r="D257">
        <v>172</v>
      </c>
      <c r="E257">
        <v>98</v>
      </c>
      <c r="F257" s="3">
        <v>31.502579967987799</v>
      </c>
      <c r="G257" s="3" t="str">
        <f t="shared" si="3"/>
        <v>Obese</v>
      </c>
      <c r="H257" t="s">
        <v>257</v>
      </c>
      <c r="I257" t="s">
        <v>31</v>
      </c>
      <c r="J257" t="s">
        <v>19</v>
      </c>
      <c r="K257" t="s">
        <v>22</v>
      </c>
      <c r="L257" t="s">
        <v>29</v>
      </c>
      <c r="M257" t="s">
        <v>20</v>
      </c>
      <c r="N257" t="s">
        <v>21</v>
      </c>
      <c r="O257" t="s">
        <v>20</v>
      </c>
      <c r="P257" t="s">
        <v>20</v>
      </c>
      <c r="Q257" t="s">
        <v>18</v>
      </c>
    </row>
    <row r="258" spans="1:17" x14ac:dyDescent="0.35">
      <c r="A258">
        <v>260</v>
      </c>
      <c r="B258">
        <v>32</v>
      </c>
      <c r="C258" t="s">
        <v>16</v>
      </c>
      <c r="D258">
        <v>152</v>
      </c>
      <c r="E258">
        <v>54</v>
      </c>
      <c r="F258" s="3">
        <v>28.535487716646301</v>
      </c>
      <c r="G258" s="3" t="str">
        <f t="shared" si="3"/>
        <v>Overweight</v>
      </c>
      <c r="H258" t="s">
        <v>271</v>
      </c>
      <c r="I258" t="s">
        <v>31</v>
      </c>
      <c r="J258" t="s">
        <v>19</v>
      </c>
      <c r="K258" t="s">
        <v>18</v>
      </c>
      <c r="L258" t="s">
        <v>38</v>
      </c>
      <c r="M258" t="s">
        <v>19</v>
      </c>
      <c r="N258" t="s">
        <v>21</v>
      </c>
      <c r="O258" t="s">
        <v>20</v>
      </c>
      <c r="P258" t="s">
        <v>19</v>
      </c>
      <c r="Q258" t="s">
        <v>40</v>
      </c>
    </row>
    <row r="259" spans="1:17" x14ac:dyDescent="0.35">
      <c r="A259">
        <v>261</v>
      </c>
      <c r="B259">
        <v>76</v>
      </c>
      <c r="C259" t="s">
        <v>27</v>
      </c>
      <c r="D259">
        <v>182</v>
      </c>
      <c r="E259">
        <v>71</v>
      </c>
      <c r="F259" s="3">
        <v>25.835462767645499</v>
      </c>
      <c r="G259" s="3" t="str">
        <f t="shared" ref="G259:G322" si="4">_xlfn.IFS(F259&lt;18.5, "Underweight", F259&lt;=24.9, "Normal Weight", F259&lt;=29.9, "Overweight", TRUE, "Obese")</f>
        <v>Overweight</v>
      </c>
      <c r="H259" t="s">
        <v>91</v>
      </c>
      <c r="I259" t="s">
        <v>31</v>
      </c>
      <c r="J259" t="s">
        <v>20</v>
      </c>
      <c r="K259" t="s">
        <v>40</v>
      </c>
      <c r="L259" t="s">
        <v>38</v>
      </c>
      <c r="M259" t="s">
        <v>19</v>
      </c>
      <c r="N259" t="s">
        <v>21</v>
      </c>
      <c r="O259" t="s">
        <v>20</v>
      </c>
      <c r="P259" t="s">
        <v>20</v>
      </c>
      <c r="Q259" t="s">
        <v>18</v>
      </c>
    </row>
    <row r="260" spans="1:17" x14ac:dyDescent="0.35">
      <c r="A260">
        <v>263</v>
      </c>
      <c r="B260">
        <v>49</v>
      </c>
      <c r="C260" t="s">
        <v>27</v>
      </c>
      <c r="D260">
        <v>158</v>
      </c>
      <c r="E260">
        <v>72</v>
      </c>
      <c r="F260" s="3">
        <v>22.267465664082</v>
      </c>
      <c r="G260" s="3" t="str">
        <f t="shared" si="4"/>
        <v>Normal Weight</v>
      </c>
      <c r="H260" t="s">
        <v>273</v>
      </c>
      <c r="I260" t="s">
        <v>18</v>
      </c>
      <c r="J260" t="s">
        <v>20</v>
      </c>
      <c r="K260" t="s">
        <v>18</v>
      </c>
      <c r="L260" t="s">
        <v>38</v>
      </c>
      <c r="M260" t="s">
        <v>20</v>
      </c>
      <c r="N260" t="s">
        <v>25</v>
      </c>
      <c r="O260" t="s">
        <v>19</v>
      </c>
      <c r="P260" t="s">
        <v>19</v>
      </c>
      <c r="Q260" t="s">
        <v>18</v>
      </c>
    </row>
    <row r="261" spans="1:17" x14ac:dyDescent="0.35">
      <c r="A261">
        <v>264</v>
      </c>
      <c r="B261">
        <v>49</v>
      </c>
      <c r="C261" t="s">
        <v>27</v>
      </c>
      <c r="D261">
        <v>153</v>
      </c>
      <c r="E261">
        <v>74</v>
      </c>
      <c r="F261" s="3">
        <v>19.464556789408402</v>
      </c>
      <c r="G261" s="3" t="str">
        <f t="shared" si="4"/>
        <v>Normal Weight</v>
      </c>
      <c r="H261" t="s">
        <v>274</v>
      </c>
      <c r="I261" t="s">
        <v>31</v>
      </c>
      <c r="J261" t="s">
        <v>20</v>
      </c>
      <c r="K261" t="s">
        <v>18</v>
      </c>
      <c r="L261" t="s">
        <v>29</v>
      </c>
      <c r="M261" t="s">
        <v>19</v>
      </c>
      <c r="N261" t="s">
        <v>25</v>
      </c>
      <c r="O261" t="s">
        <v>19</v>
      </c>
      <c r="P261" t="s">
        <v>20</v>
      </c>
      <c r="Q261" t="s">
        <v>18</v>
      </c>
    </row>
    <row r="262" spans="1:17" x14ac:dyDescent="0.35">
      <c r="A262">
        <v>1439</v>
      </c>
      <c r="B262">
        <v>72</v>
      </c>
      <c r="C262" t="s">
        <v>16</v>
      </c>
      <c r="D262">
        <v>172</v>
      </c>
      <c r="E262">
        <v>94</v>
      </c>
      <c r="F262" s="3">
        <v>34.845605163340899</v>
      </c>
      <c r="G262" s="3" t="str">
        <f t="shared" si="4"/>
        <v>Obese</v>
      </c>
      <c r="H262" t="s">
        <v>1045</v>
      </c>
      <c r="I262" t="s">
        <v>31</v>
      </c>
      <c r="J262" t="s">
        <v>20</v>
      </c>
      <c r="K262" t="s">
        <v>22</v>
      </c>
      <c r="L262" t="s">
        <v>38</v>
      </c>
      <c r="M262" t="s">
        <v>19</v>
      </c>
      <c r="N262" t="s">
        <v>25</v>
      </c>
      <c r="O262" t="s">
        <v>20</v>
      </c>
      <c r="P262" t="s">
        <v>20</v>
      </c>
      <c r="Q262" t="s">
        <v>18</v>
      </c>
    </row>
    <row r="263" spans="1:17" x14ac:dyDescent="0.35">
      <c r="A263">
        <v>1472</v>
      </c>
      <c r="B263">
        <v>72</v>
      </c>
      <c r="C263" t="s">
        <v>27</v>
      </c>
      <c r="D263">
        <v>177</v>
      </c>
      <c r="E263">
        <v>68</v>
      </c>
      <c r="F263" s="3">
        <v>31.153006813993201</v>
      </c>
      <c r="G263" s="3" t="str">
        <f t="shared" si="4"/>
        <v>Obese</v>
      </c>
      <c r="H263" t="s">
        <v>708</v>
      </c>
      <c r="I263" t="s">
        <v>18</v>
      </c>
      <c r="J263" t="s">
        <v>20</v>
      </c>
      <c r="K263" t="s">
        <v>22</v>
      </c>
      <c r="L263" t="s">
        <v>14</v>
      </c>
      <c r="M263" t="s">
        <v>19</v>
      </c>
      <c r="N263" t="s">
        <v>21</v>
      </c>
      <c r="O263" t="s">
        <v>20</v>
      </c>
      <c r="P263" t="s">
        <v>19</v>
      </c>
      <c r="Q263" t="s">
        <v>22</v>
      </c>
    </row>
    <row r="264" spans="1:17" x14ac:dyDescent="0.35">
      <c r="A264">
        <v>266</v>
      </c>
      <c r="B264">
        <v>58</v>
      </c>
      <c r="C264" t="s">
        <v>16</v>
      </c>
      <c r="D264">
        <v>166</v>
      </c>
      <c r="E264">
        <v>75</v>
      </c>
      <c r="F264" s="3">
        <v>26.3260929703291</v>
      </c>
      <c r="G264" s="3" t="str">
        <f t="shared" si="4"/>
        <v>Overweight</v>
      </c>
      <c r="H264" t="s">
        <v>276</v>
      </c>
      <c r="I264" t="s">
        <v>18</v>
      </c>
      <c r="J264" t="s">
        <v>19</v>
      </c>
      <c r="K264" t="s">
        <v>18</v>
      </c>
      <c r="L264" t="s">
        <v>38</v>
      </c>
      <c r="M264" t="s">
        <v>19</v>
      </c>
      <c r="N264" t="s">
        <v>25</v>
      </c>
      <c r="O264" t="s">
        <v>19</v>
      </c>
      <c r="P264" t="s">
        <v>20</v>
      </c>
      <c r="Q264" t="s">
        <v>18</v>
      </c>
    </row>
    <row r="265" spans="1:17" x14ac:dyDescent="0.35">
      <c r="A265">
        <v>1676</v>
      </c>
      <c r="B265">
        <v>72</v>
      </c>
      <c r="C265" t="s">
        <v>16</v>
      </c>
      <c r="D265">
        <v>169</v>
      </c>
      <c r="E265">
        <v>72</v>
      </c>
      <c r="F265" s="3">
        <v>20.783560168474001</v>
      </c>
      <c r="G265" s="3" t="str">
        <f t="shared" si="4"/>
        <v>Normal Weight</v>
      </c>
      <c r="H265" t="s">
        <v>1144</v>
      </c>
      <c r="I265" t="s">
        <v>31</v>
      </c>
      <c r="J265" t="s">
        <v>20</v>
      </c>
      <c r="K265" t="s">
        <v>22</v>
      </c>
      <c r="L265" t="s">
        <v>38</v>
      </c>
      <c r="M265" t="s">
        <v>19</v>
      </c>
      <c r="N265" t="s">
        <v>25</v>
      </c>
      <c r="O265" t="s">
        <v>20</v>
      </c>
      <c r="P265" t="s">
        <v>19</v>
      </c>
      <c r="Q265" t="s">
        <v>40</v>
      </c>
    </row>
    <row r="266" spans="1:17" x14ac:dyDescent="0.35">
      <c r="A266">
        <v>1688</v>
      </c>
      <c r="B266">
        <v>72</v>
      </c>
      <c r="C266" t="s">
        <v>16</v>
      </c>
      <c r="D266">
        <v>162</v>
      </c>
      <c r="E266">
        <v>91</v>
      </c>
      <c r="F266" s="3">
        <v>33.263334918716403</v>
      </c>
      <c r="G266" s="3" t="str">
        <f t="shared" si="4"/>
        <v>Obese</v>
      </c>
      <c r="H266" t="s">
        <v>1148</v>
      </c>
      <c r="I266" t="s">
        <v>24</v>
      </c>
      <c r="J266" t="s">
        <v>19</v>
      </c>
      <c r="K266" t="s">
        <v>22</v>
      </c>
      <c r="L266" t="s">
        <v>14</v>
      </c>
      <c r="M266" t="s">
        <v>20</v>
      </c>
      <c r="N266" t="s">
        <v>21</v>
      </c>
      <c r="O266" t="s">
        <v>20</v>
      </c>
      <c r="P266" t="s">
        <v>19</v>
      </c>
      <c r="Q266" t="s">
        <v>22</v>
      </c>
    </row>
    <row r="267" spans="1:17" x14ac:dyDescent="0.35">
      <c r="A267">
        <v>268</v>
      </c>
      <c r="B267">
        <v>66</v>
      </c>
      <c r="C267" t="s">
        <v>16</v>
      </c>
      <c r="D267">
        <v>173</v>
      </c>
      <c r="E267">
        <v>54</v>
      </c>
      <c r="F267" s="3">
        <v>24.354155279330399</v>
      </c>
      <c r="G267" s="3" t="str">
        <f t="shared" si="4"/>
        <v>Normal Weight</v>
      </c>
      <c r="H267" t="s">
        <v>278</v>
      </c>
      <c r="I267" t="s">
        <v>24</v>
      </c>
      <c r="J267" t="s">
        <v>19</v>
      </c>
      <c r="K267" t="s">
        <v>18</v>
      </c>
      <c r="L267" t="s">
        <v>32</v>
      </c>
      <c r="M267" t="s">
        <v>20</v>
      </c>
      <c r="N267" t="s">
        <v>25</v>
      </c>
      <c r="O267" t="s">
        <v>20</v>
      </c>
      <c r="P267" t="s">
        <v>19</v>
      </c>
      <c r="Q267" t="s">
        <v>22</v>
      </c>
    </row>
    <row r="268" spans="1:17" x14ac:dyDescent="0.35">
      <c r="A268">
        <v>269</v>
      </c>
      <c r="B268">
        <v>79</v>
      </c>
      <c r="C268" t="s">
        <v>27</v>
      </c>
      <c r="D268">
        <v>181</v>
      </c>
      <c r="E268">
        <v>75</v>
      </c>
      <c r="F268" s="3">
        <v>25.099719801843801</v>
      </c>
      <c r="G268" s="3" t="str">
        <f t="shared" si="4"/>
        <v>Overweight</v>
      </c>
      <c r="H268" t="s">
        <v>279</v>
      </c>
      <c r="I268" t="s">
        <v>31</v>
      </c>
      <c r="J268" t="s">
        <v>19</v>
      </c>
      <c r="K268" t="s">
        <v>40</v>
      </c>
      <c r="L268" t="s">
        <v>32</v>
      </c>
      <c r="M268" t="s">
        <v>20</v>
      </c>
      <c r="N268" t="s">
        <v>25</v>
      </c>
      <c r="O268" t="s">
        <v>19</v>
      </c>
      <c r="P268" t="s">
        <v>20</v>
      </c>
      <c r="Q268" t="s">
        <v>18</v>
      </c>
    </row>
    <row r="269" spans="1:17" x14ac:dyDescent="0.35">
      <c r="A269">
        <v>270</v>
      </c>
      <c r="B269">
        <v>66</v>
      </c>
      <c r="C269" t="s">
        <v>27</v>
      </c>
      <c r="D269">
        <v>150</v>
      </c>
      <c r="E269">
        <v>69</v>
      </c>
      <c r="F269" s="3">
        <v>19.4469654208565</v>
      </c>
      <c r="G269" s="3" t="str">
        <f t="shared" si="4"/>
        <v>Normal Weight</v>
      </c>
      <c r="H269" t="s">
        <v>280</v>
      </c>
      <c r="I269" t="s">
        <v>31</v>
      </c>
      <c r="J269" t="s">
        <v>19</v>
      </c>
      <c r="K269" t="s">
        <v>18</v>
      </c>
      <c r="L269" t="s">
        <v>38</v>
      </c>
      <c r="M269" t="s">
        <v>20</v>
      </c>
      <c r="N269" t="s">
        <v>21</v>
      </c>
      <c r="O269" t="s">
        <v>19</v>
      </c>
      <c r="P269" t="s">
        <v>20</v>
      </c>
      <c r="Q269" t="s">
        <v>18</v>
      </c>
    </row>
    <row r="270" spans="1:17" x14ac:dyDescent="0.35">
      <c r="A270">
        <v>1871</v>
      </c>
      <c r="B270">
        <v>72</v>
      </c>
      <c r="C270" t="s">
        <v>16</v>
      </c>
      <c r="D270">
        <v>180</v>
      </c>
      <c r="E270">
        <v>82</v>
      </c>
      <c r="F270" s="3">
        <v>21.754503991755701</v>
      </c>
      <c r="G270" s="3" t="str">
        <f t="shared" si="4"/>
        <v>Normal Weight</v>
      </c>
      <c r="H270" t="s">
        <v>1036</v>
      </c>
      <c r="I270" t="s">
        <v>31</v>
      </c>
      <c r="J270" t="s">
        <v>19</v>
      </c>
      <c r="K270" t="s">
        <v>22</v>
      </c>
      <c r="L270" t="s">
        <v>14</v>
      </c>
      <c r="M270" t="s">
        <v>20</v>
      </c>
      <c r="N270" t="s">
        <v>25</v>
      </c>
      <c r="O270" t="s">
        <v>19</v>
      </c>
      <c r="P270" t="s">
        <v>20</v>
      </c>
      <c r="Q270" t="s">
        <v>18</v>
      </c>
    </row>
    <row r="271" spans="1:17" x14ac:dyDescent="0.35">
      <c r="A271">
        <v>271</v>
      </c>
      <c r="B271">
        <v>75</v>
      </c>
      <c r="C271" t="s">
        <v>16</v>
      </c>
      <c r="D271">
        <v>157</v>
      </c>
      <c r="E271">
        <v>55</v>
      </c>
      <c r="F271" s="3">
        <v>28.124569595039301</v>
      </c>
      <c r="G271" s="3" t="str">
        <f t="shared" si="4"/>
        <v>Overweight</v>
      </c>
      <c r="H271" t="s">
        <v>281</v>
      </c>
      <c r="I271" t="s">
        <v>18</v>
      </c>
      <c r="J271" t="s">
        <v>20</v>
      </c>
      <c r="K271" t="s">
        <v>40</v>
      </c>
      <c r="L271" t="s">
        <v>32</v>
      </c>
      <c r="M271" t="s">
        <v>19</v>
      </c>
      <c r="N271" t="s">
        <v>25</v>
      </c>
      <c r="O271" t="s">
        <v>19</v>
      </c>
      <c r="P271" t="s">
        <v>19</v>
      </c>
      <c r="Q271" t="s">
        <v>22</v>
      </c>
    </row>
    <row r="272" spans="1:17" x14ac:dyDescent="0.35">
      <c r="A272">
        <v>272</v>
      </c>
      <c r="B272">
        <v>69</v>
      </c>
      <c r="C272" t="s">
        <v>27</v>
      </c>
      <c r="D272">
        <v>172</v>
      </c>
      <c r="E272">
        <v>55</v>
      </c>
      <c r="F272" s="3">
        <v>33.091666561526203</v>
      </c>
      <c r="G272" s="3" t="str">
        <f t="shared" si="4"/>
        <v>Obese</v>
      </c>
      <c r="H272" t="s">
        <v>282</v>
      </c>
      <c r="I272" t="s">
        <v>31</v>
      </c>
      <c r="J272" t="s">
        <v>20</v>
      </c>
      <c r="K272" t="s">
        <v>18</v>
      </c>
      <c r="L272" t="s">
        <v>14</v>
      </c>
      <c r="M272" t="s">
        <v>20</v>
      </c>
      <c r="N272" t="s">
        <v>21</v>
      </c>
      <c r="O272" t="s">
        <v>19</v>
      </c>
      <c r="P272" t="s">
        <v>20</v>
      </c>
      <c r="Q272" t="s">
        <v>18</v>
      </c>
    </row>
    <row r="273" spans="1:17" x14ac:dyDescent="0.35">
      <c r="A273">
        <v>274</v>
      </c>
      <c r="B273">
        <v>79</v>
      </c>
      <c r="C273" t="s">
        <v>16</v>
      </c>
      <c r="D273">
        <v>161</v>
      </c>
      <c r="E273">
        <v>67</v>
      </c>
      <c r="F273" s="3">
        <v>28.363832221124898</v>
      </c>
      <c r="G273" s="3" t="str">
        <f t="shared" si="4"/>
        <v>Overweight</v>
      </c>
      <c r="H273" t="s">
        <v>284</v>
      </c>
      <c r="I273" t="s">
        <v>31</v>
      </c>
      <c r="J273" t="s">
        <v>20</v>
      </c>
      <c r="K273" t="s">
        <v>40</v>
      </c>
      <c r="L273" t="s">
        <v>32</v>
      </c>
      <c r="M273" t="s">
        <v>20</v>
      </c>
      <c r="N273" t="s">
        <v>21</v>
      </c>
      <c r="O273" t="s">
        <v>20</v>
      </c>
      <c r="P273" t="s">
        <v>20</v>
      </c>
      <c r="Q273" t="s">
        <v>40</v>
      </c>
    </row>
    <row r="274" spans="1:17" x14ac:dyDescent="0.35">
      <c r="A274">
        <v>262</v>
      </c>
      <c r="B274">
        <v>71</v>
      </c>
      <c r="C274" t="s">
        <v>27</v>
      </c>
      <c r="D274">
        <v>158</v>
      </c>
      <c r="E274">
        <v>98</v>
      </c>
      <c r="F274" s="3">
        <v>30.749103961981401</v>
      </c>
      <c r="G274" s="3" t="str">
        <f t="shared" si="4"/>
        <v>Obese</v>
      </c>
      <c r="H274" t="s">
        <v>272</v>
      </c>
      <c r="I274" t="s">
        <v>24</v>
      </c>
      <c r="J274" t="s">
        <v>20</v>
      </c>
      <c r="K274" t="s">
        <v>22</v>
      </c>
      <c r="L274" t="s">
        <v>32</v>
      </c>
      <c r="M274" t="s">
        <v>20</v>
      </c>
      <c r="N274" t="s">
        <v>21</v>
      </c>
      <c r="O274" t="s">
        <v>19</v>
      </c>
      <c r="P274" t="s">
        <v>19</v>
      </c>
      <c r="Q274" t="s">
        <v>22</v>
      </c>
    </row>
    <row r="275" spans="1:17" x14ac:dyDescent="0.35">
      <c r="A275">
        <v>275</v>
      </c>
      <c r="B275">
        <v>56</v>
      </c>
      <c r="C275" t="s">
        <v>16</v>
      </c>
      <c r="D275">
        <v>161</v>
      </c>
      <c r="E275">
        <v>53</v>
      </c>
      <c r="F275" s="3">
        <v>29.468196881028899</v>
      </c>
      <c r="G275" s="3" t="str">
        <f t="shared" si="4"/>
        <v>Overweight</v>
      </c>
      <c r="H275" t="s">
        <v>285</v>
      </c>
      <c r="I275" t="s">
        <v>31</v>
      </c>
      <c r="J275" t="s">
        <v>20</v>
      </c>
      <c r="K275" t="s">
        <v>18</v>
      </c>
      <c r="L275" t="s">
        <v>29</v>
      </c>
      <c r="M275" t="s">
        <v>19</v>
      </c>
      <c r="N275" t="s">
        <v>25</v>
      </c>
      <c r="O275" t="s">
        <v>20</v>
      </c>
      <c r="P275" t="s">
        <v>19</v>
      </c>
      <c r="Q275" t="s">
        <v>40</v>
      </c>
    </row>
    <row r="276" spans="1:17" x14ac:dyDescent="0.35">
      <c r="A276">
        <v>385</v>
      </c>
      <c r="B276">
        <v>71</v>
      </c>
      <c r="C276" t="s">
        <v>16</v>
      </c>
      <c r="D276">
        <v>163</v>
      </c>
      <c r="E276">
        <v>66</v>
      </c>
      <c r="F276" s="3">
        <v>31.8762789105702</v>
      </c>
      <c r="G276" s="3" t="str">
        <f t="shared" si="4"/>
        <v>Obese</v>
      </c>
      <c r="H276" t="s">
        <v>288</v>
      </c>
      <c r="I276" t="s">
        <v>24</v>
      </c>
      <c r="J276" t="s">
        <v>20</v>
      </c>
      <c r="K276" t="s">
        <v>22</v>
      </c>
      <c r="L276" t="s">
        <v>38</v>
      </c>
      <c r="M276" t="s">
        <v>20</v>
      </c>
      <c r="N276" t="s">
        <v>21</v>
      </c>
      <c r="O276" t="s">
        <v>19</v>
      </c>
      <c r="P276" t="s">
        <v>20</v>
      </c>
      <c r="Q276" t="s">
        <v>22</v>
      </c>
    </row>
    <row r="277" spans="1:17" x14ac:dyDescent="0.35">
      <c r="A277">
        <v>276</v>
      </c>
      <c r="B277">
        <v>19</v>
      </c>
      <c r="C277" t="s">
        <v>16</v>
      </c>
      <c r="D277">
        <v>164</v>
      </c>
      <c r="E277">
        <v>66</v>
      </c>
      <c r="F277" s="3">
        <v>25.419022226918202</v>
      </c>
      <c r="G277" s="3" t="str">
        <f t="shared" si="4"/>
        <v>Overweight</v>
      </c>
      <c r="H277" t="s">
        <v>286</v>
      </c>
      <c r="I277" t="s">
        <v>31</v>
      </c>
      <c r="J277" t="s">
        <v>20</v>
      </c>
      <c r="K277" t="s">
        <v>18</v>
      </c>
      <c r="L277" t="s">
        <v>38</v>
      </c>
      <c r="M277" t="s">
        <v>20</v>
      </c>
      <c r="N277" t="s">
        <v>25</v>
      </c>
      <c r="O277" t="s">
        <v>19</v>
      </c>
      <c r="P277" t="s">
        <v>20</v>
      </c>
      <c r="Q277" t="s">
        <v>18</v>
      </c>
    </row>
    <row r="278" spans="1:17" x14ac:dyDescent="0.35">
      <c r="A278">
        <v>441</v>
      </c>
      <c r="B278">
        <v>71</v>
      </c>
      <c r="C278" t="s">
        <v>27</v>
      </c>
      <c r="D278">
        <v>153</v>
      </c>
      <c r="E278">
        <v>70</v>
      </c>
      <c r="F278" s="3">
        <v>20.025417031111498</v>
      </c>
      <c r="G278" s="3" t="str">
        <f t="shared" si="4"/>
        <v>Normal Weight</v>
      </c>
      <c r="H278" t="s">
        <v>421</v>
      </c>
      <c r="I278" t="s">
        <v>31</v>
      </c>
      <c r="J278" t="s">
        <v>19</v>
      </c>
      <c r="K278" t="s">
        <v>22</v>
      </c>
      <c r="L278" t="s">
        <v>32</v>
      </c>
      <c r="M278" t="s">
        <v>19</v>
      </c>
      <c r="N278" t="s">
        <v>21</v>
      </c>
      <c r="O278" t="s">
        <v>19</v>
      </c>
      <c r="P278" t="s">
        <v>19</v>
      </c>
      <c r="Q278" t="s">
        <v>18</v>
      </c>
    </row>
    <row r="279" spans="1:17" x14ac:dyDescent="0.35">
      <c r="A279">
        <v>492</v>
      </c>
      <c r="B279">
        <v>71</v>
      </c>
      <c r="C279" t="s">
        <v>27</v>
      </c>
      <c r="D279">
        <v>186</v>
      </c>
      <c r="E279">
        <v>78</v>
      </c>
      <c r="F279" s="3">
        <v>28.733875007858401</v>
      </c>
      <c r="G279" s="3" t="str">
        <f t="shared" si="4"/>
        <v>Overweight</v>
      </c>
      <c r="H279" t="s">
        <v>458</v>
      </c>
      <c r="I279" t="s">
        <v>31</v>
      </c>
      <c r="J279" t="s">
        <v>19</v>
      </c>
      <c r="K279" t="s">
        <v>22</v>
      </c>
      <c r="L279" t="s">
        <v>29</v>
      </c>
      <c r="M279" t="s">
        <v>20</v>
      </c>
      <c r="N279" t="s">
        <v>21</v>
      </c>
      <c r="O279" t="s">
        <v>19</v>
      </c>
      <c r="P279" t="s">
        <v>20</v>
      </c>
      <c r="Q279" t="s">
        <v>40</v>
      </c>
    </row>
    <row r="280" spans="1:17" x14ac:dyDescent="0.35">
      <c r="A280">
        <v>277</v>
      </c>
      <c r="B280">
        <v>20</v>
      </c>
      <c r="C280" t="s">
        <v>27</v>
      </c>
      <c r="D280">
        <v>168</v>
      </c>
      <c r="E280">
        <v>63</v>
      </c>
      <c r="F280" s="3">
        <v>30.068110191510399</v>
      </c>
      <c r="G280" s="3" t="str">
        <f t="shared" si="4"/>
        <v>Obese</v>
      </c>
      <c r="H280" t="s">
        <v>287</v>
      </c>
      <c r="I280" t="s">
        <v>24</v>
      </c>
      <c r="J280" t="s">
        <v>20</v>
      </c>
      <c r="K280" t="s">
        <v>18</v>
      </c>
      <c r="L280" t="s">
        <v>38</v>
      </c>
      <c r="M280" t="s">
        <v>19</v>
      </c>
      <c r="N280" t="s">
        <v>21</v>
      </c>
      <c r="O280" t="s">
        <v>19</v>
      </c>
      <c r="P280" t="s">
        <v>20</v>
      </c>
      <c r="Q280" t="s">
        <v>40</v>
      </c>
    </row>
    <row r="281" spans="1:17" x14ac:dyDescent="0.35">
      <c r="A281">
        <v>278</v>
      </c>
      <c r="B281">
        <v>66</v>
      </c>
      <c r="C281" t="s">
        <v>16</v>
      </c>
      <c r="D281">
        <v>175</v>
      </c>
      <c r="E281">
        <v>63</v>
      </c>
      <c r="F281" s="3">
        <v>25.2770704676017</v>
      </c>
      <c r="G281" s="3" t="str">
        <f t="shared" si="4"/>
        <v>Overweight</v>
      </c>
      <c r="H281" t="s">
        <v>288</v>
      </c>
      <c r="I281" t="s">
        <v>18</v>
      </c>
      <c r="J281" t="s">
        <v>20</v>
      </c>
      <c r="K281" t="s">
        <v>18</v>
      </c>
      <c r="L281" t="s">
        <v>29</v>
      </c>
      <c r="M281" t="s">
        <v>19</v>
      </c>
      <c r="N281" t="s">
        <v>25</v>
      </c>
      <c r="O281" t="s">
        <v>19</v>
      </c>
      <c r="P281" t="s">
        <v>20</v>
      </c>
      <c r="Q281" t="s">
        <v>40</v>
      </c>
    </row>
    <row r="282" spans="1:17" x14ac:dyDescent="0.35">
      <c r="A282">
        <v>614</v>
      </c>
      <c r="B282">
        <v>71</v>
      </c>
      <c r="C282" t="s">
        <v>27</v>
      </c>
      <c r="D282">
        <v>150</v>
      </c>
      <c r="E282">
        <v>51</v>
      </c>
      <c r="F282" s="3">
        <v>34.578248625534798</v>
      </c>
      <c r="G282" s="3" t="str">
        <f t="shared" si="4"/>
        <v>Obese</v>
      </c>
      <c r="H282" t="s">
        <v>558</v>
      </c>
      <c r="I282" t="s">
        <v>31</v>
      </c>
      <c r="J282" t="s">
        <v>20</v>
      </c>
      <c r="K282" t="s">
        <v>22</v>
      </c>
      <c r="L282" t="s">
        <v>14</v>
      </c>
      <c r="M282" t="s">
        <v>19</v>
      </c>
      <c r="N282" t="s">
        <v>25</v>
      </c>
      <c r="O282" t="s">
        <v>19</v>
      </c>
      <c r="P282" t="s">
        <v>19</v>
      </c>
      <c r="Q282" t="s">
        <v>40</v>
      </c>
    </row>
    <row r="283" spans="1:17" x14ac:dyDescent="0.35">
      <c r="A283">
        <v>279</v>
      </c>
      <c r="B283">
        <v>54</v>
      </c>
      <c r="C283" t="s">
        <v>27</v>
      </c>
      <c r="D283">
        <v>178</v>
      </c>
      <c r="E283">
        <v>62</v>
      </c>
      <c r="F283" s="3">
        <v>26.826515251627601</v>
      </c>
      <c r="G283" s="3" t="str">
        <f t="shared" si="4"/>
        <v>Overweight</v>
      </c>
      <c r="H283" t="s">
        <v>204</v>
      </c>
      <c r="I283" t="s">
        <v>18</v>
      </c>
      <c r="J283" t="s">
        <v>19</v>
      </c>
      <c r="K283" t="s">
        <v>18</v>
      </c>
      <c r="L283" t="s">
        <v>29</v>
      </c>
      <c r="M283" t="s">
        <v>20</v>
      </c>
      <c r="N283" t="s">
        <v>21</v>
      </c>
      <c r="O283" t="s">
        <v>20</v>
      </c>
      <c r="P283" t="s">
        <v>19</v>
      </c>
      <c r="Q283" t="s">
        <v>22</v>
      </c>
    </row>
    <row r="284" spans="1:17" x14ac:dyDescent="0.35">
      <c r="A284">
        <v>280</v>
      </c>
      <c r="B284">
        <v>66</v>
      </c>
      <c r="C284" t="s">
        <v>27</v>
      </c>
      <c r="D284">
        <v>171</v>
      </c>
      <c r="E284">
        <v>56</v>
      </c>
      <c r="F284" s="3">
        <v>18.621325235147999</v>
      </c>
      <c r="G284" s="3" t="str">
        <f t="shared" si="4"/>
        <v>Normal Weight</v>
      </c>
      <c r="H284" t="s">
        <v>289</v>
      </c>
      <c r="I284" t="s">
        <v>24</v>
      </c>
      <c r="J284" t="s">
        <v>20</v>
      </c>
      <c r="K284" t="s">
        <v>18</v>
      </c>
      <c r="L284" t="s">
        <v>32</v>
      </c>
      <c r="M284" t="s">
        <v>19</v>
      </c>
      <c r="N284" t="s">
        <v>21</v>
      </c>
      <c r="O284" t="s">
        <v>19</v>
      </c>
      <c r="P284" t="s">
        <v>19</v>
      </c>
      <c r="Q284" t="s">
        <v>40</v>
      </c>
    </row>
    <row r="285" spans="1:17" x14ac:dyDescent="0.35">
      <c r="A285">
        <v>283</v>
      </c>
      <c r="B285">
        <v>76</v>
      </c>
      <c r="C285" t="s">
        <v>16</v>
      </c>
      <c r="D285">
        <v>187</v>
      </c>
      <c r="E285">
        <v>68</v>
      </c>
      <c r="F285" s="3">
        <v>19.133614475884599</v>
      </c>
      <c r="G285" s="3" t="str">
        <f t="shared" si="4"/>
        <v>Normal Weight</v>
      </c>
      <c r="H285" t="s">
        <v>292</v>
      </c>
      <c r="I285" t="s">
        <v>18</v>
      </c>
      <c r="J285" t="s">
        <v>19</v>
      </c>
      <c r="K285" t="s">
        <v>40</v>
      </c>
      <c r="L285" t="s">
        <v>38</v>
      </c>
      <c r="M285" t="s">
        <v>20</v>
      </c>
      <c r="N285" t="s">
        <v>25</v>
      </c>
      <c r="O285" t="s">
        <v>20</v>
      </c>
      <c r="P285" t="s">
        <v>20</v>
      </c>
      <c r="Q285" t="s">
        <v>22</v>
      </c>
    </row>
    <row r="286" spans="1:17" x14ac:dyDescent="0.35">
      <c r="A286">
        <v>285</v>
      </c>
      <c r="B286">
        <v>19</v>
      </c>
      <c r="C286" t="s">
        <v>27</v>
      </c>
      <c r="D286">
        <v>178</v>
      </c>
      <c r="E286">
        <v>96</v>
      </c>
      <c r="F286" s="3">
        <v>34.654025373062503</v>
      </c>
      <c r="G286" s="3" t="str">
        <f t="shared" si="4"/>
        <v>Obese</v>
      </c>
      <c r="H286" t="s">
        <v>294</v>
      </c>
      <c r="I286" t="s">
        <v>24</v>
      </c>
      <c r="J286" t="s">
        <v>20</v>
      </c>
      <c r="K286" t="s">
        <v>18</v>
      </c>
      <c r="L286" t="s">
        <v>32</v>
      </c>
      <c r="M286" t="s">
        <v>20</v>
      </c>
      <c r="N286" t="s">
        <v>25</v>
      </c>
      <c r="O286" t="s">
        <v>20</v>
      </c>
      <c r="P286" t="s">
        <v>19</v>
      </c>
      <c r="Q286" t="s">
        <v>22</v>
      </c>
    </row>
    <row r="287" spans="1:17" x14ac:dyDescent="0.35">
      <c r="A287">
        <v>933</v>
      </c>
      <c r="B287">
        <v>71</v>
      </c>
      <c r="C287" t="s">
        <v>27</v>
      </c>
      <c r="D287">
        <v>155</v>
      </c>
      <c r="E287">
        <v>74</v>
      </c>
      <c r="F287" s="3">
        <v>31.7134986476858</v>
      </c>
      <c r="G287" s="3" t="str">
        <f t="shared" si="4"/>
        <v>Obese</v>
      </c>
      <c r="H287" t="s">
        <v>242</v>
      </c>
      <c r="I287" t="s">
        <v>31</v>
      </c>
      <c r="J287" t="s">
        <v>19</v>
      </c>
      <c r="K287" t="s">
        <v>22</v>
      </c>
      <c r="L287" t="s">
        <v>14</v>
      </c>
      <c r="M287" t="s">
        <v>20</v>
      </c>
      <c r="N287" t="s">
        <v>21</v>
      </c>
      <c r="O287" t="s">
        <v>20</v>
      </c>
      <c r="P287" t="s">
        <v>19</v>
      </c>
      <c r="Q287" t="s">
        <v>22</v>
      </c>
    </row>
    <row r="288" spans="1:17" x14ac:dyDescent="0.35">
      <c r="A288">
        <v>964</v>
      </c>
      <c r="B288">
        <v>71</v>
      </c>
      <c r="C288" t="s">
        <v>16</v>
      </c>
      <c r="D288">
        <v>188</v>
      </c>
      <c r="E288">
        <v>50</v>
      </c>
      <c r="F288" s="3">
        <v>28.165838504551498</v>
      </c>
      <c r="G288" s="3" t="str">
        <f t="shared" si="4"/>
        <v>Overweight</v>
      </c>
      <c r="H288" t="s">
        <v>295</v>
      </c>
      <c r="I288" t="s">
        <v>31</v>
      </c>
      <c r="J288" t="s">
        <v>20</v>
      </c>
      <c r="K288" t="s">
        <v>22</v>
      </c>
      <c r="L288" t="s">
        <v>29</v>
      </c>
      <c r="M288" t="s">
        <v>19</v>
      </c>
      <c r="N288" t="s">
        <v>25</v>
      </c>
      <c r="O288" t="s">
        <v>20</v>
      </c>
      <c r="P288" t="s">
        <v>19</v>
      </c>
      <c r="Q288" t="s">
        <v>22</v>
      </c>
    </row>
    <row r="289" spans="1:17" x14ac:dyDescent="0.35">
      <c r="A289">
        <v>995</v>
      </c>
      <c r="B289">
        <v>71</v>
      </c>
      <c r="C289" t="s">
        <v>27</v>
      </c>
      <c r="D289">
        <v>150</v>
      </c>
      <c r="E289">
        <v>90</v>
      </c>
      <c r="F289" s="3">
        <v>20.919036955940001</v>
      </c>
      <c r="G289" s="3" t="str">
        <f t="shared" si="4"/>
        <v>Normal Weight</v>
      </c>
      <c r="H289" t="s">
        <v>610</v>
      </c>
      <c r="I289" t="s">
        <v>24</v>
      </c>
      <c r="J289" t="s">
        <v>19</v>
      </c>
      <c r="K289" t="s">
        <v>22</v>
      </c>
      <c r="L289" t="s">
        <v>29</v>
      </c>
      <c r="M289" t="s">
        <v>19</v>
      </c>
      <c r="N289" t="s">
        <v>21</v>
      </c>
      <c r="O289" t="s">
        <v>19</v>
      </c>
      <c r="P289" t="s">
        <v>19</v>
      </c>
      <c r="Q289" t="s">
        <v>18</v>
      </c>
    </row>
    <row r="290" spans="1:17" x14ac:dyDescent="0.35">
      <c r="A290">
        <v>287</v>
      </c>
      <c r="B290">
        <v>45</v>
      </c>
      <c r="C290" t="s">
        <v>16</v>
      </c>
      <c r="D290">
        <v>156</v>
      </c>
      <c r="E290">
        <v>84</v>
      </c>
      <c r="F290" s="3">
        <v>26.7820991846753</v>
      </c>
      <c r="G290" s="3" t="str">
        <f t="shared" si="4"/>
        <v>Overweight</v>
      </c>
      <c r="H290" t="s">
        <v>296</v>
      </c>
      <c r="I290" t="s">
        <v>24</v>
      </c>
      <c r="J290" t="s">
        <v>19</v>
      </c>
      <c r="K290" t="s">
        <v>18</v>
      </c>
      <c r="L290" t="s">
        <v>38</v>
      </c>
      <c r="M290" t="s">
        <v>20</v>
      </c>
      <c r="N290" t="s">
        <v>21</v>
      </c>
      <c r="O290" t="s">
        <v>19</v>
      </c>
      <c r="P290" t="s">
        <v>20</v>
      </c>
      <c r="Q290" t="s">
        <v>18</v>
      </c>
    </row>
    <row r="291" spans="1:17" x14ac:dyDescent="0.35">
      <c r="A291">
        <v>1058</v>
      </c>
      <c r="B291">
        <v>71</v>
      </c>
      <c r="C291" t="s">
        <v>27</v>
      </c>
      <c r="D291">
        <v>186</v>
      </c>
      <c r="E291">
        <v>53</v>
      </c>
      <c r="F291" s="3">
        <v>26.780847261904299</v>
      </c>
      <c r="G291" s="3" t="str">
        <f t="shared" si="4"/>
        <v>Overweight</v>
      </c>
      <c r="H291" t="s">
        <v>840</v>
      </c>
      <c r="I291" t="s">
        <v>24</v>
      </c>
      <c r="J291" t="s">
        <v>19</v>
      </c>
      <c r="K291" t="s">
        <v>22</v>
      </c>
      <c r="L291" t="s">
        <v>14</v>
      </c>
      <c r="M291" t="s">
        <v>20</v>
      </c>
      <c r="N291" t="s">
        <v>25</v>
      </c>
      <c r="O291" t="s">
        <v>20</v>
      </c>
      <c r="P291" t="s">
        <v>20</v>
      </c>
      <c r="Q291" t="s">
        <v>18</v>
      </c>
    </row>
    <row r="292" spans="1:17" x14ac:dyDescent="0.35">
      <c r="A292">
        <v>1064</v>
      </c>
      <c r="B292">
        <v>71</v>
      </c>
      <c r="C292" t="s">
        <v>27</v>
      </c>
      <c r="D292">
        <v>185</v>
      </c>
      <c r="E292">
        <v>51</v>
      </c>
      <c r="F292" s="3">
        <v>19.9763065263713</v>
      </c>
      <c r="G292" s="3" t="str">
        <f t="shared" si="4"/>
        <v>Normal Weight</v>
      </c>
      <c r="H292" t="s">
        <v>318</v>
      </c>
      <c r="I292" t="s">
        <v>18</v>
      </c>
      <c r="J292" t="s">
        <v>20</v>
      </c>
      <c r="K292" t="s">
        <v>22</v>
      </c>
      <c r="L292" t="s">
        <v>29</v>
      </c>
      <c r="M292" t="s">
        <v>20</v>
      </c>
      <c r="N292" t="s">
        <v>21</v>
      </c>
      <c r="O292" t="s">
        <v>20</v>
      </c>
      <c r="P292" t="s">
        <v>19</v>
      </c>
      <c r="Q292" t="s">
        <v>18</v>
      </c>
    </row>
    <row r="293" spans="1:17" x14ac:dyDescent="0.35">
      <c r="A293">
        <v>1137</v>
      </c>
      <c r="B293">
        <v>71</v>
      </c>
      <c r="C293" t="s">
        <v>27</v>
      </c>
      <c r="D293">
        <v>188</v>
      </c>
      <c r="E293">
        <v>59</v>
      </c>
      <c r="F293" s="3">
        <v>24.089093770278101</v>
      </c>
      <c r="G293" s="3" t="str">
        <f t="shared" si="4"/>
        <v>Normal Weight</v>
      </c>
      <c r="H293" t="s">
        <v>885</v>
      </c>
      <c r="I293" t="s">
        <v>24</v>
      </c>
      <c r="J293" t="s">
        <v>20</v>
      </c>
      <c r="K293" t="s">
        <v>22</v>
      </c>
      <c r="L293" t="s">
        <v>14</v>
      </c>
      <c r="M293" t="s">
        <v>19</v>
      </c>
      <c r="N293" t="s">
        <v>25</v>
      </c>
      <c r="O293" t="s">
        <v>20</v>
      </c>
      <c r="P293" t="s">
        <v>19</v>
      </c>
      <c r="Q293" t="s">
        <v>18</v>
      </c>
    </row>
    <row r="294" spans="1:17" x14ac:dyDescent="0.35">
      <c r="A294">
        <v>1314</v>
      </c>
      <c r="B294">
        <v>71</v>
      </c>
      <c r="C294" t="s">
        <v>16</v>
      </c>
      <c r="D294">
        <v>150</v>
      </c>
      <c r="E294">
        <v>87</v>
      </c>
      <c r="F294" s="3">
        <v>29.030702848170002</v>
      </c>
      <c r="G294" s="3" t="str">
        <f t="shared" si="4"/>
        <v>Overweight</v>
      </c>
      <c r="H294" t="s">
        <v>422</v>
      </c>
      <c r="I294" t="s">
        <v>24</v>
      </c>
      <c r="J294" t="s">
        <v>19</v>
      </c>
      <c r="K294" t="s">
        <v>22</v>
      </c>
      <c r="L294" t="s">
        <v>14</v>
      </c>
      <c r="M294" t="s">
        <v>20</v>
      </c>
      <c r="N294" t="s">
        <v>21</v>
      </c>
      <c r="O294" t="s">
        <v>19</v>
      </c>
      <c r="P294" t="s">
        <v>19</v>
      </c>
      <c r="Q294" t="s">
        <v>40</v>
      </c>
    </row>
    <row r="295" spans="1:17" x14ac:dyDescent="0.35">
      <c r="A295">
        <v>288</v>
      </c>
      <c r="B295">
        <v>71</v>
      </c>
      <c r="C295" t="s">
        <v>27</v>
      </c>
      <c r="D295">
        <v>177</v>
      </c>
      <c r="E295">
        <v>66</v>
      </c>
      <c r="F295" s="3">
        <v>33.513847609635299</v>
      </c>
      <c r="G295" s="3" t="str">
        <f t="shared" si="4"/>
        <v>Obese</v>
      </c>
      <c r="H295" t="s">
        <v>297</v>
      </c>
      <c r="I295" t="s">
        <v>31</v>
      </c>
      <c r="J295" t="s">
        <v>19</v>
      </c>
      <c r="K295" t="s">
        <v>40</v>
      </c>
      <c r="L295" t="s">
        <v>29</v>
      </c>
      <c r="M295" t="s">
        <v>19</v>
      </c>
      <c r="N295" t="s">
        <v>25</v>
      </c>
      <c r="O295" t="s">
        <v>20</v>
      </c>
      <c r="P295" t="s">
        <v>20</v>
      </c>
      <c r="Q295" t="s">
        <v>40</v>
      </c>
    </row>
    <row r="296" spans="1:17" x14ac:dyDescent="0.35">
      <c r="A296">
        <v>290</v>
      </c>
      <c r="B296">
        <v>54</v>
      </c>
      <c r="C296" t="s">
        <v>27</v>
      </c>
      <c r="D296">
        <v>153</v>
      </c>
      <c r="E296">
        <v>68</v>
      </c>
      <c r="F296" s="3">
        <v>28.104157163549601</v>
      </c>
      <c r="G296" s="3" t="str">
        <f t="shared" si="4"/>
        <v>Overweight</v>
      </c>
      <c r="H296" t="s">
        <v>298</v>
      </c>
      <c r="I296" t="s">
        <v>24</v>
      </c>
      <c r="J296" t="s">
        <v>20</v>
      </c>
      <c r="K296" t="s">
        <v>18</v>
      </c>
      <c r="L296" t="s">
        <v>32</v>
      </c>
      <c r="M296" t="s">
        <v>20</v>
      </c>
      <c r="N296" t="s">
        <v>21</v>
      </c>
      <c r="O296" t="s">
        <v>20</v>
      </c>
      <c r="P296" t="s">
        <v>20</v>
      </c>
      <c r="Q296" t="s">
        <v>22</v>
      </c>
    </row>
    <row r="297" spans="1:17" x14ac:dyDescent="0.35">
      <c r="A297">
        <v>292</v>
      </c>
      <c r="B297">
        <v>50</v>
      </c>
      <c r="C297" t="s">
        <v>27</v>
      </c>
      <c r="D297">
        <v>161</v>
      </c>
      <c r="E297">
        <v>85</v>
      </c>
      <c r="F297" s="3">
        <v>32.762043396523502</v>
      </c>
      <c r="G297" s="3" t="str">
        <f t="shared" si="4"/>
        <v>Obese</v>
      </c>
      <c r="H297" t="s">
        <v>300</v>
      </c>
      <c r="I297" t="s">
        <v>24</v>
      </c>
      <c r="J297" t="s">
        <v>19</v>
      </c>
      <c r="K297" t="s">
        <v>18</v>
      </c>
      <c r="L297" t="s">
        <v>32</v>
      </c>
      <c r="M297" t="s">
        <v>19</v>
      </c>
      <c r="N297" t="s">
        <v>25</v>
      </c>
      <c r="O297" t="s">
        <v>19</v>
      </c>
      <c r="P297" t="s">
        <v>19</v>
      </c>
      <c r="Q297" t="s">
        <v>22</v>
      </c>
    </row>
    <row r="298" spans="1:17" x14ac:dyDescent="0.35">
      <c r="A298">
        <v>1569</v>
      </c>
      <c r="B298">
        <v>71</v>
      </c>
      <c r="C298" t="s">
        <v>16</v>
      </c>
      <c r="D298">
        <v>164</v>
      </c>
      <c r="E298">
        <v>64</v>
      </c>
      <c r="F298" s="3">
        <v>19.599887192084498</v>
      </c>
      <c r="G298" s="3" t="str">
        <f t="shared" si="4"/>
        <v>Normal Weight</v>
      </c>
      <c r="H298" t="s">
        <v>1105</v>
      </c>
      <c r="I298" t="s">
        <v>18</v>
      </c>
      <c r="J298" t="s">
        <v>20</v>
      </c>
      <c r="K298" t="s">
        <v>22</v>
      </c>
      <c r="L298" t="s">
        <v>38</v>
      </c>
      <c r="M298" t="s">
        <v>20</v>
      </c>
      <c r="N298" t="s">
        <v>25</v>
      </c>
      <c r="O298" t="s">
        <v>20</v>
      </c>
      <c r="P298" t="s">
        <v>20</v>
      </c>
      <c r="Q298" t="s">
        <v>18</v>
      </c>
    </row>
    <row r="299" spans="1:17" x14ac:dyDescent="0.35">
      <c r="A299">
        <v>1573</v>
      </c>
      <c r="B299">
        <v>71</v>
      </c>
      <c r="C299" t="s">
        <v>16</v>
      </c>
      <c r="D299">
        <v>158</v>
      </c>
      <c r="E299">
        <v>64</v>
      </c>
      <c r="F299" s="3">
        <v>24.5285528855857</v>
      </c>
      <c r="G299" s="3" t="str">
        <f t="shared" si="4"/>
        <v>Normal Weight</v>
      </c>
      <c r="H299" t="s">
        <v>172</v>
      </c>
      <c r="I299" t="s">
        <v>24</v>
      </c>
      <c r="J299" t="s">
        <v>19</v>
      </c>
      <c r="K299" t="s">
        <v>22</v>
      </c>
      <c r="L299" t="s">
        <v>38</v>
      </c>
      <c r="M299" t="s">
        <v>19</v>
      </c>
      <c r="N299" t="s">
        <v>25</v>
      </c>
      <c r="O299" t="s">
        <v>20</v>
      </c>
      <c r="P299" t="s">
        <v>20</v>
      </c>
      <c r="Q299" t="s">
        <v>22</v>
      </c>
    </row>
    <row r="300" spans="1:17" x14ac:dyDescent="0.35">
      <c r="A300">
        <v>293</v>
      </c>
      <c r="B300">
        <v>18</v>
      </c>
      <c r="C300" t="s">
        <v>27</v>
      </c>
      <c r="D300">
        <v>152</v>
      </c>
      <c r="E300">
        <v>84</v>
      </c>
      <c r="F300" s="3">
        <v>26.038653183664898</v>
      </c>
      <c r="G300" s="3" t="str">
        <f t="shared" si="4"/>
        <v>Overweight</v>
      </c>
      <c r="H300" t="s">
        <v>301</v>
      </c>
      <c r="I300" t="s">
        <v>31</v>
      </c>
      <c r="J300" t="s">
        <v>20</v>
      </c>
      <c r="K300" t="s">
        <v>18</v>
      </c>
      <c r="L300" t="s">
        <v>32</v>
      </c>
      <c r="M300" t="s">
        <v>20</v>
      </c>
      <c r="N300" t="s">
        <v>21</v>
      </c>
      <c r="O300" t="s">
        <v>20</v>
      </c>
      <c r="P300" t="s">
        <v>20</v>
      </c>
      <c r="Q300" t="s">
        <v>40</v>
      </c>
    </row>
    <row r="301" spans="1:17" x14ac:dyDescent="0.35">
      <c r="A301">
        <v>294</v>
      </c>
      <c r="B301">
        <v>36</v>
      </c>
      <c r="C301" t="s">
        <v>16</v>
      </c>
      <c r="D301">
        <v>171</v>
      </c>
      <c r="E301">
        <v>81</v>
      </c>
      <c r="F301" s="3">
        <v>26.3392880213752</v>
      </c>
      <c r="G301" s="3" t="str">
        <f t="shared" si="4"/>
        <v>Overweight</v>
      </c>
      <c r="H301" t="s">
        <v>302</v>
      </c>
      <c r="I301" t="s">
        <v>18</v>
      </c>
      <c r="J301" t="s">
        <v>19</v>
      </c>
      <c r="K301" t="s">
        <v>18</v>
      </c>
      <c r="L301" t="s">
        <v>38</v>
      </c>
      <c r="M301" t="s">
        <v>19</v>
      </c>
      <c r="N301" t="s">
        <v>21</v>
      </c>
      <c r="O301" t="s">
        <v>19</v>
      </c>
      <c r="P301" t="s">
        <v>19</v>
      </c>
      <c r="Q301" t="s">
        <v>18</v>
      </c>
    </row>
    <row r="302" spans="1:17" x14ac:dyDescent="0.35">
      <c r="A302">
        <v>295</v>
      </c>
      <c r="B302">
        <v>79</v>
      </c>
      <c r="C302" t="s">
        <v>27</v>
      </c>
      <c r="D302">
        <v>151</v>
      </c>
      <c r="E302">
        <v>97</v>
      </c>
      <c r="F302" s="3">
        <v>24.869840438255199</v>
      </c>
      <c r="G302" s="3" t="str">
        <f t="shared" si="4"/>
        <v>Normal Weight</v>
      </c>
      <c r="H302" t="s">
        <v>303</v>
      </c>
      <c r="I302" t="s">
        <v>18</v>
      </c>
      <c r="J302" t="s">
        <v>20</v>
      </c>
      <c r="K302" t="s">
        <v>40</v>
      </c>
      <c r="L302" t="s">
        <v>14</v>
      </c>
      <c r="M302" t="s">
        <v>19</v>
      </c>
      <c r="N302" t="s">
        <v>21</v>
      </c>
      <c r="O302" t="s">
        <v>19</v>
      </c>
      <c r="P302" t="s">
        <v>19</v>
      </c>
      <c r="Q302" t="s">
        <v>22</v>
      </c>
    </row>
    <row r="303" spans="1:17" x14ac:dyDescent="0.35">
      <c r="A303">
        <v>297</v>
      </c>
      <c r="B303">
        <v>70</v>
      </c>
      <c r="C303" t="s">
        <v>16</v>
      </c>
      <c r="D303">
        <v>183</v>
      </c>
      <c r="E303">
        <v>89</v>
      </c>
      <c r="F303" s="3">
        <v>30.003243195790699</v>
      </c>
      <c r="G303" s="3" t="str">
        <f t="shared" si="4"/>
        <v>Obese</v>
      </c>
      <c r="H303" t="s">
        <v>305</v>
      </c>
      <c r="I303" t="s">
        <v>18</v>
      </c>
      <c r="J303" t="s">
        <v>19</v>
      </c>
      <c r="K303" t="s">
        <v>40</v>
      </c>
      <c r="L303" t="s">
        <v>38</v>
      </c>
      <c r="M303" t="s">
        <v>20</v>
      </c>
      <c r="N303" t="s">
        <v>21</v>
      </c>
      <c r="O303" t="s">
        <v>20</v>
      </c>
      <c r="P303" t="s">
        <v>19</v>
      </c>
      <c r="Q303" t="s">
        <v>40</v>
      </c>
    </row>
    <row r="304" spans="1:17" x14ac:dyDescent="0.35">
      <c r="A304">
        <v>300</v>
      </c>
      <c r="B304">
        <v>49</v>
      </c>
      <c r="C304" t="s">
        <v>16</v>
      </c>
      <c r="D304">
        <v>157</v>
      </c>
      <c r="E304">
        <v>56</v>
      </c>
      <c r="F304" s="3">
        <v>26.429239023798399</v>
      </c>
      <c r="G304" s="3" t="str">
        <f t="shared" si="4"/>
        <v>Overweight</v>
      </c>
      <c r="H304" t="s">
        <v>308</v>
      </c>
      <c r="I304" t="s">
        <v>24</v>
      </c>
      <c r="J304" t="s">
        <v>20</v>
      </c>
      <c r="K304" t="s">
        <v>18</v>
      </c>
      <c r="L304" t="s">
        <v>14</v>
      </c>
      <c r="M304" t="s">
        <v>20</v>
      </c>
      <c r="N304" t="s">
        <v>21</v>
      </c>
      <c r="O304" t="s">
        <v>19</v>
      </c>
      <c r="P304" t="s">
        <v>20</v>
      </c>
      <c r="Q304" t="s">
        <v>40</v>
      </c>
    </row>
    <row r="305" spans="1:17" x14ac:dyDescent="0.35">
      <c r="A305">
        <v>1795</v>
      </c>
      <c r="B305">
        <v>71</v>
      </c>
      <c r="C305" t="s">
        <v>27</v>
      </c>
      <c r="D305">
        <v>165</v>
      </c>
      <c r="E305">
        <v>81</v>
      </c>
      <c r="F305" s="3">
        <v>23.242141808450398</v>
      </c>
      <c r="G305" s="3" t="str">
        <f t="shared" si="4"/>
        <v>Normal Weight</v>
      </c>
      <c r="H305" t="s">
        <v>83</v>
      </c>
      <c r="I305" t="s">
        <v>24</v>
      </c>
      <c r="J305" t="s">
        <v>20</v>
      </c>
      <c r="K305" t="s">
        <v>22</v>
      </c>
      <c r="L305" t="s">
        <v>32</v>
      </c>
      <c r="M305" t="s">
        <v>19</v>
      </c>
      <c r="N305" t="s">
        <v>21</v>
      </c>
      <c r="O305" t="s">
        <v>20</v>
      </c>
      <c r="P305" t="s">
        <v>19</v>
      </c>
      <c r="Q305" t="s">
        <v>40</v>
      </c>
    </row>
    <row r="306" spans="1:17" x14ac:dyDescent="0.35">
      <c r="A306">
        <v>301</v>
      </c>
      <c r="B306">
        <v>23</v>
      </c>
      <c r="C306" t="s">
        <v>27</v>
      </c>
      <c r="D306">
        <v>172</v>
      </c>
      <c r="E306">
        <v>92</v>
      </c>
      <c r="F306" s="3">
        <v>19.634439455970998</v>
      </c>
      <c r="G306" s="3" t="str">
        <f t="shared" si="4"/>
        <v>Normal Weight</v>
      </c>
      <c r="H306" t="s">
        <v>309</v>
      </c>
      <c r="I306" t="s">
        <v>31</v>
      </c>
      <c r="J306" t="s">
        <v>20</v>
      </c>
      <c r="K306" t="s">
        <v>18</v>
      </c>
      <c r="L306" t="s">
        <v>14</v>
      </c>
      <c r="M306" t="s">
        <v>20</v>
      </c>
      <c r="N306" t="s">
        <v>21</v>
      </c>
      <c r="O306" t="s">
        <v>19</v>
      </c>
      <c r="P306" t="s">
        <v>20</v>
      </c>
      <c r="Q306" t="s">
        <v>18</v>
      </c>
    </row>
    <row r="307" spans="1:17" x14ac:dyDescent="0.35">
      <c r="A307">
        <v>304</v>
      </c>
      <c r="B307">
        <v>21</v>
      </c>
      <c r="C307" t="s">
        <v>27</v>
      </c>
      <c r="D307">
        <v>171</v>
      </c>
      <c r="E307">
        <v>84</v>
      </c>
      <c r="F307" s="3">
        <v>32.982865180233297</v>
      </c>
      <c r="G307" s="3" t="str">
        <f t="shared" si="4"/>
        <v>Obese</v>
      </c>
      <c r="H307" t="s">
        <v>287</v>
      </c>
      <c r="I307" t="s">
        <v>18</v>
      </c>
      <c r="J307" t="s">
        <v>19</v>
      </c>
      <c r="K307" t="s">
        <v>18</v>
      </c>
      <c r="L307" t="s">
        <v>29</v>
      </c>
      <c r="M307" t="s">
        <v>19</v>
      </c>
      <c r="N307" t="s">
        <v>25</v>
      </c>
      <c r="O307" t="s">
        <v>19</v>
      </c>
      <c r="P307" t="s">
        <v>19</v>
      </c>
      <c r="Q307" t="s">
        <v>18</v>
      </c>
    </row>
    <row r="308" spans="1:17" x14ac:dyDescent="0.35">
      <c r="A308">
        <v>308</v>
      </c>
      <c r="B308">
        <v>76</v>
      </c>
      <c r="C308" t="s">
        <v>16</v>
      </c>
      <c r="D308">
        <v>161</v>
      </c>
      <c r="E308">
        <v>55</v>
      </c>
      <c r="F308" s="3">
        <v>19.401070003022198</v>
      </c>
      <c r="G308" s="3" t="str">
        <f t="shared" si="4"/>
        <v>Normal Weight</v>
      </c>
      <c r="H308" t="s">
        <v>314</v>
      </c>
      <c r="I308" t="s">
        <v>24</v>
      </c>
      <c r="J308" t="s">
        <v>19</v>
      </c>
      <c r="K308" t="s">
        <v>40</v>
      </c>
      <c r="L308" t="s">
        <v>29</v>
      </c>
      <c r="M308" t="s">
        <v>19</v>
      </c>
      <c r="N308" t="s">
        <v>21</v>
      </c>
      <c r="O308" t="s">
        <v>19</v>
      </c>
      <c r="P308" t="s">
        <v>19</v>
      </c>
      <c r="Q308" t="s">
        <v>18</v>
      </c>
    </row>
    <row r="309" spans="1:17" x14ac:dyDescent="0.35">
      <c r="A309">
        <v>313</v>
      </c>
      <c r="B309">
        <v>69</v>
      </c>
      <c r="C309" t="s">
        <v>16</v>
      </c>
      <c r="D309">
        <v>168</v>
      </c>
      <c r="E309">
        <v>96</v>
      </c>
      <c r="F309" s="3">
        <v>32.6546534280385</v>
      </c>
      <c r="G309" s="3" t="str">
        <f t="shared" si="4"/>
        <v>Obese</v>
      </c>
      <c r="H309" t="s">
        <v>319</v>
      </c>
      <c r="I309" t="s">
        <v>31</v>
      </c>
      <c r="J309" t="s">
        <v>20</v>
      </c>
      <c r="K309" t="s">
        <v>18</v>
      </c>
      <c r="L309" t="s">
        <v>32</v>
      </c>
      <c r="M309" t="s">
        <v>19</v>
      </c>
      <c r="N309" t="s">
        <v>25</v>
      </c>
      <c r="O309" t="s">
        <v>19</v>
      </c>
      <c r="P309" t="s">
        <v>19</v>
      </c>
      <c r="Q309" t="s">
        <v>22</v>
      </c>
    </row>
    <row r="310" spans="1:17" x14ac:dyDescent="0.35">
      <c r="A310">
        <v>314</v>
      </c>
      <c r="B310">
        <v>51</v>
      </c>
      <c r="C310" t="s">
        <v>27</v>
      </c>
      <c r="D310">
        <v>150</v>
      </c>
      <c r="E310">
        <v>53</v>
      </c>
      <c r="F310" s="3">
        <v>23.530901552353502</v>
      </c>
      <c r="G310" s="3" t="str">
        <f t="shared" si="4"/>
        <v>Normal Weight</v>
      </c>
      <c r="H310" t="s">
        <v>320</v>
      </c>
      <c r="I310" t="s">
        <v>18</v>
      </c>
      <c r="J310" t="s">
        <v>20</v>
      </c>
      <c r="K310" t="s">
        <v>18</v>
      </c>
      <c r="L310" t="s">
        <v>38</v>
      </c>
      <c r="M310" t="s">
        <v>19</v>
      </c>
      <c r="N310" t="s">
        <v>21</v>
      </c>
      <c r="O310" t="s">
        <v>20</v>
      </c>
      <c r="P310" t="s">
        <v>20</v>
      </c>
      <c r="Q310" t="s">
        <v>22</v>
      </c>
    </row>
    <row r="311" spans="1:17" x14ac:dyDescent="0.35">
      <c r="A311">
        <v>318</v>
      </c>
      <c r="B311">
        <v>65</v>
      </c>
      <c r="C311" t="s">
        <v>27</v>
      </c>
      <c r="D311">
        <v>163</v>
      </c>
      <c r="E311">
        <v>65</v>
      </c>
      <c r="F311" s="3">
        <v>31.370793436160699</v>
      </c>
      <c r="G311" s="3" t="str">
        <f t="shared" si="4"/>
        <v>Obese</v>
      </c>
      <c r="H311" t="s">
        <v>323</v>
      </c>
      <c r="I311" t="s">
        <v>24</v>
      </c>
      <c r="J311" t="s">
        <v>20</v>
      </c>
      <c r="K311" t="s">
        <v>18</v>
      </c>
      <c r="L311" t="s">
        <v>32</v>
      </c>
      <c r="M311" t="s">
        <v>20</v>
      </c>
      <c r="N311" t="s">
        <v>21</v>
      </c>
      <c r="O311" t="s">
        <v>20</v>
      </c>
      <c r="P311" t="s">
        <v>19</v>
      </c>
      <c r="Q311" t="s">
        <v>22</v>
      </c>
    </row>
    <row r="312" spans="1:17" x14ac:dyDescent="0.35">
      <c r="A312">
        <v>71</v>
      </c>
      <c r="B312">
        <v>70</v>
      </c>
      <c r="C312" t="s">
        <v>27</v>
      </c>
      <c r="D312">
        <v>177</v>
      </c>
      <c r="E312">
        <v>62</v>
      </c>
      <c r="F312" s="3">
        <v>22.771920534086799</v>
      </c>
      <c r="G312" s="3" t="str">
        <f t="shared" si="4"/>
        <v>Normal Weight</v>
      </c>
      <c r="H312" t="s">
        <v>100</v>
      </c>
      <c r="I312" t="s">
        <v>24</v>
      </c>
      <c r="J312" t="s">
        <v>20</v>
      </c>
      <c r="K312" t="s">
        <v>22</v>
      </c>
      <c r="L312" t="s">
        <v>38</v>
      </c>
      <c r="M312" t="s">
        <v>19</v>
      </c>
      <c r="N312" t="s">
        <v>25</v>
      </c>
      <c r="O312" t="s">
        <v>20</v>
      </c>
      <c r="P312" t="s">
        <v>19</v>
      </c>
      <c r="Q312" t="s">
        <v>18</v>
      </c>
    </row>
    <row r="313" spans="1:17" x14ac:dyDescent="0.35">
      <c r="A313">
        <v>120</v>
      </c>
      <c r="B313">
        <v>70</v>
      </c>
      <c r="C313" t="s">
        <v>27</v>
      </c>
      <c r="D313">
        <v>182</v>
      </c>
      <c r="E313">
        <v>76</v>
      </c>
      <c r="F313" s="3">
        <v>27.0471721177056</v>
      </c>
      <c r="G313" s="3" t="str">
        <f t="shared" si="4"/>
        <v>Overweight</v>
      </c>
      <c r="H313" t="s">
        <v>113</v>
      </c>
      <c r="I313" t="s">
        <v>18</v>
      </c>
      <c r="J313" t="s">
        <v>19</v>
      </c>
      <c r="K313" t="s">
        <v>22</v>
      </c>
      <c r="L313" t="s">
        <v>14</v>
      </c>
      <c r="M313" t="s">
        <v>20</v>
      </c>
      <c r="N313" t="s">
        <v>25</v>
      </c>
      <c r="O313" t="s">
        <v>20</v>
      </c>
      <c r="P313" t="s">
        <v>20</v>
      </c>
      <c r="Q313" t="s">
        <v>22</v>
      </c>
    </row>
    <row r="314" spans="1:17" x14ac:dyDescent="0.35">
      <c r="A314">
        <v>319</v>
      </c>
      <c r="B314">
        <v>33</v>
      </c>
      <c r="C314" t="s">
        <v>27</v>
      </c>
      <c r="D314">
        <v>184</v>
      </c>
      <c r="E314">
        <v>53</v>
      </c>
      <c r="F314" s="3">
        <v>26.281835025721801</v>
      </c>
      <c r="G314" s="3" t="str">
        <f t="shared" si="4"/>
        <v>Overweight</v>
      </c>
      <c r="H314" t="s">
        <v>324</v>
      </c>
      <c r="I314" t="s">
        <v>31</v>
      </c>
      <c r="J314" t="s">
        <v>19</v>
      </c>
      <c r="K314" t="s">
        <v>18</v>
      </c>
      <c r="L314" t="s">
        <v>29</v>
      </c>
      <c r="M314" t="s">
        <v>20</v>
      </c>
      <c r="N314" t="s">
        <v>25</v>
      </c>
      <c r="O314" t="s">
        <v>19</v>
      </c>
      <c r="P314" t="s">
        <v>20</v>
      </c>
      <c r="Q314" t="s">
        <v>40</v>
      </c>
    </row>
    <row r="315" spans="1:17" x14ac:dyDescent="0.35">
      <c r="A315">
        <v>322</v>
      </c>
      <c r="B315">
        <v>77</v>
      </c>
      <c r="C315" t="s">
        <v>27</v>
      </c>
      <c r="D315">
        <v>187</v>
      </c>
      <c r="E315">
        <v>77</v>
      </c>
      <c r="F315" s="3">
        <v>23.990036362421201</v>
      </c>
      <c r="G315" s="3" t="str">
        <f t="shared" si="4"/>
        <v>Normal Weight</v>
      </c>
      <c r="H315" t="s">
        <v>327</v>
      </c>
      <c r="I315" t="s">
        <v>18</v>
      </c>
      <c r="J315" t="s">
        <v>19</v>
      </c>
      <c r="K315" t="s">
        <v>40</v>
      </c>
      <c r="L315" t="s">
        <v>38</v>
      </c>
      <c r="M315" t="s">
        <v>19</v>
      </c>
      <c r="N315" t="s">
        <v>21</v>
      </c>
      <c r="O315" t="s">
        <v>19</v>
      </c>
      <c r="P315" t="s">
        <v>19</v>
      </c>
      <c r="Q315" t="s">
        <v>22</v>
      </c>
    </row>
    <row r="316" spans="1:17" x14ac:dyDescent="0.35">
      <c r="A316">
        <v>466</v>
      </c>
      <c r="B316">
        <v>70</v>
      </c>
      <c r="C316" t="s">
        <v>27</v>
      </c>
      <c r="D316">
        <v>173</v>
      </c>
      <c r="E316">
        <v>62</v>
      </c>
      <c r="F316" s="3">
        <v>23.606247559961901</v>
      </c>
      <c r="G316" s="3" t="str">
        <f t="shared" si="4"/>
        <v>Normal Weight</v>
      </c>
      <c r="H316" t="s">
        <v>440</v>
      </c>
      <c r="I316" t="s">
        <v>31</v>
      </c>
      <c r="J316" t="s">
        <v>20</v>
      </c>
      <c r="K316" t="s">
        <v>22</v>
      </c>
      <c r="L316" t="s">
        <v>32</v>
      </c>
      <c r="M316" t="s">
        <v>19</v>
      </c>
      <c r="N316" t="s">
        <v>21</v>
      </c>
      <c r="O316" t="s">
        <v>20</v>
      </c>
      <c r="P316" t="s">
        <v>20</v>
      </c>
      <c r="Q316" t="s">
        <v>40</v>
      </c>
    </row>
    <row r="317" spans="1:17" x14ac:dyDescent="0.35">
      <c r="A317">
        <v>325</v>
      </c>
      <c r="B317">
        <v>33</v>
      </c>
      <c r="C317" t="s">
        <v>16</v>
      </c>
      <c r="D317">
        <v>182</v>
      </c>
      <c r="E317">
        <v>51</v>
      </c>
      <c r="F317" s="3">
        <v>34.804047253251397</v>
      </c>
      <c r="G317" s="3" t="str">
        <f t="shared" si="4"/>
        <v>Obese</v>
      </c>
      <c r="H317" t="s">
        <v>330</v>
      </c>
      <c r="I317" t="s">
        <v>18</v>
      </c>
      <c r="J317" t="s">
        <v>20</v>
      </c>
      <c r="K317" t="s">
        <v>18</v>
      </c>
      <c r="L317" t="s">
        <v>29</v>
      </c>
      <c r="M317" t="s">
        <v>19</v>
      </c>
      <c r="N317" t="s">
        <v>25</v>
      </c>
      <c r="O317" t="s">
        <v>20</v>
      </c>
      <c r="P317" t="s">
        <v>20</v>
      </c>
      <c r="Q317" t="s">
        <v>40</v>
      </c>
    </row>
    <row r="318" spans="1:17" x14ac:dyDescent="0.35">
      <c r="A318">
        <v>567</v>
      </c>
      <c r="B318">
        <v>70</v>
      </c>
      <c r="C318" t="s">
        <v>27</v>
      </c>
      <c r="D318">
        <v>166</v>
      </c>
      <c r="E318">
        <v>80</v>
      </c>
      <c r="F318" s="3">
        <v>29.1657216912634</v>
      </c>
      <c r="G318" s="3" t="str">
        <f t="shared" si="4"/>
        <v>Overweight</v>
      </c>
      <c r="H318" t="s">
        <v>520</v>
      </c>
      <c r="I318" t="s">
        <v>24</v>
      </c>
      <c r="J318" t="s">
        <v>20</v>
      </c>
      <c r="K318" t="s">
        <v>22</v>
      </c>
      <c r="L318" t="s">
        <v>14</v>
      </c>
      <c r="M318" t="s">
        <v>19</v>
      </c>
      <c r="N318" t="s">
        <v>21</v>
      </c>
      <c r="O318" t="s">
        <v>20</v>
      </c>
      <c r="P318" t="s">
        <v>20</v>
      </c>
      <c r="Q318" t="s">
        <v>18</v>
      </c>
    </row>
    <row r="319" spans="1:17" x14ac:dyDescent="0.35">
      <c r="A319">
        <v>600</v>
      </c>
      <c r="B319">
        <v>70</v>
      </c>
      <c r="C319" t="s">
        <v>16</v>
      </c>
      <c r="D319">
        <v>156</v>
      </c>
      <c r="E319">
        <v>96</v>
      </c>
      <c r="F319" s="3">
        <v>30.220799761753401</v>
      </c>
      <c r="G319" s="3" t="str">
        <f t="shared" si="4"/>
        <v>Obese</v>
      </c>
      <c r="H319" t="s">
        <v>547</v>
      </c>
      <c r="I319" t="s">
        <v>18</v>
      </c>
      <c r="J319" t="s">
        <v>20</v>
      </c>
      <c r="K319" t="s">
        <v>22</v>
      </c>
      <c r="L319" t="s">
        <v>32</v>
      </c>
      <c r="M319" t="s">
        <v>19</v>
      </c>
      <c r="N319" t="s">
        <v>21</v>
      </c>
      <c r="O319" t="s">
        <v>20</v>
      </c>
      <c r="P319" t="s">
        <v>20</v>
      </c>
      <c r="Q319" t="s">
        <v>18</v>
      </c>
    </row>
    <row r="320" spans="1:17" x14ac:dyDescent="0.35">
      <c r="A320">
        <v>326</v>
      </c>
      <c r="B320">
        <v>46</v>
      </c>
      <c r="C320" t="s">
        <v>16</v>
      </c>
      <c r="D320">
        <v>175</v>
      </c>
      <c r="E320">
        <v>80</v>
      </c>
      <c r="F320" s="3">
        <v>26.506302520128301</v>
      </c>
      <c r="G320" s="3" t="str">
        <f t="shared" si="4"/>
        <v>Overweight</v>
      </c>
      <c r="H320" t="s">
        <v>331</v>
      </c>
      <c r="I320" t="s">
        <v>24</v>
      </c>
      <c r="J320" t="s">
        <v>20</v>
      </c>
      <c r="K320" t="s">
        <v>18</v>
      </c>
      <c r="L320" t="s">
        <v>32</v>
      </c>
      <c r="M320" t="s">
        <v>19</v>
      </c>
      <c r="N320" t="s">
        <v>21</v>
      </c>
      <c r="O320" t="s">
        <v>19</v>
      </c>
      <c r="P320" t="s">
        <v>20</v>
      </c>
      <c r="Q320" t="s">
        <v>22</v>
      </c>
    </row>
    <row r="321" spans="1:17" x14ac:dyDescent="0.35">
      <c r="A321">
        <v>327</v>
      </c>
      <c r="B321">
        <v>20</v>
      </c>
      <c r="C321" t="s">
        <v>27</v>
      </c>
      <c r="D321">
        <v>188</v>
      </c>
      <c r="E321">
        <v>52</v>
      </c>
      <c r="F321" s="3">
        <v>21.456204651787399</v>
      </c>
      <c r="G321" s="3" t="str">
        <f t="shared" si="4"/>
        <v>Normal Weight</v>
      </c>
      <c r="H321" t="s">
        <v>332</v>
      </c>
      <c r="I321" t="s">
        <v>24</v>
      </c>
      <c r="J321" t="s">
        <v>19</v>
      </c>
      <c r="K321" t="s">
        <v>18</v>
      </c>
      <c r="L321" t="s">
        <v>32</v>
      </c>
      <c r="M321" t="s">
        <v>19</v>
      </c>
      <c r="N321" t="s">
        <v>25</v>
      </c>
      <c r="O321" t="s">
        <v>19</v>
      </c>
      <c r="P321" t="s">
        <v>19</v>
      </c>
      <c r="Q321" t="s">
        <v>18</v>
      </c>
    </row>
    <row r="322" spans="1:17" x14ac:dyDescent="0.35">
      <c r="A322">
        <v>328</v>
      </c>
      <c r="B322">
        <v>37</v>
      </c>
      <c r="C322" t="s">
        <v>27</v>
      </c>
      <c r="D322">
        <v>170</v>
      </c>
      <c r="E322">
        <v>57</v>
      </c>
      <c r="F322" s="3">
        <v>33.2038115145929</v>
      </c>
      <c r="G322" s="3" t="str">
        <f t="shared" si="4"/>
        <v>Obese</v>
      </c>
      <c r="H322" t="s">
        <v>333</v>
      </c>
      <c r="I322" t="s">
        <v>24</v>
      </c>
      <c r="J322" t="s">
        <v>19</v>
      </c>
      <c r="K322" t="s">
        <v>18</v>
      </c>
      <c r="L322" t="s">
        <v>29</v>
      </c>
      <c r="M322" t="s">
        <v>20</v>
      </c>
      <c r="N322" t="s">
        <v>21</v>
      </c>
      <c r="O322" t="s">
        <v>19</v>
      </c>
      <c r="P322" t="s">
        <v>19</v>
      </c>
      <c r="Q322" t="s">
        <v>18</v>
      </c>
    </row>
    <row r="323" spans="1:17" x14ac:dyDescent="0.35">
      <c r="A323">
        <v>798</v>
      </c>
      <c r="B323">
        <v>70</v>
      </c>
      <c r="C323" t="s">
        <v>27</v>
      </c>
      <c r="D323">
        <v>159</v>
      </c>
      <c r="E323">
        <v>65</v>
      </c>
      <c r="F323" s="3">
        <v>31.3815385188318</v>
      </c>
      <c r="G323" s="3" t="str">
        <f t="shared" ref="G323:G386" si="5">_xlfn.IFS(F323&lt;18.5, "Underweight", F323&lt;=24.9, "Normal Weight", F323&lt;=29.9, "Overweight", TRUE, "Obese")</f>
        <v>Obese</v>
      </c>
      <c r="H323" t="s">
        <v>75</v>
      </c>
      <c r="I323" t="s">
        <v>31</v>
      </c>
      <c r="J323" t="s">
        <v>20</v>
      </c>
      <c r="K323" t="s">
        <v>22</v>
      </c>
      <c r="L323" t="s">
        <v>38</v>
      </c>
      <c r="M323" t="s">
        <v>19</v>
      </c>
      <c r="N323" t="s">
        <v>25</v>
      </c>
      <c r="O323" t="s">
        <v>20</v>
      </c>
      <c r="P323" t="s">
        <v>19</v>
      </c>
      <c r="Q323" t="s">
        <v>40</v>
      </c>
    </row>
    <row r="324" spans="1:17" x14ac:dyDescent="0.35">
      <c r="A324">
        <v>807</v>
      </c>
      <c r="B324">
        <v>70</v>
      </c>
      <c r="C324" t="s">
        <v>27</v>
      </c>
      <c r="D324">
        <v>185</v>
      </c>
      <c r="E324">
        <v>51</v>
      </c>
      <c r="F324" s="3">
        <v>34.022389177368602</v>
      </c>
      <c r="G324" s="3" t="str">
        <f t="shared" si="5"/>
        <v>Obese</v>
      </c>
      <c r="H324" t="s">
        <v>301</v>
      </c>
      <c r="I324" t="s">
        <v>24</v>
      </c>
      <c r="J324" t="s">
        <v>19</v>
      </c>
      <c r="K324" t="s">
        <v>22</v>
      </c>
      <c r="L324" t="s">
        <v>32</v>
      </c>
      <c r="M324" t="s">
        <v>20</v>
      </c>
      <c r="N324" t="s">
        <v>25</v>
      </c>
      <c r="O324" t="s">
        <v>19</v>
      </c>
      <c r="P324" t="s">
        <v>20</v>
      </c>
      <c r="Q324" t="s">
        <v>22</v>
      </c>
    </row>
    <row r="325" spans="1:17" x14ac:dyDescent="0.35">
      <c r="A325">
        <v>329</v>
      </c>
      <c r="B325">
        <v>77</v>
      </c>
      <c r="C325" t="s">
        <v>16</v>
      </c>
      <c r="D325">
        <v>158</v>
      </c>
      <c r="E325">
        <v>73</v>
      </c>
      <c r="F325" s="3">
        <v>26.0958636567246</v>
      </c>
      <c r="G325" s="3" t="str">
        <f t="shared" si="5"/>
        <v>Overweight</v>
      </c>
      <c r="H325" t="s">
        <v>334</v>
      </c>
      <c r="I325" t="s">
        <v>18</v>
      </c>
      <c r="J325" t="s">
        <v>19</v>
      </c>
      <c r="K325" t="s">
        <v>40</v>
      </c>
      <c r="L325" t="s">
        <v>29</v>
      </c>
      <c r="M325" t="s">
        <v>19</v>
      </c>
      <c r="N325" t="s">
        <v>25</v>
      </c>
      <c r="O325" t="s">
        <v>20</v>
      </c>
      <c r="P325" t="s">
        <v>20</v>
      </c>
      <c r="Q325" t="s">
        <v>18</v>
      </c>
    </row>
    <row r="326" spans="1:17" x14ac:dyDescent="0.35">
      <c r="A326">
        <v>331</v>
      </c>
      <c r="B326">
        <v>53</v>
      </c>
      <c r="C326" t="s">
        <v>27</v>
      </c>
      <c r="D326">
        <v>186</v>
      </c>
      <c r="E326">
        <v>92</v>
      </c>
      <c r="F326" s="3">
        <v>34.731241122950998</v>
      </c>
      <c r="G326" s="3" t="str">
        <f t="shared" si="5"/>
        <v>Obese</v>
      </c>
      <c r="H326" t="s">
        <v>336</v>
      </c>
      <c r="I326" t="s">
        <v>24</v>
      </c>
      <c r="J326" t="s">
        <v>20</v>
      </c>
      <c r="K326" t="s">
        <v>18</v>
      </c>
      <c r="L326" t="s">
        <v>14</v>
      </c>
      <c r="M326" t="s">
        <v>20</v>
      </c>
      <c r="N326" t="s">
        <v>21</v>
      </c>
      <c r="O326" t="s">
        <v>20</v>
      </c>
      <c r="P326" t="s">
        <v>20</v>
      </c>
      <c r="Q326" t="s">
        <v>22</v>
      </c>
    </row>
    <row r="327" spans="1:17" x14ac:dyDescent="0.35">
      <c r="A327">
        <v>332</v>
      </c>
      <c r="B327">
        <v>36</v>
      </c>
      <c r="C327" t="s">
        <v>16</v>
      </c>
      <c r="D327">
        <v>166</v>
      </c>
      <c r="E327">
        <v>80</v>
      </c>
      <c r="F327" s="3">
        <v>19.3278932802795</v>
      </c>
      <c r="G327" s="3" t="str">
        <f t="shared" si="5"/>
        <v>Normal Weight</v>
      </c>
      <c r="H327" t="s">
        <v>337</v>
      </c>
      <c r="I327" t="s">
        <v>24</v>
      </c>
      <c r="J327" t="s">
        <v>20</v>
      </c>
      <c r="K327" t="s">
        <v>18</v>
      </c>
      <c r="L327" t="s">
        <v>38</v>
      </c>
      <c r="M327" t="s">
        <v>20</v>
      </c>
      <c r="N327" t="s">
        <v>25</v>
      </c>
      <c r="O327" t="s">
        <v>20</v>
      </c>
      <c r="P327" t="s">
        <v>19</v>
      </c>
      <c r="Q327" t="s">
        <v>40</v>
      </c>
    </row>
    <row r="328" spans="1:17" x14ac:dyDescent="0.35">
      <c r="A328">
        <v>333</v>
      </c>
      <c r="B328">
        <v>43</v>
      </c>
      <c r="C328" t="s">
        <v>27</v>
      </c>
      <c r="D328">
        <v>173</v>
      </c>
      <c r="E328">
        <v>58</v>
      </c>
      <c r="F328" s="3">
        <v>20.095460236494802</v>
      </c>
      <c r="G328" s="3" t="str">
        <f t="shared" si="5"/>
        <v>Normal Weight</v>
      </c>
      <c r="H328" t="s">
        <v>107</v>
      </c>
      <c r="I328" t="s">
        <v>24</v>
      </c>
      <c r="J328" t="s">
        <v>20</v>
      </c>
      <c r="K328" t="s">
        <v>18</v>
      </c>
      <c r="L328" t="s">
        <v>32</v>
      </c>
      <c r="M328" t="s">
        <v>19</v>
      </c>
      <c r="N328" t="s">
        <v>25</v>
      </c>
      <c r="O328" t="s">
        <v>19</v>
      </c>
      <c r="P328" t="s">
        <v>19</v>
      </c>
      <c r="Q328" t="s">
        <v>22</v>
      </c>
    </row>
    <row r="329" spans="1:17" x14ac:dyDescent="0.35">
      <c r="A329">
        <v>968</v>
      </c>
      <c r="B329">
        <v>70</v>
      </c>
      <c r="C329" t="s">
        <v>16</v>
      </c>
      <c r="D329">
        <v>171</v>
      </c>
      <c r="E329">
        <v>58</v>
      </c>
      <c r="F329" s="3">
        <v>29.192500247910999</v>
      </c>
      <c r="G329" s="3" t="str">
        <f t="shared" si="5"/>
        <v>Overweight</v>
      </c>
      <c r="H329" t="s">
        <v>781</v>
      </c>
      <c r="I329" t="s">
        <v>31</v>
      </c>
      <c r="J329" t="s">
        <v>19</v>
      </c>
      <c r="K329" t="s">
        <v>22</v>
      </c>
      <c r="L329" t="s">
        <v>14</v>
      </c>
      <c r="M329" t="s">
        <v>19</v>
      </c>
      <c r="N329" t="s">
        <v>25</v>
      </c>
      <c r="O329" t="s">
        <v>20</v>
      </c>
      <c r="P329" t="s">
        <v>20</v>
      </c>
      <c r="Q329" t="s">
        <v>22</v>
      </c>
    </row>
    <row r="330" spans="1:17" x14ac:dyDescent="0.35">
      <c r="A330">
        <v>334</v>
      </c>
      <c r="B330">
        <v>20</v>
      </c>
      <c r="C330" t="s">
        <v>16</v>
      </c>
      <c r="D330">
        <v>170</v>
      </c>
      <c r="E330">
        <v>88</v>
      </c>
      <c r="F330" s="3">
        <v>30.3875362341354</v>
      </c>
      <c r="G330" s="3" t="str">
        <f t="shared" si="5"/>
        <v>Obese</v>
      </c>
      <c r="H330" t="s">
        <v>338</v>
      </c>
      <c r="I330" t="s">
        <v>31</v>
      </c>
      <c r="J330" t="s">
        <v>20</v>
      </c>
      <c r="K330" t="s">
        <v>18</v>
      </c>
      <c r="L330" t="s">
        <v>29</v>
      </c>
      <c r="M330" t="s">
        <v>20</v>
      </c>
      <c r="N330" t="s">
        <v>21</v>
      </c>
      <c r="O330" t="s">
        <v>19</v>
      </c>
      <c r="P330" t="s">
        <v>20</v>
      </c>
      <c r="Q330" t="s">
        <v>22</v>
      </c>
    </row>
    <row r="331" spans="1:17" x14ac:dyDescent="0.35">
      <c r="A331">
        <v>1029</v>
      </c>
      <c r="B331">
        <v>70</v>
      </c>
      <c r="C331" t="s">
        <v>16</v>
      </c>
      <c r="D331">
        <v>178</v>
      </c>
      <c r="E331">
        <v>86</v>
      </c>
      <c r="F331" s="3">
        <v>20.860522219936101</v>
      </c>
      <c r="G331" s="3" t="str">
        <f t="shared" si="5"/>
        <v>Normal Weight</v>
      </c>
      <c r="H331" t="s">
        <v>818</v>
      </c>
      <c r="I331" t="s">
        <v>18</v>
      </c>
      <c r="J331" t="s">
        <v>19</v>
      </c>
      <c r="K331" t="s">
        <v>22</v>
      </c>
      <c r="L331" t="s">
        <v>14</v>
      </c>
      <c r="M331" t="s">
        <v>20</v>
      </c>
      <c r="N331" t="s">
        <v>21</v>
      </c>
      <c r="O331" t="s">
        <v>19</v>
      </c>
      <c r="P331" t="s">
        <v>19</v>
      </c>
      <c r="Q331" t="s">
        <v>40</v>
      </c>
    </row>
    <row r="332" spans="1:17" x14ac:dyDescent="0.35">
      <c r="A332">
        <v>1121</v>
      </c>
      <c r="B332">
        <v>70</v>
      </c>
      <c r="C332" t="s">
        <v>27</v>
      </c>
      <c r="D332">
        <v>170</v>
      </c>
      <c r="E332">
        <v>97</v>
      </c>
      <c r="F332" s="3">
        <v>23.831896085110301</v>
      </c>
      <c r="G332" s="3" t="str">
        <f t="shared" si="5"/>
        <v>Normal Weight</v>
      </c>
      <c r="H332" t="s">
        <v>874</v>
      </c>
      <c r="I332" t="s">
        <v>31</v>
      </c>
      <c r="J332" t="s">
        <v>19</v>
      </c>
      <c r="K332" t="s">
        <v>22</v>
      </c>
      <c r="L332" t="s">
        <v>32</v>
      </c>
      <c r="M332" t="s">
        <v>19</v>
      </c>
      <c r="N332" t="s">
        <v>21</v>
      </c>
      <c r="O332" t="s">
        <v>20</v>
      </c>
      <c r="P332" t="s">
        <v>19</v>
      </c>
      <c r="Q332" t="s">
        <v>40</v>
      </c>
    </row>
    <row r="333" spans="1:17" x14ac:dyDescent="0.35">
      <c r="A333">
        <v>1280</v>
      </c>
      <c r="B333">
        <v>70</v>
      </c>
      <c r="C333" t="s">
        <v>27</v>
      </c>
      <c r="D333">
        <v>171</v>
      </c>
      <c r="E333">
        <v>73</v>
      </c>
      <c r="F333" s="3">
        <v>32.411890272990803</v>
      </c>
      <c r="G333" s="3" t="str">
        <f t="shared" si="5"/>
        <v>Obese</v>
      </c>
      <c r="H333" t="s">
        <v>479</v>
      </c>
      <c r="I333" t="s">
        <v>18</v>
      </c>
      <c r="J333" t="s">
        <v>20</v>
      </c>
      <c r="K333" t="s">
        <v>22</v>
      </c>
      <c r="L333" t="s">
        <v>14</v>
      </c>
      <c r="M333" t="s">
        <v>20</v>
      </c>
      <c r="N333" t="s">
        <v>25</v>
      </c>
      <c r="O333" t="s">
        <v>19</v>
      </c>
      <c r="P333" t="s">
        <v>20</v>
      </c>
      <c r="Q333" t="s">
        <v>22</v>
      </c>
    </row>
    <row r="334" spans="1:17" x14ac:dyDescent="0.35">
      <c r="A334">
        <v>335</v>
      </c>
      <c r="B334">
        <v>36</v>
      </c>
      <c r="C334" t="s">
        <v>16</v>
      </c>
      <c r="D334">
        <v>188</v>
      </c>
      <c r="E334">
        <v>94</v>
      </c>
      <c r="F334" s="3">
        <v>23.150112554375202</v>
      </c>
      <c r="G334" s="3" t="str">
        <f t="shared" si="5"/>
        <v>Normal Weight</v>
      </c>
      <c r="H334" t="s">
        <v>339</v>
      </c>
      <c r="I334" t="s">
        <v>18</v>
      </c>
      <c r="J334" t="s">
        <v>20</v>
      </c>
      <c r="K334" t="s">
        <v>18</v>
      </c>
      <c r="L334" t="s">
        <v>32</v>
      </c>
      <c r="M334" t="s">
        <v>19</v>
      </c>
      <c r="N334" t="s">
        <v>21</v>
      </c>
      <c r="O334" t="s">
        <v>20</v>
      </c>
      <c r="P334" t="s">
        <v>20</v>
      </c>
      <c r="Q334" t="s">
        <v>22</v>
      </c>
    </row>
    <row r="335" spans="1:17" x14ac:dyDescent="0.35">
      <c r="A335">
        <v>1442</v>
      </c>
      <c r="B335">
        <v>70</v>
      </c>
      <c r="C335" t="s">
        <v>27</v>
      </c>
      <c r="D335">
        <v>172</v>
      </c>
      <c r="E335">
        <v>62</v>
      </c>
      <c r="F335" s="3">
        <v>23.937251827270899</v>
      </c>
      <c r="G335" s="3" t="str">
        <f t="shared" si="5"/>
        <v>Normal Weight</v>
      </c>
      <c r="H335" t="s">
        <v>66</v>
      </c>
      <c r="I335" t="s">
        <v>31</v>
      </c>
      <c r="J335" t="s">
        <v>20</v>
      </c>
      <c r="K335" t="s">
        <v>22</v>
      </c>
      <c r="L335" t="s">
        <v>29</v>
      </c>
      <c r="M335" t="s">
        <v>19</v>
      </c>
      <c r="N335" t="s">
        <v>25</v>
      </c>
      <c r="O335" t="s">
        <v>19</v>
      </c>
      <c r="P335" t="s">
        <v>20</v>
      </c>
      <c r="Q335" t="s">
        <v>22</v>
      </c>
    </row>
    <row r="336" spans="1:17" x14ac:dyDescent="0.35">
      <c r="A336">
        <v>336</v>
      </c>
      <c r="B336">
        <v>37</v>
      </c>
      <c r="C336" t="s">
        <v>16</v>
      </c>
      <c r="D336">
        <v>188</v>
      </c>
      <c r="E336">
        <v>51</v>
      </c>
      <c r="F336" s="3">
        <v>21.540973049676602</v>
      </c>
      <c r="G336" s="3" t="str">
        <f t="shared" si="5"/>
        <v>Normal Weight</v>
      </c>
      <c r="H336" t="s">
        <v>340</v>
      </c>
      <c r="I336" t="s">
        <v>18</v>
      </c>
      <c r="J336" t="s">
        <v>20</v>
      </c>
      <c r="K336" t="s">
        <v>18</v>
      </c>
      <c r="L336" t="s">
        <v>14</v>
      </c>
      <c r="M336" t="s">
        <v>20</v>
      </c>
      <c r="N336" t="s">
        <v>21</v>
      </c>
      <c r="O336" t="s">
        <v>19</v>
      </c>
      <c r="P336" t="s">
        <v>19</v>
      </c>
      <c r="Q336" t="s">
        <v>40</v>
      </c>
    </row>
    <row r="337" spans="1:17" x14ac:dyDescent="0.35">
      <c r="A337">
        <v>1586</v>
      </c>
      <c r="B337">
        <v>70</v>
      </c>
      <c r="C337" t="s">
        <v>27</v>
      </c>
      <c r="D337">
        <v>155</v>
      </c>
      <c r="E337">
        <v>81</v>
      </c>
      <c r="F337" s="3">
        <v>31.781952759047801</v>
      </c>
      <c r="G337" s="3" t="str">
        <f t="shared" si="5"/>
        <v>Obese</v>
      </c>
      <c r="H337" t="s">
        <v>680</v>
      </c>
      <c r="I337" t="s">
        <v>24</v>
      </c>
      <c r="J337" t="s">
        <v>19</v>
      </c>
      <c r="K337" t="s">
        <v>22</v>
      </c>
      <c r="L337" t="s">
        <v>32</v>
      </c>
      <c r="M337" t="s">
        <v>20</v>
      </c>
      <c r="N337" t="s">
        <v>25</v>
      </c>
      <c r="O337" t="s">
        <v>20</v>
      </c>
      <c r="P337" t="s">
        <v>19</v>
      </c>
      <c r="Q337" t="s">
        <v>18</v>
      </c>
    </row>
    <row r="338" spans="1:17" x14ac:dyDescent="0.35">
      <c r="A338">
        <v>1613</v>
      </c>
      <c r="B338">
        <v>70</v>
      </c>
      <c r="C338" t="s">
        <v>27</v>
      </c>
      <c r="D338">
        <v>166</v>
      </c>
      <c r="E338">
        <v>69</v>
      </c>
      <c r="F338" s="3">
        <v>24.876632311410901</v>
      </c>
      <c r="G338" s="3" t="str">
        <f t="shared" si="5"/>
        <v>Normal Weight</v>
      </c>
      <c r="H338" t="s">
        <v>682</v>
      </c>
      <c r="I338" t="s">
        <v>24</v>
      </c>
      <c r="J338" t="s">
        <v>19</v>
      </c>
      <c r="K338" t="s">
        <v>22</v>
      </c>
      <c r="L338" t="s">
        <v>38</v>
      </c>
      <c r="M338" t="s">
        <v>19</v>
      </c>
      <c r="N338" t="s">
        <v>25</v>
      </c>
      <c r="O338" t="s">
        <v>19</v>
      </c>
      <c r="P338" t="s">
        <v>20</v>
      </c>
      <c r="Q338" t="s">
        <v>40</v>
      </c>
    </row>
    <row r="339" spans="1:17" x14ac:dyDescent="0.35">
      <c r="A339">
        <v>1767</v>
      </c>
      <c r="B339">
        <v>70</v>
      </c>
      <c r="C339" t="s">
        <v>27</v>
      </c>
      <c r="D339">
        <v>179</v>
      </c>
      <c r="E339">
        <v>50</v>
      </c>
      <c r="F339" s="3">
        <v>32.1550900884315</v>
      </c>
      <c r="G339" s="3" t="str">
        <f t="shared" si="5"/>
        <v>Obese</v>
      </c>
      <c r="H339" t="s">
        <v>1187</v>
      </c>
      <c r="I339" t="s">
        <v>31</v>
      </c>
      <c r="J339" t="s">
        <v>19</v>
      </c>
      <c r="K339" t="s">
        <v>22</v>
      </c>
      <c r="L339" t="s">
        <v>38</v>
      </c>
      <c r="M339" t="s">
        <v>19</v>
      </c>
      <c r="N339" t="s">
        <v>21</v>
      </c>
      <c r="O339" t="s">
        <v>20</v>
      </c>
      <c r="P339" t="s">
        <v>20</v>
      </c>
      <c r="Q339" t="s">
        <v>40</v>
      </c>
    </row>
    <row r="340" spans="1:17" x14ac:dyDescent="0.35">
      <c r="A340">
        <v>1823</v>
      </c>
      <c r="B340">
        <v>70</v>
      </c>
      <c r="C340" t="s">
        <v>16</v>
      </c>
      <c r="D340">
        <v>159</v>
      </c>
      <c r="E340">
        <v>76</v>
      </c>
      <c r="F340" s="3">
        <v>34.823119094255297</v>
      </c>
      <c r="G340" s="3" t="str">
        <f t="shared" si="5"/>
        <v>Obese</v>
      </c>
      <c r="H340" t="s">
        <v>1210</v>
      </c>
      <c r="I340" t="s">
        <v>24</v>
      </c>
      <c r="J340" t="s">
        <v>20</v>
      </c>
      <c r="K340" t="s">
        <v>22</v>
      </c>
      <c r="L340" t="s">
        <v>38</v>
      </c>
      <c r="M340" t="s">
        <v>20</v>
      </c>
      <c r="N340" t="s">
        <v>21</v>
      </c>
      <c r="O340" t="s">
        <v>20</v>
      </c>
      <c r="P340" t="s">
        <v>20</v>
      </c>
      <c r="Q340" t="s">
        <v>22</v>
      </c>
    </row>
    <row r="341" spans="1:17" x14ac:dyDescent="0.35">
      <c r="A341">
        <v>338</v>
      </c>
      <c r="B341">
        <v>24</v>
      </c>
      <c r="C341" t="s">
        <v>27</v>
      </c>
      <c r="D341">
        <v>160</v>
      </c>
      <c r="E341">
        <v>56</v>
      </c>
      <c r="F341" s="3">
        <v>18.8604707477723</v>
      </c>
      <c r="G341" s="3" t="str">
        <f t="shared" si="5"/>
        <v>Normal Weight</v>
      </c>
      <c r="H341" t="s">
        <v>342</v>
      </c>
      <c r="I341" t="s">
        <v>24</v>
      </c>
      <c r="J341" t="s">
        <v>20</v>
      </c>
      <c r="K341" t="s">
        <v>18</v>
      </c>
      <c r="L341" t="s">
        <v>32</v>
      </c>
      <c r="M341" t="s">
        <v>19</v>
      </c>
      <c r="N341" t="s">
        <v>25</v>
      </c>
      <c r="O341" t="s">
        <v>19</v>
      </c>
      <c r="P341" t="s">
        <v>20</v>
      </c>
      <c r="Q341" t="s">
        <v>18</v>
      </c>
    </row>
    <row r="342" spans="1:17" x14ac:dyDescent="0.35">
      <c r="A342">
        <v>1854</v>
      </c>
      <c r="B342">
        <v>70</v>
      </c>
      <c r="C342" t="s">
        <v>27</v>
      </c>
      <c r="D342">
        <v>172</v>
      </c>
      <c r="E342">
        <v>67</v>
      </c>
      <c r="F342" s="3">
        <v>23.721734937014698</v>
      </c>
      <c r="G342" s="3" t="str">
        <f t="shared" si="5"/>
        <v>Normal Weight</v>
      </c>
      <c r="H342" t="s">
        <v>527</v>
      </c>
      <c r="I342" t="s">
        <v>24</v>
      </c>
      <c r="J342" t="s">
        <v>20</v>
      </c>
      <c r="K342" t="s">
        <v>22</v>
      </c>
      <c r="L342" t="s">
        <v>38</v>
      </c>
      <c r="M342" t="s">
        <v>20</v>
      </c>
      <c r="N342" t="s">
        <v>25</v>
      </c>
      <c r="O342" t="s">
        <v>19</v>
      </c>
      <c r="P342" t="s">
        <v>20</v>
      </c>
      <c r="Q342" t="s">
        <v>22</v>
      </c>
    </row>
    <row r="343" spans="1:17" x14ac:dyDescent="0.35">
      <c r="A343">
        <v>341</v>
      </c>
      <c r="B343">
        <v>50</v>
      </c>
      <c r="C343" t="s">
        <v>27</v>
      </c>
      <c r="D343">
        <v>162</v>
      </c>
      <c r="E343">
        <v>91</v>
      </c>
      <c r="F343" s="3">
        <v>26.217390163523898</v>
      </c>
      <c r="G343" s="3" t="str">
        <f t="shared" si="5"/>
        <v>Overweight</v>
      </c>
      <c r="H343" t="s">
        <v>345</v>
      </c>
      <c r="I343" t="s">
        <v>18</v>
      </c>
      <c r="J343" t="s">
        <v>20</v>
      </c>
      <c r="K343" t="s">
        <v>18</v>
      </c>
      <c r="L343" t="s">
        <v>32</v>
      </c>
      <c r="M343" t="s">
        <v>20</v>
      </c>
      <c r="N343" t="s">
        <v>21</v>
      </c>
      <c r="O343" t="s">
        <v>20</v>
      </c>
      <c r="P343" t="s">
        <v>19</v>
      </c>
      <c r="Q343" t="s">
        <v>22</v>
      </c>
    </row>
    <row r="344" spans="1:17" x14ac:dyDescent="0.35">
      <c r="A344">
        <v>342</v>
      </c>
      <c r="B344">
        <v>57</v>
      </c>
      <c r="C344" t="s">
        <v>16</v>
      </c>
      <c r="D344">
        <v>150</v>
      </c>
      <c r="E344">
        <v>65</v>
      </c>
      <c r="F344" s="3">
        <v>28.497297450461399</v>
      </c>
      <c r="G344" s="3" t="str">
        <f t="shared" si="5"/>
        <v>Overweight</v>
      </c>
      <c r="H344" t="s">
        <v>91</v>
      </c>
      <c r="I344" t="s">
        <v>18</v>
      </c>
      <c r="J344" t="s">
        <v>19</v>
      </c>
      <c r="K344" t="s">
        <v>18</v>
      </c>
      <c r="L344" t="s">
        <v>14</v>
      </c>
      <c r="M344" t="s">
        <v>20</v>
      </c>
      <c r="N344" t="s">
        <v>25</v>
      </c>
      <c r="O344" t="s">
        <v>19</v>
      </c>
      <c r="P344" t="s">
        <v>19</v>
      </c>
      <c r="Q344" t="s">
        <v>40</v>
      </c>
    </row>
    <row r="345" spans="1:17" x14ac:dyDescent="0.35">
      <c r="A345">
        <v>346</v>
      </c>
      <c r="B345">
        <v>18</v>
      </c>
      <c r="C345" t="s">
        <v>27</v>
      </c>
      <c r="D345">
        <v>157</v>
      </c>
      <c r="E345">
        <v>87</v>
      </c>
      <c r="F345" s="3">
        <v>18.673468204937201</v>
      </c>
      <c r="G345" s="3" t="str">
        <f t="shared" si="5"/>
        <v>Normal Weight</v>
      </c>
      <c r="H345" t="s">
        <v>348</v>
      </c>
      <c r="I345" t="s">
        <v>31</v>
      </c>
      <c r="J345" t="s">
        <v>19</v>
      </c>
      <c r="K345" t="s">
        <v>18</v>
      </c>
      <c r="L345" t="s">
        <v>32</v>
      </c>
      <c r="M345" t="s">
        <v>19</v>
      </c>
      <c r="N345" t="s">
        <v>25</v>
      </c>
      <c r="O345" t="s">
        <v>20</v>
      </c>
      <c r="P345" t="s">
        <v>19</v>
      </c>
      <c r="Q345" t="s">
        <v>22</v>
      </c>
    </row>
    <row r="346" spans="1:17" x14ac:dyDescent="0.35">
      <c r="A346">
        <v>348</v>
      </c>
      <c r="B346">
        <v>45</v>
      </c>
      <c r="C346" t="s">
        <v>27</v>
      </c>
      <c r="D346">
        <v>161</v>
      </c>
      <c r="E346">
        <v>99</v>
      </c>
      <c r="F346" s="3">
        <v>33.239524147504</v>
      </c>
      <c r="G346" s="3" t="str">
        <f t="shared" si="5"/>
        <v>Obese</v>
      </c>
      <c r="H346" t="s">
        <v>350</v>
      </c>
      <c r="I346" t="s">
        <v>24</v>
      </c>
      <c r="J346" t="s">
        <v>20</v>
      </c>
      <c r="K346" t="s">
        <v>18</v>
      </c>
      <c r="L346" t="s">
        <v>38</v>
      </c>
      <c r="M346" t="s">
        <v>20</v>
      </c>
      <c r="N346" t="s">
        <v>25</v>
      </c>
      <c r="O346" t="s">
        <v>20</v>
      </c>
      <c r="P346" t="s">
        <v>19</v>
      </c>
      <c r="Q346" t="s">
        <v>22</v>
      </c>
    </row>
    <row r="347" spans="1:17" x14ac:dyDescent="0.35">
      <c r="A347">
        <v>349</v>
      </c>
      <c r="B347">
        <v>74</v>
      </c>
      <c r="C347" t="s">
        <v>27</v>
      </c>
      <c r="D347">
        <v>182</v>
      </c>
      <c r="E347">
        <v>54</v>
      </c>
      <c r="F347" s="3">
        <v>25.6418586974433</v>
      </c>
      <c r="G347" s="3" t="str">
        <f t="shared" si="5"/>
        <v>Overweight</v>
      </c>
      <c r="H347" t="s">
        <v>351</v>
      </c>
      <c r="I347" t="s">
        <v>18</v>
      </c>
      <c r="J347" t="s">
        <v>20</v>
      </c>
      <c r="K347" t="s">
        <v>40</v>
      </c>
      <c r="L347" t="s">
        <v>14</v>
      </c>
      <c r="M347" t="s">
        <v>19</v>
      </c>
      <c r="N347" t="s">
        <v>21</v>
      </c>
      <c r="O347" t="s">
        <v>19</v>
      </c>
      <c r="P347" t="s">
        <v>19</v>
      </c>
      <c r="Q347" t="s">
        <v>40</v>
      </c>
    </row>
    <row r="348" spans="1:17" x14ac:dyDescent="0.35">
      <c r="A348">
        <v>244</v>
      </c>
      <c r="B348">
        <v>69</v>
      </c>
      <c r="C348" t="s">
        <v>16</v>
      </c>
      <c r="D348">
        <v>153</v>
      </c>
      <c r="E348">
        <v>97</v>
      </c>
      <c r="F348" s="3">
        <v>23.1656300414916</v>
      </c>
      <c r="G348" s="3" t="str">
        <f t="shared" si="5"/>
        <v>Normal Weight</v>
      </c>
      <c r="H348" t="s">
        <v>256</v>
      </c>
      <c r="I348" t="s">
        <v>18</v>
      </c>
      <c r="J348" t="s">
        <v>19</v>
      </c>
      <c r="K348" t="s">
        <v>22</v>
      </c>
      <c r="L348" t="s">
        <v>14</v>
      </c>
      <c r="M348" t="s">
        <v>20</v>
      </c>
      <c r="N348" t="s">
        <v>25</v>
      </c>
      <c r="O348" t="s">
        <v>20</v>
      </c>
      <c r="P348" t="s">
        <v>19</v>
      </c>
      <c r="Q348" t="s">
        <v>22</v>
      </c>
    </row>
    <row r="349" spans="1:17" x14ac:dyDescent="0.35">
      <c r="A349">
        <v>267</v>
      </c>
      <c r="B349">
        <v>69</v>
      </c>
      <c r="C349" t="s">
        <v>27</v>
      </c>
      <c r="D349">
        <v>183</v>
      </c>
      <c r="E349">
        <v>96</v>
      </c>
      <c r="F349" s="3">
        <v>21.2723308611791</v>
      </c>
      <c r="G349" s="3" t="str">
        <f t="shared" si="5"/>
        <v>Normal Weight</v>
      </c>
      <c r="H349" t="s">
        <v>277</v>
      </c>
      <c r="I349" t="s">
        <v>24</v>
      </c>
      <c r="J349" t="s">
        <v>20</v>
      </c>
      <c r="K349" t="s">
        <v>22</v>
      </c>
      <c r="L349" t="s">
        <v>38</v>
      </c>
      <c r="M349" t="s">
        <v>20</v>
      </c>
      <c r="N349" t="s">
        <v>21</v>
      </c>
      <c r="O349" t="s">
        <v>19</v>
      </c>
      <c r="P349" t="s">
        <v>20</v>
      </c>
      <c r="Q349" t="s">
        <v>40</v>
      </c>
    </row>
    <row r="350" spans="1:17" x14ac:dyDescent="0.35">
      <c r="A350">
        <v>351</v>
      </c>
      <c r="B350">
        <v>67</v>
      </c>
      <c r="C350" t="s">
        <v>27</v>
      </c>
      <c r="D350">
        <v>188</v>
      </c>
      <c r="E350">
        <v>88</v>
      </c>
      <c r="F350" s="3">
        <v>26.370225978191201</v>
      </c>
      <c r="G350" s="3" t="str">
        <f t="shared" si="5"/>
        <v>Overweight</v>
      </c>
      <c r="H350" t="s">
        <v>353</v>
      </c>
      <c r="I350" t="s">
        <v>24</v>
      </c>
      <c r="J350" t="s">
        <v>20</v>
      </c>
      <c r="K350" t="s">
        <v>18</v>
      </c>
      <c r="L350" t="s">
        <v>38</v>
      </c>
      <c r="M350" t="s">
        <v>20</v>
      </c>
      <c r="N350" t="s">
        <v>25</v>
      </c>
      <c r="O350" t="s">
        <v>20</v>
      </c>
      <c r="P350" t="s">
        <v>19</v>
      </c>
      <c r="Q350" t="s">
        <v>40</v>
      </c>
    </row>
    <row r="351" spans="1:17" x14ac:dyDescent="0.35">
      <c r="A351">
        <v>352</v>
      </c>
      <c r="B351">
        <v>40</v>
      </c>
      <c r="C351" t="s">
        <v>16</v>
      </c>
      <c r="D351">
        <v>177</v>
      </c>
      <c r="E351">
        <v>83</v>
      </c>
      <c r="F351" s="3">
        <v>24.921942207286701</v>
      </c>
      <c r="G351" s="3" t="str">
        <f t="shared" si="5"/>
        <v>Overweight</v>
      </c>
      <c r="H351" t="s">
        <v>354</v>
      </c>
      <c r="I351" t="s">
        <v>31</v>
      </c>
      <c r="J351" t="s">
        <v>20</v>
      </c>
      <c r="K351" t="s">
        <v>18</v>
      </c>
      <c r="L351" t="s">
        <v>29</v>
      </c>
      <c r="M351" t="s">
        <v>19</v>
      </c>
      <c r="N351" t="s">
        <v>25</v>
      </c>
      <c r="O351" t="s">
        <v>19</v>
      </c>
      <c r="P351" t="s">
        <v>19</v>
      </c>
      <c r="Q351" t="s">
        <v>18</v>
      </c>
    </row>
    <row r="352" spans="1:17" x14ac:dyDescent="0.35">
      <c r="A352">
        <v>339</v>
      </c>
      <c r="B352">
        <v>69</v>
      </c>
      <c r="C352" t="s">
        <v>16</v>
      </c>
      <c r="D352">
        <v>168</v>
      </c>
      <c r="E352">
        <v>93</v>
      </c>
      <c r="F352" s="3">
        <v>31.2790124514765</v>
      </c>
      <c r="G352" s="3" t="str">
        <f t="shared" si="5"/>
        <v>Obese</v>
      </c>
      <c r="H352" t="s">
        <v>343</v>
      </c>
      <c r="I352" t="s">
        <v>24</v>
      </c>
      <c r="J352" t="s">
        <v>20</v>
      </c>
      <c r="K352" t="s">
        <v>22</v>
      </c>
      <c r="L352" t="s">
        <v>38</v>
      </c>
      <c r="M352" t="s">
        <v>20</v>
      </c>
      <c r="N352" t="s">
        <v>25</v>
      </c>
      <c r="O352" t="s">
        <v>20</v>
      </c>
      <c r="P352" t="s">
        <v>19</v>
      </c>
      <c r="Q352" t="s">
        <v>18</v>
      </c>
    </row>
    <row r="353" spans="1:17" x14ac:dyDescent="0.35">
      <c r="A353">
        <v>363</v>
      </c>
      <c r="B353">
        <v>69</v>
      </c>
      <c r="C353" t="s">
        <v>27</v>
      </c>
      <c r="D353">
        <v>151</v>
      </c>
      <c r="E353">
        <v>72</v>
      </c>
      <c r="F353" s="3">
        <v>20.856436023802299</v>
      </c>
      <c r="G353" s="3" t="str">
        <f t="shared" si="5"/>
        <v>Normal Weight</v>
      </c>
      <c r="H353" t="s">
        <v>365</v>
      </c>
      <c r="I353" t="s">
        <v>18</v>
      </c>
      <c r="J353" t="s">
        <v>19</v>
      </c>
      <c r="K353" t="s">
        <v>22</v>
      </c>
      <c r="L353" t="s">
        <v>38</v>
      </c>
      <c r="M353" t="s">
        <v>19</v>
      </c>
      <c r="N353" t="s">
        <v>25</v>
      </c>
      <c r="O353" t="s">
        <v>19</v>
      </c>
      <c r="P353" t="s">
        <v>20</v>
      </c>
      <c r="Q353" t="s">
        <v>22</v>
      </c>
    </row>
    <row r="354" spans="1:17" x14ac:dyDescent="0.35">
      <c r="A354">
        <v>389</v>
      </c>
      <c r="B354">
        <v>69</v>
      </c>
      <c r="C354" t="s">
        <v>16</v>
      </c>
      <c r="D354">
        <v>177</v>
      </c>
      <c r="E354">
        <v>81</v>
      </c>
      <c r="F354" s="3">
        <v>34.3523139957273</v>
      </c>
      <c r="G354" s="3" t="str">
        <f t="shared" si="5"/>
        <v>Obese</v>
      </c>
      <c r="H354" t="s">
        <v>383</v>
      </c>
      <c r="I354" t="s">
        <v>18</v>
      </c>
      <c r="J354" t="s">
        <v>19</v>
      </c>
      <c r="K354" t="s">
        <v>22</v>
      </c>
      <c r="L354" t="s">
        <v>38</v>
      </c>
      <c r="M354" t="s">
        <v>19</v>
      </c>
      <c r="N354" t="s">
        <v>25</v>
      </c>
      <c r="O354" t="s">
        <v>20</v>
      </c>
      <c r="P354" t="s">
        <v>19</v>
      </c>
      <c r="Q354" t="s">
        <v>22</v>
      </c>
    </row>
    <row r="355" spans="1:17" x14ac:dyDescent="0.35">
      <c r="A355">
        <v>355</v>
      </c>
      <c r="B355">
        <v>59</v>
      </c>
      <c r="C355" t="s">
        <v>16</v>
      </c>
      <c r="D355">
        <v>174</v>
      </c>
      <c r="E355">
        <v>72</v>
      </c>
      <c r="F355" s="3">
        <v>24.040970016585302</v>
      </c>
      <c r="G355" s="3" t="str">
        <f t="shared" si="5"/>
        <v>Normal Weight</v>
      </c>
      <c r="H355" t="s">
        <v>357</v>
      </c>
      <c r="I355" t="s">
        <v>31</v>
      </c>
      <c r="J355" t="s">
        <v>20</v>
      </c>
      <c r="K355" t="s">
        <v>18</v>
      </c>
      <c r="L355" t="s">
        <v>29</v>
      </c>
      <c r="M355" t="s">
        <v>20</v>
      </c>
      <c r="N355" t="s">
        <v>21</v>
      </c>
      <c r="O355" t="s">
        <v>19</v>
      </c>
      <c r="P355" t="s">
        <v>19</v>
      </c>
      <c r="Q355" t="s">
        <v>40</v>
      </c>
    </row>
    <row r="356" spans="1:17" x14ac:dyDescent="0.35">
      <c r="A356">
        <v>557</v>
      </c>
      <c r="B356">
        <v>69</v>
      </c>
      <c r="C356" t="s">
        <v>27</v>
      </c>
      <c r="D356">
        <v>166</v>
      </c>
      <c r="E356">
        <v>86</v>
      </c>
      <c r="F356" s="3">
        <v>32.817084615667397</v>
      </c>
      <c r="G356" s="3" t="str">
        <f t="shared" si="5"/>
        <v>Obese</v>
      </c>
      <c r="H356" t="s">
        <v>512</v>
      </c>
      <c r="I356" t="s">
        <v>31</v>
      </c>
      <c r="J356" t="s">
        <v>19</v>
      </c>
      <c r="K356" t="s">
        <v>22</v>
      </c>
      <c r="L356" t="s">
        <v>32</v>
      </c>
      <c r="M356" t="s">
        <v>19</v>
      </c>
      <c r="N356" t="s">
        <v>25</v>
      </c>
      <c r="O356" t="s">
        <v>19</v>
      </c>
      <c r="P356" t="s">
        <v>19</v>
      </c>
      <c r="Q356" t="s">
        <v>40</v>
      </c>
    </row>
    <row r="357" spans="1:17" x14ac:dyDescent="0.35">
      <c r="A357">
        <v>577</v>
      </c>
      <c r="B357">
        <v>69</v>
      </c>
      <c r="C357" t="s">
        <v>16</v>
      </c>
      <c r="D357">
        <v>180</v>
      </c>
      <c r="E357">
        <v>68</v>
      </c>
      <c r="F357" s="3">
        <v>29.912116132559699</v>
      </c>
      <c r="G357" s="3" t="str">
        <f t="shared" si="5"/>
        <v>Obese</v>
      </c>
      <c r="H357" t="s">
        <v>529</v>
      </c>
      <c r="I357" t="s">
        <v>18</v>
      </c>
      <c r="J357" t="s">
        <v>19</v>
      </c>
      <c r="K357" t="s">
        <v>22</v>
      </c>
      <c r="L357" t="s">
        <v>38</v>
      </c>
      <c r="M357" t="s">
        <v>20</v>
      </c>
      <c r="N357" t="s">
        <v>21</v>
      </c>
      <c r="O357" t="s">
        <v>19</v>
      </c>
      <c r="P357" t="s">
        <v>19</v>
      </c>
      <c r="Q357" t="s">
        <v>22</v>
      </c>
    </row>
    <row r="358" spans="1:17" x14ac:dyDescent="0.35">
      <c r="A358">
        <v>357</v>
      </c>
      <c r="B358">
        <v>24</v>
      </c>
      <c r="C358" t="s">
        <v>16</v>
      </c>
      <c r="D358">
        <v>172</v>
      </c>
      <c r="E358">
        <v>79</v>
      </c>
      <c r="F358" s="3">
        <v>33.793974775406703</v>
      </c>
      <c r="G358" s="3" t="str">
        <f t="shared" si="5"/>
        <v>Obese</v>
      </c>
      <c r="H358" t="s">
        <v>359</v>
      </c>
      <c r="I358" t="s">
        <v>18</v>
      </c>
      <c r="J358" t="s">
        <v>20</v>
      </c>
      <c r="K358" t="s">
        <v>18</v>
      </c>
      <c r="L358" t="s">
        <v>32</v>
      </c>
      <c r="M358" t="s">
        <v>19</v>
      </c>
      <c r="N358" t="s">
        <v>25</v>
      </c>
      <c r="O358" t="s">
        <v>20</v>
      </c>
      <c r="P358" t="s">
        <v>20</v>
      </c>
      <c r="Q358" t="s">
        <v>18</v>
      </c>
    </row>
    <row r="359" spans="1:17" x14ac:dyDescent="0.35">
      <c r="A359">
        <v>362</v>
      </c>
      <c r="B359">
        <v>74</v>
      </c>
      <c r="C359" t="s">
        <v>27</v>
      </c>
      <c r="D359">
        <v>167</v>
      </c>
      <c r="E359">
        <v>78</v>
      </c>
      <c r="F359" s="3">
        <v>34.321385907641698</v>
      </c>
      <c r="G359" s="3" t="str">
        <f t="shared" si="5"/>
        <v>Obese</v>
      </c>
      <c r="H359" t="s">
        <v>364</v>
      </c>
      <c r="I359" t="s">
        <v>31</v>
      </c>
      <c r="J359" t="s">
        <v>20</v>
      </c>
      <c r="K359" t="s">
        <v>40</v>
      </c>
      <c r="L359" t="s">
        <v>14</v>
      </c>
      <c r="M359" t="s">
        <v>19</v>
      </c>
      <c r="N359" t="s">
        <v>25</v>
      </c>
      <c r="O359" t="s">
        <v>19</v>
      </c>
      <c r="P359" t="s">
        <v>20</v>
      </c>
      <c r="Q359" t="s">
        <v>22</v>
      </c>
    </row>
    <row r="360" spans="1:17" x14ac:dyDescent="0.35">
      <c r="A360">
        <v>364</v>
      </c>
      <c r="B360">
        <v>77</v>
      </c>
      <c r="C360" t="s">
        <v>27</v>
      </c>
      <c r="D360">
        <v>153</v>
      </c>
      <c r="E360">
        <v>55</v>
      </c>
      <c r="F360" s="3">
        <v>28.067188004787401</v>
      </c>
      <c r="G360" s="3" t="str">
        <f t="shared" si="5"/>
        <v>Overweight</v>
      </c>
      <c r="H360" t="s">
        <v>92</v>
      </c>
      <c r="I360" t="s">
        <v>24</v>
      </c>
      <c r="J360" t="s">
        <v>20</v>
      </c>
      <c r="K360" t="s">
        <v>40</v>
      </c>
      <c r="L360" t="s">
        <v>29</v>
      </c>
      <c r="M360" t="s">
        <v>19</v>
      </c>
      <c r="N360" t="s">
        <v>25</v>
      </c>
      <c r="O360" t="s">
        <v>19</v>
      </c>
      <c r="P360" t="s">
        <v>19</v>
      </c>
      <c r="Q360" t="s">
        <v>22</v>
      </c>
    </row>
    <row r="361" spans="1:17" x14ac:dyDescent="0.35">
      <c r="A361">
        <v>365</v>
      </c>
      <c r="B361">
        <v>66</v>
      </c>
      <c r="C361" t="s">
        <v>16</v>
      </c>
      <c r="D361">
        <v>179</v>
      </c>
      <c r="E361">
        <v>81</v>
      </c>
      <c r="F361" s="3">
        <v>23.162079414057501</v>
      </c>
      <c r="G361" s="3" t="str">
        <f t="shared" si="5"/>
        <v>Normal Weight</v>
      </c>
      <c r="H361" t="s">
        <v>366</v>
      </c>
      <c r="I361" t="s">
        <v>18</v>
      </c>
      <c r="J361" t="s">
        <v>19</v>
      </c>
      <c r="K361" t="s">
        <v>18</v>
      </c>
      <c r="L361" t="s">
        <v>29</v>
      </c>
      <c r="M361" t="s">
        <v>19</v>
      </c>
      <c r="N361" t="s">
        <v>25</v>
      </c>
      <c r="O361" t="s">
        <v>20</v>
      </c>
      <c r="P361" t="s">
        <v>19</v>
      </c>
      <c r="Q361" t="s">
        <v>40</v>
      </c>
    </row>
    <row r="362" spans="1:17" x14ac:dyDescent="0.35">
      <c r="A362">
        <v>371</v>
      </c>
      <c r="B362">
        <v>22</v>
      </c>
      <c r="C362" t="s">
        <v>16</v>
      </c>
      <c r="D362">
        <v>177</v>
      </c>
      <c r="E362">
        <v>58</v>
      </c>
      <c r="F362" s="3">
        <v>19.862440607581998</v>
      </c>
      <c r="G362" s="3" t="str">
        <f t="shared" si="5"/>
        <v>Normal Weight</v>
      </c>
      <c r="H362" t="s">
        <v>372</v>
      </c>
      <c r="I362" t="s">
        <v>18</v>
      </c>
      <c r="J362" t="s">
        <v>20</v>
      </c>
      <c r="K362" t="s">
        <v>18</v>
      </c>
      <c r="L362" t="s">
        <v>32</v>
      </c>
      <c r="M362" t="s">
        <v>20</v>
      </c>
      <c r="N362" t="s">
        <v>25</v>
      </c>
      <c r="O362" t="s">
        <v>19</v>
      </c>
      <c r="P362" t="s">
        <v>19</v>
      </c>
      <c r="Q362" t="s">
        <v>40</v>
      </c>
    </row>
    <row r="363" spans="1:17" x14ac:dyDescent="0.35">
      <c r="A363">
        <v>373</v>
      </c>
      <c r="B363">
        <v>49</v>
      </c>
      <c r="C363" t="s">
        <v>27</v>
      </c>
      <c r="D363">
        <v>169</v>
      </c>
      <c r="E363">
        <v>59</v>
      </c>
      <c r="F363" s="3">
        <v>25.752788539252801</v>
      </c>
      <c r="G363" s="3" t="str">
        <f t="shared" si="5"/>
        <v>Overweight</v>
      </c>
      <c r="H363" t="s">
        <v>374</v>
      </c>
      <c r="I363" t="s">
        <v>24</v>
      </c>
      <c r="J363" t="s">
        <v>19</v>
      </c>
      <c r="K363" t="s">
        <v>18</v>
      </c>
      <c r="L363" t="s">
        <v>14</v>
      </c>
      <c r="M363" t="s">
        <v>20</v>
      </c>
      <c r="N363" t="s">
        <v>25</v>
      </c>
      <c r="O363" t="s">
        <v>19</v>
      </c>
      <c r="P363" t="s">
        <v>20</v>
      </c>
      <c r="Q363" t="s">
        <v>18</v>
      </c>
    </row>
    <row r="364" spans="1:17" x14ac:dyDescent="0.35">
      <c r="A364">
        <v>374</v>
      </c>
      <c r="B364">
        <v>76</v>
      </c>
      <c r="C364" t="s">
        <v>27</v>
      </c>
      <c r="D364">
        <v>182</v>
      </c>
      <c r="E364">
        <v>69</v>
      </c>
      <c r="F364" s="3">
        <v>26.922592167216202</v>
      </c>
      <c r="G364" s="3" t="str">
        <f t="shared" si="5"/>
        <v>Overweight</v>
      </c>
      <c r="H364" t="s">
        <v>365</v>
      </c>
      <c r="I364" t="s">
        <v>31</v>
      </c>
      <c r="J364" t="s">
        <v>20</v>
      </c>
      <c r="K364" t="s">
        <v>40</v>
      </c>
      <c r="L364" t="s">
        <v>14</v>
      </c>
      <c r="M364" t="s">
        <v>20</v>
      </c>
      <c r="N364" t="s">
        <v>21</v>
      </c>
      <c r="O364" t="s">
        <v>20</v>
      </c>
      <c r="P364" t="s">
        <v>19</v>
      </c>
      <c r="Q364" t="s">
        <v>18</v>
      </c>
    </row>
    <row r="365" spans="1:17" x14ac:dyDescent="0.35">
      <c r="A365">
        <v>1197</v>
      </c>
      <c r="B365">
        <v>69</v>
      </c>
      <c r="C365" t="s">
        <v>27</v>
      </c>
      <c r="D365">
        <v>152</v>
      </c>
      <c r="E365">
        <v>67</v>
      </c>
      <c r="F365" s="3">
        <v>19.330328393421901</v>
      </c>
      <c r="G365" s="3" t="str">
        <f t="shared" si="5"/>
        <v>Normal Weight</v>
      </c>
      <c r="H365" t="s">
        <v>919</v>
      </c>
      <c r="I365" t="s">
        <v>31</v>
      </c>
      <c r="J365" t="s">
        <v>20</v>
      </c>
      <c r="K365" t="s">
        <v>22</v>
      </c>
      <c r="L365" t="s">
        <v>14</v>
      </c>
      <c r="M365" t="s">
        <v>19</v>
      </c>
      <c r="N365" t="s">
        <v>21</v>
      </c>
      <c r="O365" t="s">
        <v>19</v>
      </c>
      <c r="P365" t="s">
        <v>20</v>
      </c>
      <c r="Q365" t="s">
        <v>18</v>
      </c>
    </row>
    <row r="366" spans="1:17" x14ac:dyDescent="0.35">
      <c r="A366">
        <v>375</v>
      </c>
      <c r="B366">
        <v>72</v>
      </c>
      <c r="C366" t="s">
        <v>27</v>
      </c>
      <c r="D366">
        <v>161</v>
      </c>
      <c r="E366">
        <v>55</v>
      </c>
      <c r="F366" s="3">
        <v>22.7700747380146</v>
      </c>
      <c r="G366" s="3" t="str">
        <f t="shared" si="5"/>
        <v>Normal Weight</v>
      </c>
      <c r="H366" t="s">
        <v>375</v>
      </c>
      <c r="I366" t="s">
        <v>24</v>
      </c>
      <c r="J366" t="s">
        <v>20</v>
      </c>
      <c r="K366" t="s">
        <v>40</v>
      </c>
      <c r="L366" t="s">
        <v>14</v>
      </c>
      <c r="M366" t="s">
        <v>20</v>
      </c>
      <c r="N366" t="s">
        <v>25</v>
      </c>
      <c r="O366" t="s">
        <v>19</v>
      </c>
      <c r="P366" t="s">
        <v>19</v>
      </c>
      <c r="Q366" t="s">
        <v>18</v>
      </c>
    </row>
    <row r="367" spans="1:17" x14ac:dyDescent="0.35">
      <c r="A367">
        <v>376</v>
      </c>
      <c r="B367">
        <v>26</v>
      </c>
      <c r="C367" t="s">
        <v>27</v>
      </c>
      <c r="D367">
        <v>164</v>
      </c>
      <c r="E367">
        <v>97</v>
      </c>
      <c r="F367" s="3">
        <v>23.721542659427801</v>
      </c>
      <c r="G367" s="3" t="str">
        <f t="shared" si="5"/>
        <v>Normal Weight</v>
      </c>
      <c r="H367" t="s">
        <v>376</v>
      </c>
      <c r="I367" t="s">
        <v>24</v>
      </c>
      <c r="J367" t="s">
        <v>19</v>
      </c>
      <c r="K367" t="s">
        <v>18</v>
      </c>
      <c r="L367" t="s">
        <v>32</v>
      </c>
      <c r="M367" t="s">
        <v>19</v>
      </c>
      <c r="N367" t="s">
        <v>25</v>
      </c>
      <c r="O367" t="s">
        <v>20</v>
      </c>
      <c r="P367" t="s">
        <v>20</v>
      </c>
      <c r="Q367" t="s">
        <v>22</v>
      </c>
    </row>
    <row r="368" spans="1:17" x14ac:dyDescent="0.35">
      <c r="A368">
        <v>1460</v>
      </c>
      <c r="B368">
        <v>69</v>
      </c>
      <c r="C368" t="s">
        <v>27</v>
      </c>
      <c r="D368">
        <v>167</v>
      </c>
      <c r="E368">
        <v>53</v>
      </c>
      <c r="F368" s="3">
        <v>25.5091039919682</v>
      </c>
      <c r="G368" s="3" t="str">
        <f t="shared" si="5"/>
        <v>Overweight</v>
      </c>
      <c r="H368" t="s">
        <v>1055</v>
      </c>
      <c r="I368" t="s">
        <v>24</v>
      </c>
      <c r="J368" t="s">
        <v>20</v>
      </c>
      <c r="K368" t="s">
        <v>22</v>
      </c>
      <c r="L368" t="s">
        <v>14</v>
      </c>
      <c r="M368" t="s">
        <v>19</v>
      </c>
      <c r="N368" t="s">
        <v>25</v>
      </c>
      <c r="O368" t="s">
        <v>19</v>
      </c>
      <c r="P368" t="s">
        <v>19</v>
      </c>
      <c r="Q368" t="s">
        <v>18</v>
      </c>
    </row>
    <row r="369" spans="1:17" x14ac:dyDescent="0.35">
      <c r="A369">
        <v>379</v>
      </c>
      <c r="B369">
        <v>36</v>
      </c>
      <c r="C369" t="s">
        <v>16</v>
      </c>
      <c r="D369">
        <v>178</v>
      </c>
      <c r="E369">
        <v>60</v>
      </c>
      <c r="F369" s="3">
        <v>34.4482142497789</v>
      </c>
      <c r="G369" s="3" t="str">
        <f t="shared" si="5"/>
        <v>Obese</v>
      </c>
      <c r="H369" t="s">
        <v>379</v>
      </c>
      <c r="I369" t="s">
        <v>18</v>
      </c>
      <c r="J369" t="s">
        <v>20</v>
      </c>
      <c r="K369" t="s">
        <v>18</v>
      </c>
      <c r="L369" t="s">
        <v>29</v>
      </c>
      <c r="M369" t="s">
        <v>20</v>
      </c>
      <c r="N369" t="s">
        <v>21</v>
      </c>
      <c r="O369" t="s">
        <v>20</v>
      </c>
      <c r="P369" t="s">
        <v>20</v>
      </c>
      <c r="Q369" t="s">
        <v>40</v>
      </c>
    </row>
    <row r="370" spans="1:17" x14ac:dyDescent="0.35">
      <c r="A370">
        <v>1584</v>
      </c>
      <c r="B370">
        <v>69</v>
      </c>
      <c r="C370" t="s">
        <v>27</v>
      </c>
      <c r="D370">
        <v>158</v>
      </c>
      <c r="E370">
        <v>89</v>
      </c>
      <c r="F370" s="3">
        <v>28.515056418525301</v>
      </c>
      <c r="G370" s="3" t="str">
        <f t="shared" si="5"/>
        <v>Overweight</v>
      </c>
      <c r="H370" t="s">
        <v>1111</v>
      </c>
      <c r="I370" t="s">
        <v>18</v>
      </c>
      <c r="J370" t="s">
        <v>20</v>
      </c>
      <c r="K370" t="s">
        <v>22</v>
      </c>
      <c r="L370" t="s">
        <v>38</v>
      </c>
      <c r="M370" t="s">
        <v>19</v>
      </c>
      <c r="N370" t="s">
        <v>25</v>
      </c>
      <c r="O370" t="s">
        <v>19</v>
      </c>
      <c r="P370" t="s">
        <v>20</v>
      </c>
      <c r="Q370" t="s">
        <v>40</v>
      </c>
    </row>
    <row r="371" spans="1:17" x14ac:dyDescent="0.35">
      <c r="A371">
        <v>1590</v>
      </c>
      <c r="B371">
        <v>69</v>
      </c>
      <c r="C371" t="s">
        <v>27</v>
      </c>
      <c r="D371">
        <v>172</v>
      </c>
      <c r="E371">
        <v>50</v>
      </c>
      <c r="F371" s="3">
        <v>19.920915823355099</v>
      </c>
      <c r="G371" s="3" t="str">
        <f t="shared" si="5"/>
        <v>Normal Weight</v>
      </c>
      <c r="H371" t="s">
        <v>442</v>
      </c>
      <c r="I371" t="s">
        <v>24</v>
      </c>
      <c r="J371" t="s">
        <v>19</v>
      </c>
      <c r="K371" t="s">
        <v>22</v>
      </c>
      <c r="L371" t="s">
        <v>29</v>
      </c>
      <c r="M371" t="s">
        <v>20</v>
      </c>
      <c r="N371" t="s">
        <v>25</v>
      </c>
      <c r="O371" t="s">
        <v>20</v>
      </c>
      <c r="P371" t="s">
        <v>19</v>
      </c>
      <c r="Q371" t="s">
        <v>18</v>
      </c>
    </row>
    <row r="372" spans="1:17" x14ac:dyDescent="0.35">
      <c r="A372">
        <v>380</v>
      </c>
      <c r="B372">
        <v>65</v>
      </c>
      <c r="C372" t="s">
        <v>27</v>
      </c>
      <c r="D372">
        <v>159</v>
      </c>
      <c r="E372">
        <v>92</v>
      </c>
      <c r="F372" s="3">
        <v>34.087671797595902</v>
      </c>
      <c r="G372" s="3" t="str">
        <f t="shared" si="5"/>
        <v>Obese</v>
      </c>
      <c r="H372" t="s">
        <v>109</v>
      </c>
      <c r="I372" t="s">
        <v>31</v>
      </c>
      <c r="J372" t="s">
        <v>20</v>
      </c>
      <c r="K372" t="s">
        <v>18</v>
      </c>
      <c r="L372" t="s">
        <v>38</v>
      </c>
      <c r="M372" t="s">
        <v>19</v>
      </c>
      <c r="N372" t="s">
        <v>25</v>
      </c>
      <c r="O372" t="s">
        <v>20</v>
      </c>
      <c r="P372" t="s">
        <v>20</v>
      </c>
      <c r="Q372" t="s">
        <v>40</v>
      </c>
    </row>
    <row r="373" spans="1:17" x14ac:dyDescent="0.35">
      <c r="A373">
        <v>1725</v>
      </c>
      <c r="B373">
        <v>69</v>
      </c>
      <c r="C373" t="s">
        <v>16</v>
      </c>
      <c r="D373">
        <v>154</v>
      </c>
      <c r="E373">
        <v>98</v>
      </c>
      <c r="F373" s="3">
        <v>29.3146936442709</v>
      </c>
      <c r="G373" s="3" t="str">
        <f t="shared" si="5"/>
        <v>Overweight</v>
      </c>
      <c r="H373" t="s">
        <v>571</v>
      </c>
      <c r="I373" t="s">
        <v>31</v>
      </c>
      <c r="J373" t="s">
        <v>19</v>
      </c>
      <c r="K373" t="s">
        <v>22</v>
      </c>
      <c r="L373" t="s">
        <v>14</v>
      </c>
      <c r="M373" t="s">
        <v>19</v>
      </c>
      <c r="N373" t="s">
        <v>21</v>
      </c>
      <c r="O373" t="s">
        <v>20</v>
      </c>
      <c r="P373" t="s">
        <v>20</v>
      </c>
      <c r="Q373" t="s">
        <v>22</v>
      </c>
    </row>
    <row r="374" spans="1:17" x14ac:dyDescent="0.35">
      <c r="A374">
        <v>382</v>
      </c>
      <c r="B374">
        <v>20</v>
      </c>
      <c r="C374" t="s">
        <v>16</v>
      </c>
      <c r="D374">
        <v>160</v>
      </c>
      <c r="E374">
        <v>81</v>
      </c>
      <c r="F374" s="3">
        <v>27.919089948599499</v>
      </c>
      <c r="G374" s="3" t="str">
        <f t="shared" si="5"/>
        <v>Overweight</v>
      </c>
      <c r="H374" t="s">
        <v>355</v>
      </c>
      <c r="I374" t="s">
        <v>24</v>
      </c>
      <c r="J374" t="s">
        <v>20</v>
      </c>
      <c r="K374" t="s">
        <v>18</v>
      </c>
      <c r="L374" t="s">
        <v>14</v>
      </c>
      <c r="M374" t="s">
        <v>19</v>
      </c>
      <c r="N374" t="s">
        <v>25</v>
      </c>
      <c r="O374" t="s">
        <v>19</v>
      </c>
      <c r="P374" t="s">
        <v>19</v>
      </c>
      <c r="Q374" t="s">
        <v>18</v>
      </c>
    </row>
    <row r="375" spans="1:17" x14ac:dyDescent="0.35">
      <c r="A375">
        <v>1885</v>
      </c>
      <c r="B375">
        <v>69</v>
      </c>
      <c r="C375" t="s">
        <v>16</v>
      </c>
      <c r="D375">
        <v>162</v>
      </c>
      <c r="E375">
        <v>51</v>
      </c>
      <c r="F375" s="3">
        <v>33.593363924006397</v>
      </c>
      <c r="G375" s="3" t="str">
        <f t="shared" si="5"/>
        <v>Obese</v>
      </c>
      <c r="H375" t="s">
        <v>363</v>
      </c>
      <c r="I375" t="s">
        <v>31</v>
      </c>
      <c r="J375" t="s">
        <v>20</v>
      </c>
      <c r="K375" t="s">
        <v>22</v>
      </c>
      <c r="L375" t="s">
        <v>14</v>
      </c>
      <c r="M375" t="s">
        <v>20</v>
      </c>
      <c r="N375" t="s">
        <v>21</v>
      </c>
      <c r="O375" t="s">
        <v>20</v>
      </c>
      <c r="P375" t="s">
        <v>19</v>
      </c>
      <c r="Q375" t="s">
        <v>18</v>
      </c>
    </row>
    <row r="376" spans="1:17" x14ac:dyDescent="0.35">
      <c r="A376">
        <v>384</v>
      </c>
      <c r="B376">
        <v>41</v>
      </c>
      <c r="C376" t="s">
        <v>27</v>
      </c>
      <c r="D376">
        <v>159</v>
      </c>
      <c r="E376">
        <v>53</v>
      </c>
      <c r="F376" s="3">
        <v>18.602033073574699</v>
      </c>
      <c r="G376" s="3" t="str">
        <f t="shared" si="5"/>
        <v>Normal Weight</v>
      </c>
      <c r="H376" t="s">
        <v>285</v>
      </c>
      <c r="I376" t="s">
        <v>24</v>
      </c>
      <c r="J376" t="s">
        <v>19</v>
      </c>
      <c r="K376" t="s">
        <v>18</v>
      </c>
      <c r="L376" t="s">
        <v>32</v>
      </c>
      <c r="M376" t="s">
        <v>20</v>
      </c>
      <c r="N376" t="s">
        <v>21</v>
      </c>
      <c r="O376" t="s">
        <v>19</v>
      </c>
      <c r="P376" t="s">
        <v>19</v>
      </c>
      <c r="Q376" t="s">
        <v>18</v>
      </c>
    </row>
    <row r="377" spans="1:17" x14ac:dyDescent="0.35">
      <c r="A377">
        <v>50</v>
      </c>
      <c r="B377">
        <v>68</v>
      </c>
      <c r="C377" t="s">
        <v>16</v>
      </c>
      <c r="D377">
        <v>176</v>
      </c>
      <c r="E377">
        <v>98</v>
      </c>
      <c r="F377" s="3">
        <v>19.954218111115399</v>
      </c>
      <c r="G377" s="3" t="str">
        <f t="shared" si="5"/>
        <v>Normal Weight</v>
      </c>
      <c r="H377" t="s">
        <v>79</v>
      </c>
      <c r="I377" t="s">
        <v>24</v>
      </c>
      <c r="J377" t="s">
        <v>19</v>
      </c>
      <c r="K377" t="s">
        <v>22</v>
      </c>
      <c r="L377" t="s">
        <v>14</v>
      </c>
      <c r="M377" t="s">
        <v>20</v>
      </c>
      <c r="N377" t="s">
        <v>25</v>
      </c>
      <c r="O377" t="s">
        <v>19</v>
      </c>
      <c r="P377" t="s">
        <v>20</v>
      </c>
      <c r="Q377" t="s">
        <v>18</v>
      </c>
    </row>
    <row r="378" spans="1:17" x14ac:dyDescent="0.35">
      <c r="A378">
        <v>386</v>
      </c>
      <c r="B378">
        <v>73</v>
      </c>
      <c r="C378" t="s">
        <v>16</v>
      </c>
      <c r="D378">
        <v>167</v>
      </c>
      <c r="E378">
        <v>90</v>
      </c>
      <c r="F378" s="3">
        <v>34.148097621017101</v>
      </c>
      <c r="G378" s="3" t="str">
        <f t="shared" si="5"/>
        <v>Obese</v>
      </c>
      <c r="H378" t="s">
        <v>381</v>
      </c>
      <c r="I378" t="s">
        <v>24</v>
      </c>
      <c r="J378" t="s">
        <v>19</v>
      </c>
      <c r="K378" t="s">
        <v>40</v>
      </c>
      <c r="L378" t="s">
        <v>32</v>
      </c>
      <c r="M378" t="s">
        <v>19</v>
      </c>
      <c r="N378" t="s">
        <v>21</v>
      </c>
      <c r="O378" t="s">
        <v>20</v>
      </c>
      <c r="P378" t="s">
        <v>20</v>
      </c>
      <c r="Q378" t="s">
        <v>40</v>
      </c>
    </row>
    <row r="379" spans="1:17" x14ac:dyDescent="0.35">
      <c r="A379">
        <v>142</v>
      </c>
      <c r="B379">
        <v>68</v>
      </c>
      <c r="C379" t="s">
        <v>16</v>
      </c>
      <c r="D379">
        <v>161</v>
      </c>
      <c r="E379">
        <v>74</v>
      </c>
      <c r="F379" s="3">
        <v>22.829738212073401</v>
      </c>
      <c r="G379" s="3" t="str">
        <f t="shared" si="5"/>
        <v>Normal Weight</v>
      </c>
      <c r="H379" t="s">
        <v>166</v>
      </c>
      <c r="I379" t="s">
        <v>18</v>
      </c>
      <c r="J379" t="s">
        <v>19</v>
      </c>
      <c r="K379" t="s">
        <v>22</v>
      </c>
      <c r="L379" t="s">
        <v>14</v>
      </c>
      <c r="M379" t="s">
        <v>19</v>
      </c>
      <c r="N379" t="s">
        <v>21</v>
      </c>
      <c r="O379" t="s">
        <v>19</v>
      </c>
      <c r="P379" t="s">
        <v>19</v>
      </c>
      <c r="Q379" t="s">
        <v>18</v>
      </c>
    </row>
    <row r="380" spans="1:17" x14ac:dyDescent="0.35">
      <c r="A380">
        <v>387</v>
      </c>
      <c r="B380">
        <v>50</v>
      </c>
      <c r="C380" t="s">
        <v>16</v>
      </c>
      <c r="D380">
        <v>158</v>
      </c>
      <c r="E380">
        <v>68</v>
      </c>
      <c r="F380" s="3">
        <v>20.006874616503602</v>
      </c>
      <c r="G380" s="3" t="str">
        <f t="shared" si="5"/>
        <v>Normal Weight</v>
      </c>
      <c r="H380" t="s">
        <v>314</v>
      </c>
      <c r="I380" t="s">
        <v>31</v>
      </c>
      <c r="J380" t="s">
        <v>19</v>
      </c>
      <c r="K380" t="s">
        <v>18</v>
      </c>
      <c r="L380" t="s">
        <v>29</v>
      </c>
      <c r="M380" t="s">
        <v>20</v>
      </c>
      <c r="N380" t="s">
        <v>25</v>
      </c>
      <c r="O380" t="s">
        <v>19</v>
      </c>
      <c r="P380" t="s">
        <v>19</v>
      </c>
      <c r="Q380" t="s">
        <v>22</v>
      </c>
    </row>
    <row r="381" spans="1:17" x14ac:dyDescent="0.35">
      <c r="A381">
        <v>214</v>
      </c>
      <c r="B381">
        <v>68</v>
      </c>
      <c r="C381" t="s">
        <v>27</v>
      </c>
      <c r="D381">
        <v>163</v>
      </c>
      <c r="E381">
        <v>83</v>
      </c>
      <c r="F381" s="3">
        <v>31.189508697135398</v>
      </c>
      <c r="G381" s="3" t="str">
        <f t="shared" si="5"/>
        <v>Obese</v>
      </c>
      <c r="H381" t="s">
        <v>230</v>
      </c>
      <c r="I381" t="s">
        <v>31</v>
      </c>
      <c r="J381" t="s">
        <v>19</v>
      </c>
      <c r="K381" t="s">
        <v>22</v>
      </c>
      <c r="L381" t="s">
        <v>29</v>
      </c>
      <c r="M381" t="s">
        <v>19</v>
      </c>
      <c r="N381" t="s">
        <v>21</v>
      </c>
      <c r="O381" t="s">
        <v>19</v>
      </c>
      <c r="P381" t="s">
        <v>20</v>
      </c>
      <c r="Q381" t="s">
        <v>22</v>
      </c>
    </row>
    <row r="382" spans="1:17" x14ac:dyDescent="0.35">
      <c r="A382">
        <v>256</v>
      </c>
      <c r="B382">
        <v>68</v>
      </c>
      <c r="C382" t="s">
        <v>16</v>
      </c>
      <c r="D382">
        <v>170</v>
      </c>
      <c r="E382">
        <v>98</v>
      </c>
      <c r="F382" s="3">
        <v>22.109733188779501</v>
      </c>
      <c r="G382" s="3" t="str">
        <f t="shared" si="5"/>
        <v>Normal Weight</v>
      </c>
      <c r="H382" t="s">
        <v>267</v>
      </c>
      <c r="I382" t="s">
        <v>24</v>
      </c>
      <c r="J382" t="s">
        <v>19</v>
      </c>
      <c r="K382" t="s">
        <v>22</v>
      </c>
      <c r="L382" t="s">
        <v>29</v>
      </c>
      <c r="M382" t="s">
        <v>19</v>
      </c>
      <c r="N382" t="s">
        <v>25</v>
      </c>
      <c r="O382" t="s">
        <v>20</v>
      </c>
      <c r="P382" t="s">
        <v>19</v>
      </c>
      <c r="Q382" t="s">
        <v>22</v>
      </c>
    </row>
    <row r="383" spans="1:17" x14ac:dyDescent="0.35">
      <c r="A383">
        <v>388</v>
      </c>
      <c r="B383">
        <v>41</v>
      </c>
      <c r="C383" t="s">
        <v>16</v>
      </c>
      <c r="D383">
        <v>188</v>
      </c>
      <c r="E383">
        <v>54</v>
      </c>
      <c r="F383" s="3">
        <v>21.163886819543102</v>
      </c>
      <c r="G383" s="3" t="str">
        <f t="shared" si="5"/>
        <v>Normal Weight</v>
      </c>
      <c r="H383" t="s">
        <v>382</v>
      </c>
      <c r="I383" t="s">
        <v>18</v>
      </c>
      <c r="J383" t="s">
        <v>20</v>
      </c>
      <c r="K383" t="s">
        <v>18</v>
      </c>
      <c r="L383" t="s">
        <v>14</v>
      </c>
      <c r="M383" t="s">
        <v>20</v>
      </c>
      <c r="N383" t="s">
        <v>25</v>
      </c>
      <c r="O383" t="s">
        <v>19</v>
      </c>
      <c r="P383" t="s">
        <v>19</v>
      </c>
      <c r="Q383" t="s">
        <v>22</v>
      </c>
    </row>
    <row r="384" spans="1:17" x14ac:dyDescent="0.35">
      <c r="A384">
        <v>392</v>
      </c>
      <c r="B384">
        <v>25</v>
      </c>
      <c r="C384" t="s">
        <v>27</v>
      </c>
      <c r="D384">
        <v>155</v>
      </c>
      <c r="E384">
        <v>84</v>
      </c>
      <c r="F384" s="3">
        <v>22.750927979598199</v>
      </c>
      <c r="G384" s="3" t="str">
        <f t="shared" si="5"/>
        <v>Normal Weight</v>
      </c>
      <c r="H384" t="s">
        <v>385</v>
      </c>
      <c r="I384" t="s">
        <v>18</v>
      </c>
      <c r="J384" t="s">
        <v>19</v>
      </c>
      <c r="K384" t="s">
        <v>18</v>
      </c>
      <c r="L384" t="s">
        <v>14</v>
      </c>
      <c r="M384" t="s">
        <v>20</v>
      </c>
      <c r="N384" t="s">
        <v>25</v>
      </c>
      <c r="O384" t="s">
        <v>19</v>
      </c>
      <c r="P384" t="s">
        <v>20</v>
      </c>
      <c r="Q384" t="s">
        <v>22</v>
      </c>
    </row>
    <row r="385" spans="1:17" x14ac:dyDescent="0.35">
      <c r="A385">
        <v>538</v>
      </c>
      <c r="B385">
        <v>68</v>
      </c>
      <c r="C385" t="s">
        <v>27</v>
      </c>
      <c r="D385">
        <v>154</v>
      </c>
      <c r="E385">
        <v>96</v>
      </c>
      <c r="F385" s="3">
        <v>23.031986851500399</v>
      </c>
      <c r="G385" s="3" t="str">
        <f t="shared" si="5"/>
        <v>Normal Weight</v>
      </c>
      <c r="H385" t="s">
        <v>495</v>
      </c>
      <c r="I385" t="s">
        <v>18</v>
      </c>
      <c r="J385" t="s">
        <v>19</v>
      </c>
      <c r="K385" t="s">
        <v>22</v>
      </c>
      <c r="L385" t="s">
        <v>14</v>
      </c>
      <c r="M385" t="s">
        <v>20</v>
      </c>
      <c r="N385" t="s">
        <v>25</v>
      </c>
      <c r="O385" t="s">
        <v>19</v>
      </c>
      <c r="P385" t="s">
        <v>20</v>
      </c>
      <c r="Q385" t="s">
        <v>40</v>
      </c>
    </row>
    <row r="386" spans="1:17" x14ac:dyDescent="0.35">
      <c r="A386">
        <v>547</v>
      </c>
      <c r="B386">
        <v>68</v>
      </c>
      <c r="C386" t="s">
        <v>27</v>
      </c>
      <c r="D386">
        <v>155</v>
      </c>
      <c r="E386">
        <v>69</v>
      </c>
      <c r="F386" s="3">
        <v>22.342166188455501</v>
      </c>
      <c r="G386" s="3" t="str">
        <f t="shared" si="5"/>
        <v>Normal Weight</v>
      </c>
      <c r="H386" t="s">
        <v>345</v>
      </c>
      <c r="I386" t="s">
        <v>31</v>
      </c>
      <c r="J386" t="s">
        <v>20</v>
      </c>
      <c r="K386" t="s">
        <v>22</v>
      </c>
      <c r="L386" t="s">
        <v>32</v>
      </c>
      <c r="M386" t="s">
        <v>19</v>
      </c>
      <c r="N386" t="s">
        <v>21</v>
      </c>
      <c r="O386" t="s">
        <v>20</v>
      </c>
      <c r="P386" t="s">
        <v>19</v>
      </c>
      <c r="Q386" t="s">
        <v>40</v>
      </c>
    </row>
    <row r="387" spans="1:17" x14ac:dyDescent="0.35">
      <c r="A387">
        <v>632</v>
      </c>
      <c r="B387">
        <v>68</v>
      </c>
      <c r="C387" t="s">
        <v>16</v>
      </c>
      <c r="D387">
        <v>162</v>
      </c>
      <c r="E387">
        <v>98</v>
      </c>
      <c r="F387" s="3">
        <v>26.238911505345001</v>
      </c>
      <c r="G387" s="3" t="str">
        <f t="shared" ref="G387:G450" si="6">_xlfn.IFS(F387&lt;18.5, "Underweight", F387&lt;=24.9, "Normal Weight", F387&lt;=29.9, "Overweight", TRUE, "Obese")</f>
        <v>Overweight</v>
      </c>
      <c r="H387" t="s">
        <v>573</v>
      </c>
      <c r="I387" t="s">
        <v>31</v>
      </c>
      <c r="J387" t="s">
        <v>20</v>
      </c>
      <c r="K387" t="s">
        <v>22</v>
      </c>
      <c r="L387" t="s">
        <v>14</v>
      </c>
      <c r="M387" t="s">
        <v>20</v>
      </c>
      <c r="N387" t="s">
        <v>25</v>
      </c>
      <c r="O387" t="s">
        <v>20</v>
      </c>
      <c r="P387" t="s">
        <v>19</v>
      </c>
      <c r="Q387" t="s">
        <v>22</v>
      </c>
    </row>
    <row r="388" spans="1:17" x14ac:dyDescent="0.35">
      <c r="A388">
        <v>393</v>
      </c>
      <c r="B388">
        <v>53</v>
      </c>
      <c r="C388" t="s">
        <v>27</v>
      </c>
      <c r="D388">
        <v>176</v>
      </c>
      <c r="E388">
        <v>71</v>
      </c>
      <c r="F388" s="3">
        <v>25.924070625436102</v>
      </c>
      <c r="G388" s="3" t="str">
        <f t="shared" si="6"/>
        <v>Overweight</v>
      </c>
      <c r="H388" t="s">
        <v>76</v>
      </c>
      <c r="I388" t="s">
        <v>18</v>
      </c>
      <c r="J388" t="s">
        <v>19</v>
      </c>
      <c r="K388" t="s">
        <v>18</v>
      </c>
      <c r="L388" t="s">
        <v>14</v>
      </c>
      <c r="M388" t="s">
        <v>19</v>
      </c>
      <c r="N388" t="s">
        <v>25</v>
      </c>
      <c r="O388" t="s">
        <v>19</v>
      </c>
      <c r="P388" t="s">
        <v>19</v>
      </c>
      <c r="Q388" t="s">
        <v>40</v>
      </c>
    </row>
    <row r="389" spans="1:17" x14ac:dyDescent="0.35">
      <c r="A389">
        <v>394</v>
      </c>
      <c r="B389">
        <v>55</v>
      </c>
      <c r="C389" t="s">
        <v>16</v>
      </c>
      <c r="D389">
        <v>151</v>
      </c>
      <c r="E389">
        <v>50</v>
      </c>
      <c r="F389" s="3">
        <v>29.932997031908599</v>
      </c>
      <c r="G389" s="3" t="str">
        <f t="shared" si="6"/>
        <v>Obese</v>
      </c>
      <c r="H389" t="s">
        <v>68</v>
      </c>
      <c r="I389" t="s">
        <v>24</v>
      </c>
      <c r="J389" t="s">
        <v>20</v>
      </c>
      <c r="K389" t="s">
        <v>18</v>
      </c>
      <c r="L389" t="s">
        <v>14</v>
      </c>
      <c r="M389" t="s">
        <v>19</v>
      </c>
      <c r="N389" t="s">
        <v>25</v>
      </c>
      <c r="O389" t="s">
        <v>19</v>
      </c>
      <c r="P389" t="s">
        <v>20</v>
      </c>
      <c r="Q389" t="s">
        <v>18</v>
      </c>
    </row>
    <row r="390" spans="1:17" x14ac:dyDescent="0.35">
      <c r="A390">
        <v>395</v>
      </c>
      <c r="B390">
        <v>57</v>
      </c>
      <c r="C390" t="s">
        <v>27</v>
      </c>
      <c r="D390">
        <v>178</v>
      </c>
      <c r="E390">
        <v>69</v>
      </c>
      <c r="F390" s="3">
        <v>30.5971462392571</v>
      </c>
      <c r="G390" s="3" t="str">
        <f t="shared" si="6"/>
        <v>Obese</v>
      </c>
      <c r="H390" t="s">
        <v>386</v>
      </c>
      <c r="I390" t="s">
        <v>31</v>
      </c>
      <c r="J390" t="s">
        <v>20</v>
      </c>
      <c r="K390" t="s">
        <v>18</v>
      </c>
      <c r="L390" t="s">
        <v>29</v>
      </c>
      <c r="M390" t="s">
        <v>20</v>
      </c>
      <c r="N390" t="s">
        <v>21</v>
      </c>
      <c r="O390" t="s">
        <v>19</v>
      </c>
      <c r="P390" t="s">
        <v>19</v>
      </c>
      <c r="Q390" t="s">
        <v>22</v>
      </c>
    </row>
    <row r="391" spans="1:17" x14ac:dyDescent="0.35">
      <c r="A391">
        <v>980</v>
      </c>
      <c r="B391">
        <v>68</v>
      </c>
      <c r="C391" t="s">
        <v>16</v>
      </c>
      <c r="D391">
        <v>189</v>
      </c>
      <c r="E391">
        <v>77</v>
      </c>
      <c r="F391" s="3">
        <v>30.588109537466501</v>
      </c>
      <c r="G391" s="3" t="str">
        <f t="shared" si="6"/>
        <v>Obese</v>
      </c>
      <c r="H391" t="s">
        <v>791</v>
      </c>
      <c r="I391" t="s">
        <v>31</v>
      </c>
      <c r="J391" t="s">
        <v>19</v>
      </c>
      <c r="K391" t="s">
        <v>22</v>
      </c>
      <c r="L391" t="s">
        <v>32</v>
      </c>
      <c r="M391" t="s">
        <v>19</v>
      </c>
      <c r="N391" t="s">
        <v>25</v>
      </c>
      <c r="O391" t="s">
        <v>19</v>
      </c>
      <c r="P391" t="s">
        <v>19</v>
      </c>
      <c r="Q391" t="s">
        <v>22</v>
      </c>
    </row>
    <row r="392" spans="1:17" x14ac:dyDescent="0.35">
      <c r="A392">
        <v>396</v>
      </c>
      <c r="B392">
        <v>37</v>
      </c>
      <c r="C392" t="s">
        <v>16</v>
      </c>
      <c r="D392">
        <v>187</v>
      </c>
      <c r="E392">
        <v>71</v>
      </c>
      <c r="F392" s="3">
        <v>34.924454963270001</v>
      </c>
      <c r="G392" s="3" t="str">
        <f t="shared" si="6"/>
        <v>Obese</v>
      </c>
      <c r="H392" t="s">
        <v>224</v>
      </c>
      <c r="I392" t="s">
        <v>24</v>
      </c>
      <c r="J392" t="s">
        <v>20</v>
      </c>
      <c r="K392" t="s">
        <v>18</v>
      </c>
      <c r="L392" t="s">
        <v>29</v>
      </c>
      <c r="M392" t="s">
        <v>19</v>
      </c>
      <c r="N392" t="s">
        <v>25</v>
      </c>
      <c r="O392" t="s">
        <v>20</v>
      </c>
      <c r="P392" t="s">
        <v>20</v>
      </c>
      <c r="Q392" t="s">
        <v>40</v>
      </c>
    </row>
    <row r="393" spans="1:17" x14ac:dyDescent="0.35">
      <c r="A393">
        <v>1081</v>
      </c>
      <c r="B393">
        <v>68</v>
      </c>
      <c r="C393" t="s">
        <v>16</v>
      </c>
      <c r="D393">
        <v>188</v>
      </c>
      <c r="E393">
        <v>81</v>
      </c>
      <c r="F393" s="3">
        <v>30.275394671350501</v>
      </c>
      <c r="G393" s="3" t="str">
        <f t="shared" si="6"/>
        <v>Obese</v>
      </c>
      <c r="H393" t="s">
        <v>853</v>
      </c>
      <c r="I393" t="s">
        <v>18</v>
      </c>
      <c r="J393" t="s">
        <v>20</v>
      </c>
      <c r="K393" t="s">
        <v>22</v>
      </c>
      <c r="L393" t="s">
        <v>14</v>
      </c>
      <c r="M393" t="s">
        <v>19</v>
      </c>
      <c r="N393" t="s">
        <v>25</v>
      </c>
      <c r="O393" t="s">
        <v>20</v>
      </c>
      <c r="P393" t="s">
        <v>20</v>
      </c>
      <c r="Q393" t="s">
        <v>40</v>
      </c>
    </row>
    <row r="394" spans="1:17" x14ac:dyDescent="0.35">
      <c r="A394">
        <v>397</v>
      </c>
      <c r="B394">
        <v>79</v>
      </c>
      <c r="C394" t="s">
        <v>16</v>
      </c>
      <c r="D394">
        <v>152</v>
      </c>
      <c r="E394">
        <v>97</v>
      </c>
      <c r="F394" s="3">
        <v>23.243934789832</v>
      </c>
      <c r="G394" s="3" t="str">
        <f t="shared" si="6"/>
        <v>Normal Weight</v>
      </c>
      <c r="H394" t="s">
        <v>387</v>
      </c>
      <c r="I394" t="s">
        <v>18</v>
      </c>
      <c r="J394" t="s">
        <v>19</v>
      </c>
      <c r="K394" t="s">
        <v>40</v>
      </c>
      <c r="L394" t="s">
        <v>29</v>
      </c>
      <c r="M394" t="s">
        <v>20</v>
      </c>
      <c r="N394" t="s">
        <v>21</v>
      </c>
      <c r="O394" t="s">
        <v>19</v>
      </c>
      <c r="P394" t="s">
        <v>19</v>
      </c>
      <c r="Q394" t="s">
        <v>22</v>
      </c>
    </row>
    <row r="395" spans="1:17" x14ac:dyDescent="0.35">
      <c r="A395">
        <v>1105</v>
      </c>
      <c r="B395">
        <v>68</v>
      </c>
      <c r="C395" t="s">
        <v>27</v>
      </c>
      <c r="D395">
        <v>170</v>
      </c>
      <c r="E395">
        <v>78</v>
      </c>
      <c r="F395" s="3">
        <v>25.1580798752634</v>
      </c>
      <c r="G395" s="3" t="str">
        <f t="shared" si="6"/>
        <v>Overweight</v>
      </c>
      <c r="H395" t="s">
        <v>868</v>
      </c>
      <c r="I395" t="s">
        <v>18</v>
      </c>
      <c r="J395" t="s">
        <v>20</v>
      </c>
      <c r="K395" t="s">
        <v>22</v>
      </c>
      <c r="L395" t="s">
        <v>29</v>
      </c>
      <c r="M395" t="s">
        <v>19</v>
      </c>
      <c r="N395" t="s">
        <v>21</v>
      </c>
      <c r="O395" t="s">
        <v>19</v>
      </c>
      <c r="P395" t="s">
        <v>20</v>
      </c>
      <c r="Q395" t="s">
        <v>22</v>
      </c>
    </row>
    <row r="396" spans="1:17" x14ac:dyDescent="0.35">
      <c r="A396">
        <v>401</v>
      </c>
      <c r="B396">
        <v>42</v>
      </c>
      <c r="C396" t="s">
        <v>27</v>
      </c>
      <c r="D396">
        <v>151</v>
      </c>
      <c r="E396">
        <v>52</v>
      </c>
      <c r="F396" s="3">
        <v>21.291171248399898</v>
      </c>
      <c r="G396" s="3" t="str">
        <f t="shared" si="6"/>
        <v>Normal Weight</v>
      </c>
      <c r="H396" t="s">
        <v>390</v>
      </c>
      <c r="I396" t="s">
        <v>24</v>
      </c>
      <c r="J396" t="s">
        <v>19</v>
      </c>
      <c r="K396" t="s">
        <v>18</v>
      </c>
      <c r="L396" t="s">
        <v>29</v>
      </c>
      <c r="M396" t="s">
        <v>19</v>
      </c>
      <c r="N396" t="s">
        <v>21</v>
      </c>
      <c r="O396" t="s">
        <v>20</v>
      </c>
      <c r="P396" t="s">
        <v>19</v>
      </c>
      <c r="Q396" t="s">
        <v>22</v>
      </c>
    </row>
    <row r="397" spans="1:17" x14ac:dyDescent="0.35">
      <c r="A397">
        <v>403</v>
      </c>
      <c r="B397">
        <v>42</v>
      </c>
      <c r="C397" t="s">
        <v>27</v>
      </c>
      <c r="D397">
        <v>161</v>
      </c>
      <c r="E397">
        <v>61</v>
      </c>
      <c r="F397" s="3">
        <v>32.579733579998603</v>
      </c>
      <c r="G397" s="3" t="str">
        <f t="shared" si="6"/>
        <v>Obese</v>
      </c>
      <c r="H397" t="s">
        <v>85</v>
      </c>
      <c r="I397" t="s">
        <v>24</v>
      </c>
      <c r="J397" t="s">
        <v>20</v>
      </c>
      <c r="K397" t="s">
        <v>18</v>
      </c>
      <c r="L397" t="s">
        <v>32</v>
      </c>
      <c r="M397" t="s">
        <v>19</v>
      </c>
      <c r="N397" t="s">
        <v>21</v>
      </c>
      <c r="O397" t="s">
        <v>20</v>
      </c>
      <c r="P397" t="s">
        <v>20</v>
      </c>
      <c r="Q397" t="s">
        <v>18</v>
      </c>
    </row>
    <row r="398" spans="1:17" x14ac:dyDescent="0.35">
      <c r="A398">
        <v>1214</v>
      </c>
      <c r="B398">
        <v>68</v>
      </c>
      <c r="C398" t="s">
        <v>16</v>
      </c>
      <c r="D398">
        <v>163</v>
      </c>
      <c r="E398">
        <v>63</v>
      </c>
      <c r="F398" s="3">
        <v>20.8459927103913</v>
      </c>
      <c r="G398" s="3" t="str">
        <f t="shared" si="6"/>
        <v>Normal Weight</v>
      </c>
      <c r="H398" t="s">
        <v>838</v>
      </c>
      <c r="I398" t="s">
        <v>24</v>
      </c>
      <c r="J398" t="s">
        <v>19</v>
      </c>
      <c r="K398" t="s">
        <v>22</v>
      </c>
      <c r="L398" t="s">
        <v>14</v>
      </c>
      <c r="M398" t="s">
        <v>20</v>
      </c>
      <c r="N398" t="s">
        <v>21</v>
      </c>
      <c r="O398" t="s">
        <v>20</v>
      </c>
      <c r="P398" t="s">
        <v>19</v>
      </c>
      <c r="Q398" t="s">
        <v>22</v>
      </c>
    </row>
    <row r="399" spans="1:17" x14ac:dyDescent="0.35">
      <c r="A399">
        <v>404</v>
      </c>
      <c r="B399">
        <v>46</v>
      </c>
      <c r="C399" t="s">
        <v>16</v>
      </c>
      <c r="D399">
        <v>184</v>
      </c>
      <c r="E399">
        <v>72</v>
      </c>
      <c r="F399" s="3">
        <v>26.722494966854899</v>
      </c>
      <c r="G399" s="3" t="str">
        <f t="shared" si="6"/>
        <v>Overweight</v>
      </c>
      <c r="H399" t="s">
        <v>359</v>
      </c>
      <c r="I399" t="s">
        <v>31</v>
      </c>
      <c r="J399" t="s">
        <v>19</v>
      </c>
      <c r="K399" t="s">
        <v>18</v>
      </c>
      <c r="L399" t="s">
        <v>14</v>
      </c>
      <c r="M399" t="s">
        <v>20</v>
      </c>
      <c r="N399" t="s">
        <v>25</v>
      </c>
      <c r="O399" t="s">
        <v>19</v>
      </c>
      <c r="P399" t="s">
        <v>20</v>
      </c>
      <c r="Q399" t="s">
        <v>18</v>
      </c>
    </row>
    <row r="400" spans="1:17" x14ac:dyDescent="0.35">
      <c r="A400">
        <v>406</v>
      </c>
      <c r="B400">
        <v>63</v>
      </c>
      <c r="C400" t="s">
        <v>27</v>
      </c>
      <c r="D400">
        <v>164</v>
      </c>
      <c r="E400">
        <v>82</v>
      </c>
      <c r="F400" s="3">
        <v>22.249807383734399</v>
      </c>
      <c r="G400" s="3" t="str">
        <f t="shared" si="6"/>
        <v>Normal Weight</v>
      </c>
      <c r="H400" t="s">
        <v>392</v>
      </c>
      <c r="I400" t="s">
        <v>18</v>
      </c>
      <c r="J400" t="s">
        <v>20</v>
      </c>
      <c r="K400" t="s">
        <v>18</v>
      </c>
      <c r="L400" t="s">
        <v>14</v>
      </c>
      <c r="M400" t="s">
        <v>19</v>
      </c>
      <c r="N400" t="s">
        <v>21</v>
      </c>
      <c r="O400" t="s">
        <v>19</v>
      </c>
      <c r="P400" t="s">
        <v>20</v>
      </c>
      <c r="Q400" t="s">
        <v>22</v>
      </c>
    </row>
    <row r="401" spans="1:17" x14ac:dyDescent="0.35">
      <c r="A401">
        <v>407</v>
      </c>
      <c r="B401">
        <v>35</v>
      </c>
      <c r="C401" t="s">
        <v>16</v>
      </c>
      <c r="D401">
        <v>175</v>
      </c>
      <c r="E401">
        <v>67</v>
      </c>
      <c r="F401" s="3">
        <v>27.472486661463801</v>
      </c>
      <c r="G401" s="3" t="str">
        <f t="shared" si="6"/>
        <v>Overweight</v>
      </c>
      <c r="H401" t="s">
        <v>108</v>
      </c>
      <c r="I401" t="s">
        <v>18</v>
      </c>
      <c r="J401" t="s">
        <v>19</v>
      </c>
      <c r="K401" t="s">
        <v>18</v>
      </c>
      <c r="L401" t="s">
        <v>32</v>
      </c>
      <c r="M401" t="s">
        <v>19</v>
      </c>
      <c r="N401" t="s">
        <v>25</v>
      </c>
      <c r="O401" t="s">
        <v>19</v>
      </c>
      <c r="P401" t="s">
        <v>20</v>
      </c>
      <c r="Q401" t="s">
        <v>18</v>
      </c>
    </row>
    <row r="402" spans="1:17" x14ac:dyDescent="0.35">
      <c r="A402">
        <v>408</v>
      </c>
      <c r="B402">
        <v>19</v>
      </c>
      <c r="C402" t="s">
        <v>27</v>
      </c>
      <c r="D402">
        <v>186</v>
      </c>
      <c r="E402">
        <v>98</v>
      </c>
      <c r="F402" s="3">
        <v>29.967007196504301</v>
      </c>
      <c r="G402" s="3" t="str">
        <f t="shared" si="6"/>
        <v>Obese</v>
      </c>
      <c r="H402" t="s">
        <v>393</v>
      </c>
      <c r="I402" t="s">
        <v>18</v>
      </c>
      <c r="J402" t="s">
        <v>19</v>
      </c>
      <c r="K402" t="s">
        <v>18</v>
      </c>
      <c r="L402" t="s">
        <v>29</v>
      </c>
      <c r="M402" t="s">
        <v>20</v>
      </c>
      <c r="N402" t="s">
        <v>21</v>
      </c>
      <c r="O402" t="s">
        <v>19</v>
      </c>
      <c r="P402" t="s">
        <v>19</v>
      </c>
      <c r="Q402" t="s">
        <v>18</v>
      </c>
    </row>
    <row r="403" spans="1:17" x14ac:dyDescent="0.35">
      <c r="A403">
        <v>1428</v>
      </c>
      <c r="B403">
        <v>68</v>
      </c>
      <c r="C403" t="s">
        <v>27</v>
      </c>
      <c r="D403">
        <v>185</v>
      </c>
      <c r="E403">
        <v>78</v>
      </c>
      <c r="F403" s="3">
        <v>22.5698313729388</v>
      </c>
      <c r="G403" s="3" t="str">
        <f t="shared" si="6"/>
        <v>Normal Weight</v>
      </c>
      <c r="H403" t="s">
        <v>1039</v>
      </c>
      <c r="I403" t="s">
        <v>18</v>
      </c>
      <c r="J403" t="s">
        <v>20</v>
      </c>
      <c r="K403" t="s">
        <v>22</v>
      </c>
      <c r="L403" t="s">
        <v>38</v>
      </c>
      <c r="M403" t="s">
        <v>19</v>
      </c>
      <c r="N403" t="s">
        <v>25</v>
      </c>
      <c r="O403" t="s">
        <v>19</v>
      </c>
      <c r="P403" t="s">
        <v>19</v>
      </c>
      <c r="Q403" t="s">
        <v>22</v>
      </c>
    </row>
    <row r="404" spans="1:17" x14ac:dyDescent="0.35">
      <c r="A404">
        <v>1445</v>
      </c>
      <c r="B404">
        <v>68</v>
      </c>
      <c r="C404" t="s">
        <v>27</v>
      </c>
      <c r="D404">
        <v>179</v>
      </c>
      <c r="E404">
        <v>91</v>
      </c>
      <c r="F404" s="3">
        <v>29.789449740609999</v>
      </c>
      <c r="G404" s="3" t="str">
        <f t="shared" si="6"/>
        <v>Overweight</v>
      </c>
      <c r="H404" t="s">
        <v>311</v>
      </c>
      <c r="I404" t="s">
        <v>24</v>
      </c>
      <c r="J404" t="s">
        <v>20</v>
      </c>
      <c r="K404" t="s">
        <v>22</v>
      </c>
      <c r="L404" t="s">
        <v>14</v>
      </c>
      <c r="M404" t="s">
        <v>20</v>
      </c>
      <c r="N404" t="s">
        <v>25</v>
      </c>
      <c r="O404" t="s">
        <v>19</v>
      </c>
      <c r="P404" t="s">
        <v>19</v>
      </c>
      <c r="Q404" t="s">
        <v>22</v>
      </c>
    </row>
    <row r="405" spans="1:17" x14ac:dyDescent="0.35">
      <c r="A405">
        <v>409</v>
      </c>
      <c r="B405">
        <v>71</v>
      </c>
      <c r="C405" t="s">
        <v>27</v>
      </c>
      <c r="D405">
        <v>170</v>
      </c>
      <c r="E405">
        <v>90</v>
      </c>
      <c r="F405" s="3">
        <v>27.000255968378699</v>
      </c>
      <c r="G405" s="3" t="str">
        <f t="shared" si="6"/>
        <v>Overweight</v>
      </c>
      <c r="H405" t="s">
        <v>394</v>
      </c>
      <c r="I405" t="s">
        <v>31</v>
      </c>
      <c r="J405" t="s">
        <v>19</v>
      </c>
      <c r="K405" t="s">
        <v>40</v>
      </c>
      <c r="L405" t="s">
        <v>14</v>
      </c>
      <c r="M405" t="s">
        <v>20</v>
      </c>
      <c r="N405" t="s">
        <v>21</v>
      </c>
      <c r="O405" t="s">
        <v>20</v>
      </c>
      <c r="P405" t="s">
        <v>19</v>
      </c>
      <c r="Q405" t="s">
        <v>18</v>
      </c>
    </row>
    <row r="406" spans="1:17" x14ac:dyDescent="0.35">
      <c r="A406">
        <v>410</v>
      </c>
      <c r="B406">
        <v>52</v>
      </c>
      <c r="C406" t="s">
        <v>27</v>
      </c>
      <c r="D406">
        <v>180</v>
      </c>
      <c r="E406">
        <v>58</v>
      </c>
      <c r="F406" s="3">
        <v>34.839705314651503</v>
      </c>
      <c r="G406" s="3" t="str">
        <f t="shared" si="6"/>
        <v>Obese</v>
      </c>
      <c r="H406" t="s">
        <v>395</v>
      </c>
      <c r="I406" t="s">
        <v>24</v>
      </c>
      <c r="J406" t="s">
        <v>20</v>
      </c>
      <c r="K406" t="s">
        <v>18</v>
      </c>
      <c r="L406" t="s">
        <v>38</v>
      </c>
      <c r="M406" t="s">
        <v>20</v>
      </c>
      <c r="N406" t="s">
        <v>25</v>
      </c>
      <c r="O406" t="s">
        <v>19</v>
      </c>
      <c r="P406" t="s">
        <v>19</v>
      </c>
      <c r="Q406" t="s">
        <v>22</v>
      </c>
    </row>
    <row r="407" spans="1:17" x14ac:dyDescent="0.35">
      <c r="A407">
        <v>413</v>
      </c>
      <c r="B407">
        <v>58</v>
      </c>
      <c r="C407" t="s">
        <v>16</v>
      </c>
      <c r="D407">
        <v>173</v>
      </c>
      <c r="E407">
        <v>68</v>
      </c>
      <c r="F407" s="3">
        <v>31.240508455661299</v>
      </c>
      <c r="G407" s="3" t="str">
        <f t="shared" si="6"/>
        <v>Obese</v>
      </c>
      <c r="H407" t="s">
        <v>286</v>
      </c>
      <c r="I407" t="s">
        <v>24</v>
      </c>
      <c r="J407" t="s">
        <v>20</v>
      </c>
      <c r="K407" t="s">
        <v>18</v>
      </c>
      <c r="L407" t="s">
        <v>32</v>
      </c>
      <c r="M407" t="s">
        <v>19</v>
      </c>
      <c r="N407" t="s">
        <v>25</v>
      </c>
      <c r="O407" t="s">
        <v>20</v>
      </c>
      <c r="P407" t="s">
        <v>19</v>
      </c>
      <c r="Q407" t="s">
        <v>22</v>
      </c>
    </row>
    <row r="408" spans="1:17" x14ac:dyDescent="0.35">
      <c r="A408">
        <v>1506</v>
      </c>
      <c r="B408">
        <v>68</v>
      </c>
      <c r="C408" t="s">
        <v>16</v>
      </c>
      <c r="D408">
        <v>156</v>
      </c>
      <c r="E408">
        <v>77</v>
      </c>
      <c r="F408" s="3">
        <v>29.820504040067501</v>
      </c>
      <c r="G408" s="3" t="str">
        <f t="shared" si="6"/>
        <v>Overweight</v>
      </c>
      <c r="H408" t="s">
        <v>534</v>
      </c>
      <c r="I408" t="s">
        <v>18</v>
      </c>
      <c r="J408" t="s">
        <v>20</v>
      </c>
      <c r="K408" t="s">
        <v>22</v>
      </c>
      <c r="L408" t="s">
        <v>38</v>
      </c>
      <c r="M408" t="s">
        <v>19</v>
      </c>
      <c r="N408" t="s">
        <v>21</v>
      </c>
      <c r="O408" t="s">
        <v>20</v>
      </c>
      <c r="P408" t="s">
        <v>19</v>
      </c>
      <c r="Q408" t="s">
        <v>22</v>
      </c>
    </row>
    <row r="409" spans="1:17" x14ac:dyDescent="0.35">
      <c r="A409">
        <v>1554</v>
      </c>
      <c r="B409">
        <v>68</v>
      </c>
      <c r="C409" t="s">
        <v>27</v>
      </c>
      <c r="D409">
        <v>168</v>
      </c>
      <c r="E409">
        <v>81</v>
      </c>
      <c r="F409" s="3">
        <v>29.772396793456998</v>
      </c>
      <c r="G409" s="3" t="str">
        <f t="shared" si="6"/>
        <v>Overweight</v>
      </c>
      <c r="H409" t="s">
        <v>1006</v>
      </c>
      <c r="I409" t="s">
        <v>18</v>
      </c>
      <c r="J409" t="s">
        <v>20</v>
      </c>
      <c r="K409" t="s">
        <v>22</v>
      </c>
      <c r="L409" t="s">
        <v>29</v>
      </c>
      <c r="M409" t="s">
        <v>19</v>
      </c>
      <c r="N409" t="s">
        <v>25</v>
      </c>
      <c r="O409" t="s">
        <v>19</v>
      </c>
      <c r="P409" t="s">
        <v>19</v>
      </c>
      <c r="Q409" t="s">
        <v>40</v>
      </c>
    </row>
    <row r="410" spans="1:17" x14ac:dyDescent="0.35">
      <c r="A410">
        <v>1575</v>
      </c>
      <c r="B410">
        <v>68</v>
      </c>
      <c r="C410" t="s">
        <v>27</v>
      </c>
      <c r="D410">
        <v>188</v>
      </c>
      <c r="E410">
        <v>85</v>
      </c>
      <c r="F410" s="3">
        <v>27.651238104983801</v>
      </c>
      <c r="G410" s="3" t="str">
        <f t="shared" si="6"/>
        <v>Overweight</v>
      </c>
      <c r="H410" t="s">
        <v>1108</v>
      </c>
      <c r="I410" t="s">
        <v>18</v>
      </c>
      <c r="J410" t="s">
        <v>19</v>
      </c>
      <c r="K410" t="s">
        <v>22</v>
      </c>
      <c r="L410" t="s">
        <v>32</v>
      </c>
      <c r="M410" t="s">
        <v>20</v>
      </c>
      <c r="N410" t="s">
        <v>25</v>
      </c>
      <c r="O410" t="s">
        <v>19</v>
      </c>
      <c r="P410" t="s">
        <v>20</v>
      </c>
      <c r="Q410" t="s">
        <v>40</v>
      </c>
    </row>
    <row r="411" spans="1:17" x14ac:dyDescent="0.35">
      <c r="A411">
        <v>414</v>
      </c>
      <c r="B411">
        <v>53</v>
      </c>
      <c r="C411" t="s">
        <v>16</v>
      </c>
      <c r="D411">
        <v>187</v>
      </c>
      <c r="E411">
        <v>96</v>
      </c>
      <c r="F411" s="3">
        <v>21.312631441097</v>
      </c>
      <c r="G411" s="3" t="str">
        <f t="shared" si="6"/>
        <v>Normal Weight</v>
      </c>
      <c r="H411" t="s">
        <v>396</v>
      </c>
      <c r="I411" t="s">
        <v>31</v>
      </c>
      <c r="J411" t="s">
        <v>20</v>
      </c>
      <c r="K411" t="s">
        <v>18</v>
      </c>
      <c r="L411" t="s">
        <v>32</v>
      </c>
      <c r="M411" t="s">
        <v>20</v>
      </c>
      <c r="N411" t="s">
        <v>25</v>
      </c>
      <c r="O411" t="s">
        <v>20</v>
      </c>
      <c r="P411" t="s">
        <v>20</v>
      </c>
      <c r="Q411" t="s">
        <v>18</v>
      </c>
    </row>
    <row r="412" spans="1:17" x14ac:dyDescent="0.35">
      <c r="A412">
        <v>418</v>
      </c>
      <c r="B412">
        <v>31</v>
      </c>
      <c r="C412" t="s">
        <v>27</v>
      </c>
      <c r="D412">
        <v>185</v>
      </c>
      <c r="E412">
        <v>79</v>
      </c>
      <c r="F412" s="3">
        <v>31.399367127823901</v>
      </c>
      <c r="G412" s="3" t="str">
        <f t="shared" si="6"/>
        <v>Obese</v>
      </c>
      <c r="H412" t="s">
        <v>400</v>
      </c>
      <c r="I412" t="s">
        <v>24</v>
      </c>
      <c r="J412" t="s">
        <v>19</v>
      </c>
      <c r="K412" t="s">
        <v>18</v>
      </c>
      <c r="L412" t="s">
        <v>38</v>
      </c>
      <c r="M412" t="s">
        <v>19</v>
      </c>
      <c r="N412" t="s">
        <v>21</v>
      </c>
      <c r="O412" t="s">
        <v>20</v>
      </c>
      <c r="P412" t="s">
        <v>20</v>
      </c>
      <c r="Q412" t="s">
        <v>40</v>
      </c>
    </row>
    <row r="413" spans="1:17" x14ac:dyDescent="0.35">
      <c r="A413">
        <v>421</v>
      </c>
      <c r="B413">
        <v>37</v>
      </c>
      <c r="C413" t="s">
        <v>16</v>
      </c>
      <c r="D413">
        <v>187</v>
      </c>
      <c r="E413">
        <v>83</v>
      </c>
      <c r="F413" s="3">
        <v>28.0120669018077</v>
      </c>
      <c r="G413" s="3" t="str">
        <f t="shared" si="6"/>
        <v>Overweight</v>
      </c>
      <c r="H413" t="s">
        <v>403</v>
      </c>
      <c r="I413" t="s">
        <v>31</v>
      </c>
      <c r="J413" t="s">
        <v>19</v>
      </c>
      <c r="K413" t="s">
        <v>18</v>
      </c>
      <c r="L413" t="s">
        <v>38</v>
      </c>
      <c r="M413" t="s">
        <v>19</v>
      </c>
      <c r="N413" t="s">
        <v>21</v>
      </c>
      <c r="O413" t="s">
        <v>19</v>
      </c>
      <c r="P413" t="s">
        <v>19</v>
      </c>
      <c r="Q413" t="s">
        <v>22</v>
      </c>
    </row>
    <row r="414" spans="1:17" x14ac:dyDescent="0.35">
      <c r="A414">
        <v>1671</v>
      </c>
      <c r="B414">
        <v>68</v>
      </c>
      <c r="C414" t="s">
        <v>27</v>
      </c>
      <c r="D414">
        <v>157</v>
      </c>
      <c r="E414">
        <v>90</v>
      </c>
      <c r="F414" s="3">
        <v>31.829218955139201</v>
      </c>
      <c r="G414" s="3" t="str">
        <f t="shared" si="6"/>
        <v>Obese</v>
      </c>
      <c r="H414" t="s">
        <v>572</v>
      </c>
      <c r="I414" t="s">
        <v>24</v>
      </c>
      <c r="J414" t="s">
        <v>19</v>
      </c>
      <c r="K414" t="s">
        <v>22</v>
      </c>
      <c r="L414" t="s">
        <v>38</v>
      </c>
      <c r="M414" t="s">
        <v>19</v>
      </c>
      <c r="N414" t="s">
        <v>25</v>
      </c>
      <c r="O414" t="s">
        <v>20</v>
      </c>
      <c r="P414" t="s">
        <v>19</v>
      </c>
      <c r="Q414" t="s">
        <v>22</v>
      </c>
    </row>
    <row r="415" spans="1:17" x14ac:dyDescent="0.35">
      <c r="A415">
        <v>422</v>
      </c>
      <c r="B415">
        <v>73</v>
      </c>
      <c r="C415" t="s">
        <v>16</v>
      </c>
      <c r="D415">
        <v>179</v>
      </c>
      <c r="E415">
        <v>94</v>
      </c>
      <c r="F415" s="3">
        <v>24.1441456718496</v>
      </c>
      <c r="G415" s="3" t="str">
        <f t="shared" si="6"/>
        <v>Normal Weight</v>
      </c>
      <c r="H415" t="s">
        <v>404</v>
      </c>
      <c r="I415" t="s">
        <v>18</v>
      </c>
      <c r="J415" t="s">
        <v>20</v>
      </c>
      <c r="K415" t="s">
        <v>40</v>
      </c>
      <c r="L415" t="s">
        <v>32</v>
      </c>
      <c r="M415" t="s">
        <v>19</v>
      </c>
      <c r="N415" t="s">
        <v>25</v>
      </c>
      <c r="O415" t="s">
        <v>20</v>
      </c>
      <c r="P415" t="s">
        <v>19</v>
      </c>
      <c r="Q415" t="s">
        <v>40</v>
      </c>
    </row>
    <row r="416" spans="1:17" x14ac:dyDescent="0.35">
      <c r="A416">
        <v>424</v>
      </c>
      <c r="B416">
        <v>24</v>
      </c>
      <c r="C416" t="s">
        <v>27</v>
      </c>
      <c r="D416">
        <v>181</v>
      </c>
      <c r="E416">
        <v>96</v>
      </c>
      <c r="F416" s="3">
        <v>22.431779564126</v>
      </c>
      <c r="G416" s="3" t="str">
        <f t="shared" si="6"/>
        <v>Normal Weight</v>
      </c>
      <c r="H416" t="s">
        <v>405</v>
      </c>
      <c r="I416" t="s">
        <v>31</v>
      </c>
      <c r="J416" t="s">
        <v>19</v>
      </c>
      <c r="K416" t="s">
        <v>18</v>
      </c>
      <c r="L416" t="s">
        <v>38</v>
      </c>
      <c r="M416" t="s">
        <v>19</v>
      </c>
      <c r="N416" t="s">
        <v>25</v>
      </c>
      <c r="O416" t="s">
        <v>20</v>
      </c>
      <c r="P416" t="s">
        <v>19</v>
      </c>
      <c r="Q416" t="s">
        <v>22</v>
      </c>
    </row>
    <row r="417" spans="1:17" x14ac:dyDescent="0.35">
      <c r="A417">
        <v>1853</v>
      </c>
      <c r="B417">
        <v>68</v>
      </c>
      <c r="C417" t="s">
        <v>16</v>
      </c>
      <c r="D417">
        <v>173</v>
      </c>
      <c r="E417">
        <v>80</v>
      </c>
      <c r="F417" s="3">
        <v>24.006119424997799</v>
      </c>
      <c r="G417" s="3" t="str">
        <f t="shared" si="6"/>
        <v>Normal Weight</v>
      </c>
      <c r="H417" t="s">
        <v>741</v>
      </c>
      <c r="I417" t="s">
        <v>31</v>
      </c>
      <c r="J417" t="s">
        <v>20</v>
      </c>
      <c r="K417" t="s">
        <v>22</v>
      </c>
      <c r="L417" t="s">
        <v>32</v>
      </c>
      <c r="M417" t="s">
        <v>19</v>
      </c>
      <c r="N417" t="s">
        <v>25</v>
      </c>
      <c r="O417" t="s">
        <v>20</v>
      </c>
      <c r="P417" t="s">
        <v>20</v>
      </c>
      <c r="Q417" t="s">
        <v>18</v>
      </c>
    </row>
    <row r="418" spans="1:17" x14ac:dyDescent="0.35">
      <c r="A418">
        <v>1856</v>
      </c>
      <c r="B418">
        <v>68</v>
      </c>
      <c r="C418" t="s">
        <v>27</v>
      </c>
      <c r="D418">
        <v>151</v>
      </c>
      <c r="E418">
        <v>56</v>
      </c>
      <c r="F418" s="3">
        <v>19.3591947026509</v>
      </c>
      <c r="G418" s="3" t="str">
        <f t="shared" si="6"/>
        <v>Normal Weight</v>
      </c>
      <c r="H418" t="s">
        <v>1220</v>
      </c>
      <c r="I418" t="s">
        <v>24</v>
      </c>
      <c r="J418" t="s">
        <v>20</v>
      </c>
      <c r="K418" t="s">
        <v>22</v>
      </c>
      <c r="L418" t="s">
        <v>32</v>
      </c>
      <c r="M418" t="s">
        <v>20</v>
      </c>
      <c r="N418" t="s">
        <v>21</v>
      </c>
      <c r="O418" t="s">
        <v>19</v>
      </c>
      <c r="P418" t="s">
        <v>20</v>
      </c>
      <c r="Q418" t="s">
        <v>22</v>
      </c>
    </row>
    <row r="419" spans="1:17" x14ac:dyDescent="0.35">
      <c r="A419">
        <v>1915</v>
      </c>
      <c r="B419">
        <v>68</v>
      </c>
      <c r="C419" t="s">
        <v>27</v>
      </c>
      <c r="D419">
        <v>162</v>
      </c>
      <c r="E419">
        <v>58</v>
      </c>
      <c r="F419" s="3">
        <v>26.800697904481499</v>
      </c>
      <c r="G419" s="3" t="str">
        <f t="shared" si="6"/>
        <v>Overweight</v>
      </c>
      <c r="H419" t="s">
        <v>1058</v>
      </c>
      <c r="I419" t="s">
        <v>31</v>
      </c>
      <c r="J419" t="s">
        <v>19</v>
      </c>
      <c r="K419" t="s">
        <v>22</v>
      </c>
      <c r="L419" t="s">
        <v>38</v>
      </c>
      <c r="M419" t="s">
        <v>20</v>
      </c>
      <c r="N419" t="s">
        <v>25</v>
      </c>
      <c r="O419" t="s">
        <v>19</v>
      </c>
      <c r="P419" t="s">
        <v>20</v>
      </c>
      <c r="Q419" t="s">
        <v>22</v>
      </c>
    </row>
    <row r="420" spans="1:17" x14ac:dyDescent="0.35">
      <c r="A420">
        <v>1975</v>
      </c>
      <c r="B420">
        <v>68</v>
      </c>
      <c r="C420" t="s">
        <v>27</v>
      </c>
      <c r="D420">
        <v>186</v>
      </c>
      <c r="E420">
        <v>93</v>
      </c>
      <c r="F420" s="3">
        <v>23.7892932019552</v>
      </c>
      <c r="G420" s="3" t="str">
        <f t="shared" si="6"/>
        <v>Normal Weight</v>
      </c>
      <c r="H420" t="s">
        <v>406</v>
      </c>
      <c r="I420" t="s">
        <v>18</v>
      </c>
      <c r="J420" t="s">
        <v>20</v>
      </c>
      <c r="K420" t="s">
        <v>22</v>
      </c>
      <c r="L420" t="s">
        <v>32</v>
      </c>
      <c r="M420" t="s">
        <v>20</v>
      </c>
      <c r="N420" t="s">
        <v>21</v>
      </c>
      <c r="O420" t="s">
        <v>20</v>
      </c>
      <c r="P420" t="s">
        <v>19</v>
      </c>
      <c r="Q420" t="s">
        <v>40</v>
      </c>
    </row>
    <row r="421" spans="1:17" x14ac:dyDescent="0.35">
      <c r="A421">
        <v>427</v>
      </c>
      <c r="B421">
        <v>50</v>
      </c>
      <c r="C421" t="s">
        <v>27</v>
      </c>
      <c r="D421">
        <v>177</v>
      </c>
      <c r="E421">
        <v>63</v>
      </c>
      <c r="F421" s="3">
        <v>22.804012558374399</v>
      </c>
      <c r="G421" s="3" t="str">
        <f t="shared" si="6"/>
        <v>Normal Weight</v>
      </c>
      <c r="H421" t="s">
        <v>408</v>
      </c>
      <c r="I421" t="s">
        <v>18</v>
      </c>
      <c r="J421" t="s">
        <v>19</v>
      </c>
      <c r="K421" t="s">
        <v>18</v>
      </c>
      <c r="L421" t="s">
        <v>38</v>
      </c>
      <c r="M421" t="s">
        <v>19</v>
      </c>
      <c r="N421" t="s">
        <v>21</v>
      </c>
      <c r="O421" t="s">
        <v>19</v>
      </c>
      <c r="P421" t="s">
        <v>19</v>
      </c>
      <c r="Q421" t="s">
        <v>18</v>
      </c>
    </row>
    <row r="422" spans="1:17" x14ac:dyDescent="0.35">
      <c r="A422">
        <v>428</v>
      </c>
      <c r="B422">
        <v>65</v>
      </c>
      <c r="C422" t="s">
        <v>27</v>
      </c>
      <c r="D422">
        <v>164</v>
      </c>
      <c r="E422">
        <v>91</v>
      </c>
      <c r="F422" s="3">
        <v>18.649936076694999</v>
      </c>
      <c r="G422" s="3" t="str">
        <f t="shared" si="6"/>
        <v>Normal Weight</v>
      </c>
      <c r="H422" t="s">
        <v>409</v>
      </c>
      <c r="I422" t="s">
        <v>18</v>
      </c>
      <c r="J422" t="s">
        <v>20</v>
      </c>
      <c r="K422" t="s">
        <v>18</v>
      </c>
      <c r="L422" t="s">
        <v>32</v>
      </c>
      <c r="M422" t="s">
        <v>20</v>
      </c>
      <c r="N422" t="s">
        <v>25</v>
      </c>
      <c r="O422" t="s">
        <v>19</v>
      </c>
      <c r="P422" t="s">
        <v>20</v>
      </c>
      <c r="Q422" t="s">
        <v>40</v>
      </c>
    </row>
    <row r="423" spans="1:17" x14ac:dyDescent="0.35">
      <c r="A423">
        <v>430</v>
      </c>
      <c r="B423">
        <v>76</v>
      </c>
      <c r="C423" t="s">
        <v>16</v>
      </c>
      <c r="D423">
        <v>189</v>
      </c>
      <c r="E423">
        <v>79</v>
      </c>
      <c r="F423" s="3">
        <v>26.933048054294499</v>
      </c>
      <c r="G423" s="3" t="str">
        <f t="shared" si="6"/>
        <v>Overweight</v>
      </c>
      <c r="H423" t="s">
        <v>411</v>
      </c>
      <c r="I423" t="s">
        <v>31</v>
      </c>
      <c r="J423" t="s">
        <v>19</v>
      </c>
      <c r="K423" t="s">
        <v>40</v>
      </c>
      <c r="L423" t="s">
        <v>14</v>
      </c>
      <c r="M423" t="s">
        <v>20</v>
      </c>
      <c r="N423" t="s">
        <v>21</v>
      </c>
      <c r="O423" t="s">
        <v>20</v>
      </c>
      <c r="P423" t="s">
        <v>19</v>
      </c>
      <c r="Q423" t="s">
        <v>40</v>
      </c>
    </row>
    <row r="424" spans="1:17" x14ac:dyDescent="0.35">
      <c r="A424">
        <v>431</v>
      </c>
      <c r="B424">
        <v>68</v>
      </c>
      <c r="C424" t="s">
        <v>27</v>
      </c>
      <c r="D424">
        <v>160</v>
      </c>
      <c r="E424">
        <v>90</v>
      </c>
      <c r="F424" s="3">
        <v>25.851043939137099</v>
      </c>
      <c r="G424" s="3" t="str">
        <f t="shared" si="6"/>
        <v>Overweight</v>
      </c>
      <c r="H424" t="s">
        <v>412</v>
      </c>
      <c r="I424" t="s">
        <v>31</v>
      </c>
      <c r="J424" t="s">
        <v>19</v>
      </c>
      <c r="K424" t="s">
        <v>18</v>
      </c>
      <c r="L424" t="s">
        <v>38</v>
      </c>
      <c r="M424" t="s">
        <v>19</v>
      </c>
      <c r="N424" t="s">
        <v>21</v>
      </c>
      <c r="O424" t="s">
        <v>20</v>
      </c>
      <c r="P424" t="s">
        <v>19</v>
      </c>
      <c r="Q424" t="s">
        <v>18</v>
      </c>
    </row>
    <row r="425" spans="1:17" x14ac:dyDescent="0.35">
      <c r="A425">
        <v>432</v>
      </c>
      <c r="B425">
        <v>39</v>
      </c>
      <c r="C425" t="s">
        <v>27</v>
      </c>
      <c r="D425">
        <v>181</v>
      </c>
      <c r="E425">
        <v>74</v>
      </c>
      <c r="F425" s="3">
        <v>34.4549804912022</v>
      </c>
      <c r="G425" s="3" t="str">
        <f t="shared" si="6"/>
        <v>Obese</v>
      </c>
      <c r="H425" t="s">
        <v>207</v>
      </c>
      <c r="I425" t="s">
        <v>18</v>
      </c>
      <c r="J425" t="s">
        <v>19</v>
      </c>
      <c r="K425" t="s">
        <v>18</v>
      </c>
      <c r="L425" t="s">
        <v>14</v>
      </c>
      <c r="M425" t="s">
        <v>19</v>
      </c>
      <c r="N425" t="s">
        <v>21</v>
      </c>
      <c r="O425" t="s">
        <v>20</v>
      </c>
      <c r="P425" t="s">
        <v>19</v>
      </c>
      <c r="Q425" t="s">
        <v>22</v>
      </c>
    </row>
    <row r="426" spans="1:17" x14ac:dyDescent="0.35">
      <c r="A426">
        <v>433</v>
      </c>
      <c r="B426">
        <v>72</v>
      </c>
      <c r="C426" t="s">
        <v>16</v>
      </c>
      <c r="D426">
        <v>185</v>
      </c>
      <c r="E426">
        <v>63</v>
      </c>
      <c r="F426" s="3">
        <v>27.924786535388002</v>
      </c>
      <c r="G426" s="3" t="str">
        <f t="shared" si="6"/>
        <v>Overweight</v>
      </c>
      <c r="H426" t="s">
        <v>413</v>
      </c>
      <c r="I426" t="s">
        <v>24</v>
      </c>
      <c r="J426" t="s">
        <v>19</v>
      </c>
      <c r="K426" t="s">
        <v>40</v>
      </c>
      <c r="L426" t="s">
        <v>38</v>
      </c>
      <c r="M426" t="s">
        <v>19</v>
      </c>
      <c r="N426" t="s">
        <v>21</v>
      </c>
      <c r="O426" t="s">
        <v>20</v>
      </c>
      <c r="P426" t="s">
        <v>19</v>
      </c>
      <c r="Q426" t="s">
        <v>40</v>
      </c>
    </row>
    <row r="427" spans="1:17" x14ac:dyDescent="0.35">
      <c r="A427">
        <v>690</v>
      </c>
      <c r="B427">
        <v>67</v>
      </c>
      <c r="C427" t="s">
        <v>27</v>
      </c>
      <c r="D427">
        <v>180</v>
      </c>
      <c r="E427">
        <v>86</v>
      </c>
      <c r="F427" s="3">
        <v>23.0245126705484</v>
      </c>
      <c r="G427" s="3" t="str">
        <f t="shared" si="6"/>
        <v>Normal Weight</v>
      </c>
      <c r="H427" t="s">
        <v>300</v>
      </c>
      <c r="I427" t="s">
        <v>18</v>
      </c>
      <c r="J427" t="s">
        <v>19</v>
      </c>
      <c r="K427" t="s">
        <v>22</v>
      </c>
      <c r="L427" t="s">
        <v>14</v>
      </c>
      <c r="M427" t="s">
        <v>20</v>
      </c>
      <c r="N427" t="s">
        <v>21</v>
      </c>
      <c r="O427" t="s">
        <v>20</v>
      </c>
      <c r="P427" t="s">
        <v>20</v>
      </c>
      <c r="Q427" t="s">
        <v>40</v>
      </c>
    </row>
    <row r="428" spans="1:17" x14ac:dyDescent="0.35">
      <c r="A428">
        <v>434</v>
      </c>
      <c r="B428">
        <v>39</v>
      </c>
      <c r="C428" t="s">
        <v>16</v>
      </c>
      <c r="D428">
        <v>182</v>
      </c>
      <c r="E428">
        <v>84</v>
      </c>
      <c r="F428" s="3">
        <v>32.746621033524796</v>
      </c>
      <c r="G428" s="3" t="str">
        <f t="shared" si="6"/>
        <v>Obese</v>
      </c>
      <c r="H428" t="s">
        <v>414</v>
      </c>
      <c r="I428" t="s">
        <v>24</v>
      </c>
      <c r="J428" t="s">
        <v>20</v>
      </c>
      <c r="K428" t="s">
        <v>18</v>
      </c>
      <c r="L428" t="s">
        <v>29</v>
      </c>
      <c r="M428" t="s">
        <v>20</v>
      </c>
      <c r="N428" t="s">
        <v>25</v>
      </c>
      <c r="O428" t="s">
        <v>19</v>
      </c>
      <c r="P428" t="s">
        <v>19</v>
      </c>
      <c r="Q428" t="s">
        <v>40</v>
      </c>
    </row>
    <row r="429" spans="1:17" x14ac:dyDescent="0.35">
      <c r="A429">
        <v>435</v>
      </c>
      <c r="B429">
        <v>63</v>
      </c>
      <c r="C429" t="s">
        <v>27</v>
      </c>
      <c r="D429">
        <v>173</v>
      </c>
      <c r="E429">
        <v>97</v>
      </c>
      <c r="F429" s="3">
        <v>20.800928897385099</v>
      </c>
      <c r="G429" s="3" t="str">
        <f t="shared" si="6"/>
        <v>Normal Weight</v>
      </c>
      <c r="H429" t="s">
        <v>415</v>
      </c>
      <c r="I429" t="s">
        <v>31</v>
      </c>
      <c r="J429" t="s">
        <v>19</v>
      </c>
      <c r="K429" t="s">
        <v>18</v>
      </c>
      <c r="L429" t="s">
        <v>38</v>
      </c>
      <c r="M429" t="s">
        <v>19</v>
      </c>
      <c r="N429" t="s">
        <v>25</v>
      </c>
      <c r="O429" t="s">
        <v>20</v>
      </c>
      <c r="P429" t="s">
        <v>19</v>
      </c>
      <c r="Q429" t="s">
        <v>40</v>
      </c>
    </row>
    <row r="430" spans="1:17" x14ac:dyDescent="0.35">
      <c r="A430">
        <v>842</v>
      </c>
      <c r="B430">
        <v>67</v>
      </c>
      <c r="C430" t="s">
        <v>27</v>
      </c>
      <c r="D430">
        <v>165</v>
      </c>
      <c r="E430">
        <v>57</v>
      </c>
      <c r="F430" s="3">
        <v>34.627730039366199</v>
      </c>
      <c r="G430" s="3" t="str">
        <f t="shared" si="6"/>
        <v>Obese</v>
      </c>
      <c r="H430" t="s">
        <v>715</v>
      </c>
      <c r="I430" t="s">
        <v>18</v>
      </c>
      <c r="J430" t="s">
        <v>19</v>
      </c>
      <c r="K430" t="s">
        <v>22</v>
      </c>
      <c r="L430" t="s">
        <v>29</v>
      </c>
      <c r="M430" t="s">
        <v>19</v>
      </c>
      <c r="N430" t="s">
        <v>21</v>
      </c>
      <c r="O430" t="s">
        <v>19</v>
      </c>
      <c r="P430" t="s">
        <v>19</v>
      </c>
      <c r="Q430" t="s">
        <v>40</v>
      </c>
    </row>
    <row r="431" spans="1:17" x14ac:dyDescent="0.35">
      <c r="A431">
        <v>436</v>
      </c>
      <c r="B431">
        <v>47</v>
      </c>
      <c r="C431" t="s">
        <v>27</v>
      </c>
      <c r="D431">
        <v>188</v>
      </c>
      <c r="E431">
        <v>83</v>
      </c>
      <c r="F431" s="3">
        <v>27.891906641635501</v>
      </c>
      <c r="G431" s="3" t="str">
        <f t="shared" si="6"/>
        <v>Overweight</v>
      </c>
      <c r="H431" t="s">
        <v>416</v>
      </c>
      <c r="I431" t="s">
        <v>18</v>
      </c>
      <c r="J431" t="s">
        <v>20</v>
      </c>
      <c r="K431" t="s">
        <v>18</v>
      </c>
      <c r="L431" t="s">
        <v>32</v>
      </c>
      <c r="M431" t="s">
        <v>19</v>
      </c>
      <c r="N431" t="s">
        <v>21</v>
      </c>
      <c r="O431" t="s">
        <v>20</v>
      </c>
      <c r="P431" t="s">
        <v>19</v>
      </c>
      <c r="Q431" t="s">
        <v>18</v>
      </c>
    </row>
    <row r="432" spans="1:17" x14ac:dyDescent="0.35">
      <c r="A432">
        <v>438</v>
      </c>
      <c r="B432">
        <v>55</v>
      </c>
      <c r="C432" t="s">
        <v>16</v>
      </c>
      <c r="D432">
        <v>177</v>
      </c>
      <c r="E432">
        <v>84</v>
      </c>
      <c r="F432" s="3">
        <v>28.1212449951183</v>
      </c>
      <c r="G432" s="3" t="str">
        <f t="shared" si="6"/>
        <v>Overweight</v>
      </c>
      <c r="H432" t="s">
        <v>418</v>
      </c>
      <c r="I432" t="s">
        <v>18</v>
      </c>
      <c r="J432" t="s">
        <v>20</v>
      </c>
      <c r="K432" t="s">
        <v>18</v>
      </c>
      <c r="L432" t="s">
        <v>29</v>
      </c>
      <c r="M432" t="s">
        <v>20</v>
      </c>
      <c r="N432" t="s">
        <v>25</v>
      </c>
      <c r="O432" t="s">
        <v>19</v>
      </c>
      <c r="P432" t="s">
        <v>20</v>
      </c>
      <c r="Q432" t="s">
        <v>18</v>
      </c>
    </row>
    <row r="433" spans="1:17" x14ac:dyDescent="0.35">
      <c r="A433">
        <v>988</v>
      </c>
      <c r="B433">
        <v>67</v>
      </c>
      <c r="C433" t="s">
        <v>16</v>
      </c>
      <c r="D433">
        <v>152</v>
      </c>
      <c r="E433">
        <v>66</v>
      </c>
      <c r="F433" s="3">
        <v>33.009985437318697</v>
      </c>
      <c r="G433" s="3" t="str">
        <f t="shared" si="6"/>
        <v>Obese</v>
      </c>
      <c r="H433" t="s">
        <v>796</v>
      </c>
      <c r="I433" t="s">
        <v>18</v>
      </c>
      <c r="J433" t="s">
        <v>19</v>
      </c>
      <c r="K433" t="s">
        <v>22</v>
      </c>
      <c r="L433" t="s">
        <v>14</v>
      </c>
      <c r="M433" t="s">
        <v>20</v>
      </c>
      <c r="N433" t="s">
        <v>25</v>
      </c>
      <c r="O433" t="s">
        <v>19</v>
      </c>
      <c r="P433" t="s">
        <v>20</v>
      </c>
      <c r="Q433" t="s">
        <v>40</v>
      </c>
    </row>
    <row r="434" spans="1:17" x14ac:dyDescent="0.35">
      <c r="A434">
        <v>1061</v>
      </c>
      <c r="B434">
        <v>67</v>
      </c>
      <c r="C434" t="s">
        <v>27</v>
      </c>
      <c r="D434">
        <v>173</v>
      </c>
      <c r="E434">
        <v>78</v>
      </c>
      <c r="F434" s="3">
        <v>20.685765829641699</v>
      </c>
      <c r="G434" s="3" t="str">
        <f t="shared" si="6"/>
        <v>Normal Weight</v>
      </c>
      <c r="H434" t="s">
        <v>650</v>
      </c>
      <c r="I434" t="s">
        <v>18</v>
      </c>
      <c r="J434" t="s">
        <v>19</v>
      </c>
      <c r="K434" t="s">
        <v>22</v>
      </c>
      <c r="L434" t="s">
        <v>32</v>
      </c>
      <c r="M434" t="s">
        <v>19</v>
      </c>
      <c r="N434" t="s">
        <v>21</v>
      </c>
      <c r="O434" t="s">
        <v>20</v>
      </c>
      <c r="P434" t="s">
        <v>20</v>
      </c>
      <c r="Q434" t="s">
        <v>40</v>
      </c>
    </row>
    <row r="435" spans="1:17" x14ac:dyDescent="0.35">
      <c r="A435">
        <v>440</v>
      </c>
      <c r="B435">
        <v>68</v>
      </c>
      <c r="C435" t="s">
        <v>27</v>
      </c>
      <c r="D435">
        <v>156</v>
      </c>
      <c r="E435">
        <v>60</v>
      </c>
      <c r="F435" s="3">
        <v>24.6387188689014</v>
      </c>
      <c r="G435" s="3" t="str">
        <f t="shared" si="6"/>
        <v>Normal Weight</v>
      </c>
      <c r="H435" t="s">
        <v>420</v>
      </c>
      <c r="I435" t="s">
        <v>31</v>
      </c>
      <c r="J435" t="s">
        <v>20</v>
      </c>
      <c r="K435" t="s">
        <v>18</v>
      </c>
      <c r="L435" t="s">
        <v>14</v>
      </c>
      <c r="M435" t="s">
        <v>19</v>
      </c>
      <c r="N435" t="s">
        <v>21</v>
      </c>
      <c r="O435" t="s">
        <v>20</v>
      </c>
      <c r="P435" t="s">
        <v>20</v>
      </c>
      <c r="Q435" t="s">
        <v>22</v>
      </c>
    </row>
    <row r="436" spans="1:17" x14ac:dyDescent="0.35">
      <c r="A436">
        <v>1151</v>
      </c>
      <c r="B436">
        <v>67</v>
      </c>
      <c r="C436" t="s">
        <v>27</v>
      </c>
      <c r="D436">
        <v>152</v>
      </c>
      <c r="E436">
        <v>63</v>
      </c>
      <c r="F436" s="3">
        <v>26.634997065120199</v>
      </c>
      <c r="G436" s="3" t="str">
        <f t="shared" si="6"/>
        <v>Overweight</v>
      </c>
      <c r="H436" t="s">
        <v>896</v>
      </c>
      <c r="I436" t="s">
        <v>31</v>
      </c>
      <c r="J436" t="s">
        <v>19</v>
      </c>
      <c r="K436" t="s">
        <v>22</v>
      </c>
      <c r="L436" t="s">
        <v>14</v>
      </c>
      <c r="M436" t="s">
        <v>19</v>
      </c>
      <c r="N436" t="s">
        <v>25</v>
      </c>
      <c r="O436" t="s">
        <v>20</v>
      </c>
      <c r="P436" t="s">
        <v>20</v>
      </c>
      <c r="Q436" t="s">
        <v>22</v>
      </c>
    </row>
    <row r="437" spans="1:17" x14ac:dyDescent="0.35">
      <c r="A437">
        <v>1355</v>
      </c>
      <c r="B437">
        <v>67</v>
      </c>
      <c r="C437" t="s">
        <v>16</v>
      </c>
      <c r="D437">
        <v>167</v>
      </c>
      <c r="E437">
        <v>89</v>
      </c>
      <c r="F437" s="3">
        <v>24.469177146722298</v>
      </c>
      <c r="G437" s="3" t="str">
        <f t="shared" si="6"/>
        <v>Normal Weight</v>
      </c>
      <c r="H437" t="s">
        <v>1007</v>
      </c>
      <c r="I437" t="s">
        <v>24</v>
      </c>
      <c r="J437" t="s">
        <v>20</v>
      </c>
      <c r="K437" t="s">
        <v>22</v>
      </c>
      <c r="L437" t="s">
        <v>32</v>
      </c>
      <c r="M437" t="s">
        <v>19</v>
      </c>
      <c r="N437" t="s">
        <v>25</v>
      </c>
      <c r="O437" t="s">
        <v>20</v>
      </c>
      <c r="P437" t="s">
        <v>19</v>
      </c>
      <c r="Q437" t="s">
        <v>18</v>
      </c>
    </row>
    <row r="438" spans="1:17" x14ac:dyDescent="0.35">
      <c r="A438">
        <v>442</v>
      </c>
      <c r="B438">
        <v>25</v>
      </c>
      <c r="C438" t="s">
        <v>27</v>
      </c>
      <c r="D438">
        <v>186</v>
      </c>
      <c r="E438">
        <v>70</v>
      </c>
      <c r="F438" s="3">
        <v>26.055354869596599</v>
      </c>
      <c r="G438" s="3" t="str">
        <f t="shared" si="6"/>
        <v>Overweight</v>
      </c>
      <c r="H438" t="s">
        <v>418</v>
      </c>
      <c r="I438" t="s">
        <v>31</v>
      </c>
      <c r="J438" t="s">
        <v>19</v>
      </c>
      <c r="K438" t="s">
        <v>18</v>
      </c>
      <c r="L438" t="s">
        <v>38</v>
      </c>
      <c r="M438" t="s">
        <v>19</v>
      </c>
      <c r="N438" t="s">
        <v>21</v>
      </c>
      <c r="O438" t="s">
        <v>20</v>
      </c>
      <c r="P438" t="s">
        <v>20</v>
      </c>
      <c r="Q438" t="s">
        <v>22</v>
      </c>
    </row>
    <row r="439" spans="1:17" x14ac:dyDescent="0.35">
      <c r="A439">
        <v>444</v>
      </c>
      <c r="B439">
        <v>44</v>
      </c>
      <c r="C439" t="s">
        <v>27</v>
      </c>
      <c r="D439">
        <v>150</v>
      </c>
      <c r="E439">
        <v>94</v>
      </c>
      <c r="F439" s="3">
        <v>32.806493009252598</v>
      </c>
      <c r="G439" s="3" t="str">
        <f t="shared" si="6"/>
        <v>Obese</v>
      </c>
      <c r="H439" t="s">
        <v>348</v>
      </c>
      <c r="I439" t="s">
        <v>31</v>
      </c>
      <c r="J439" t="s">
        <v>19</v>
      </c>
      <c r="K439" t="s">
        <v>18</v>
      </c>
      <c r="L439" t="s">
        <v>38</v>
      </c>
      <c r="M439" t="s">
        <v>20</v>
      </c>
      <c r="N439" t="s">
        <v>21</v>
      </c>
      <c r="O439" t="s">
        <v>20</v>
      </c>
      <c r="P439" t="s">
        <v>19</v>
      </c>
      <c r="Q439" t="s">
        <v>22</v>
      </c>
    </row>
    <row r="440" spans="1:17" x14ac:dyDescent="0.35">
      <c r="A440">
        <v>446</v>
      </c>
      <c r="B440">
        <v>38</v>
      </c>
      <c r="C440" t="s">
        <v>16</v>
      </c>
      <c r="D440">
        <v>168</v>
      </c>
      <c r="E440">
        <v>66</v>
      </c>
      <c r="F440" s="3">
        <v>34.451114754329197</v>
      </c>
      <c r="G440" s="3" t="str">
        <f t="shared" si="6"/>
        <v>Obese</v>
      </c>
      <c r="H440" t="s">
        <v>423</v>
      </c>
      <c r="I440" t="s">
        <v>18</v>
      </c>
      <c r="J440" t="s">
        <v>20</v>
      </c>
      <c r="K440" t="s">
        <v>18</v>
      </c>
      <c r="L440" t="s">
        <v>32</v>
      </c>
      <c r="M440" t="s">
        <v>19</v>
      </c>
      <c r="N440" t="s">
        <v>21</v>
      </c>
      <c r="O440" t="s">
        <v>20</v>
      </c>
      <c r="P440" t="s">
        <v>20</v>
      </c>
      <c r="Q440" t="s">
        <v>18</v>
      </c>
    </row>
    <row r="441" spans="1:17" x14ac:dyDescent="0.35">
      <c r="A441">
        <v>1668</v>
      </c>
      <c r="B441">
        <v>67</v>
      </c>
      <c r="C441" t="s">
        <v>16</v>
      </c>
      <c r="D441">
        <v>187</v>
      </c>
      <c r="E441">
        <v>82</v>
      </c>
      <c r="F441" s="3">
        <v>27.4236465555304</v>
      </c>
      <c r="G441" s="3" t="str">
        <f t="shared" si="6"/>
        <v>Overweight</v>
      </c>
      <c r="H441" t="s">
        <v>1138</v>
      </c>
      <c r="I441" t="s">
        <v>31</v>
      </c>
      <c r="J441" t="s">
        <v>20</v>
      </c>
      <c r="K441" t="s">
        <v>22</v>
      </c>
      <c r="L441" t="s">
        <v>32</v>
      </c>
      <c r="M441" t="s">
        <v>19</v>
      </c>
      <c r="N441" t="s">
        <v>21</v>
      </c>
      <c r="O441" t="s">
        <v>20</v>
      </c>
      <c r="P441" t="s">
        <v>20</v>
      </c>
      <c r="Q441" t="s">
        <v>40</v>
      </c>
    </row>
    <row r="442" spans="1:17" x14ac:dyDescent="0.35">
      <c r="A442">
        <v>447</v>
      </c>
      <c r="B442">
        <v>47</v>
      </c>
      <c r="C442" t="s">
        <v>27</v>
      </c>
      <c r="D442">
        <v>178</v>
      </c>
      <c r="E442">
        <v>51</v>
      </c>
      <c r="F442" s="3">
        <v>34.309278976774102</v>
      </c>
      <c r="G442" s="3" t="str">
        <f t="shared" si="6"/>
        <v>Obese</v>
      </c>
      <c r="H442" t="s">
        <v>424</v>
      </c>
      <c r="I442" t="s">
        <v>24</v>
      </c>
      <c r="J442" t="s">
        <v>19</v>
      </c>
      <c r="K442" t="s">
        <v>18</v>
      </c>
      <c r="L442" t="s">
        <v>32</v>
      </c>
      <c r="M442" t="s">
        <v>20</v>
      </c>
      <c r="N442" t="s">
        <v>21</v>
      </c>
      <c r="O442" t="s">
        <v>20</v>
      </c>
      <c r="P442" t="s">
        <v>20</v>
      </c>
      <c r="Q442" t="s">
        <v>40</v>
      </c>
    </row>
    <row r="443" spans="1:17" x14ac:dyDescent="0.35">
      <c r="A443">
        <v>450</v>
      </c>
      <c r="B443">
        <v>64</v>
      </c>
      <c r="C443" t="s">
        <v>27</v>
      </c>
      <c r="D443">
        <v>177</v>
      </c>
      <c r="E443">
        <v>67</v>
      </c>
      <c r="F443" s="3">
        <v>33.276669724419101</v>
      </c>
      <c r="G443" s="3" t="str">
        <f t="shared" si="6"/>
        <v>Obese</v>
      </c>
      <c r="H443" t="s">
        <v>427</v>
      </c>
      <c r="I443" t="s">
        <v>24</v>
      </c>
      <c r="J443" t="s">
        <v>19</v>
      </c>
      <c r="K443" t="s">
        <v>18</v>
      </c>
      <c r="L443" t="s">
        <v>38</v>
      </c>
      <c r="M443" t="s">
        <v>19</v>
      </c>
      <c r="N443" t="s">
        <v>21</v>
      </c>
      <c r="O443" t="s">
        <v>19</v>
      </c>
      <c r="P443" t="s">
        <v>19</v>
      </c>
      <c r="Q443" t="s">
        <v>22</v>
      </c>
    </row>
    <row r="444" spans="1:17" x14ac:dyDescent="0.35">
      <c r="A444">
        <v>453</v>
      </c>
      <c r="B444">
        <v>77</v>
      </c>
      <c r="C444" t="s">
        <v>27</v>
      </c>
      <c r="D444">
        <v>176</v>
      </c>
      <c r="E444">
        <v>98</v>
      </c>
      <c r="F444" s="3">
        <v>23.7964512530748</v>
      </c>
      <c r="G444" s="3" t="str">
        <f t="shared" si="6"/>
        <v>Normal Weight</v>
      </c>
      <c r="H444" t="s">
        <v>211</v>
      </c>
      <c r="I444" t="s">
        <v>31</v>
      </c>
      <c r="J444" t="s">
        <v>20</v>
      </c>
      <c r="K444" t="s">
        <v>40</v>
      </c>
      <c r="L444" t="s">
        <v>29</v>
      </c>
      <c r="M444" t="s">
        <v>20</v>
      </c>
      <c r="N444" t="s">
        <v>25</v>
      </c>
      <c r="O444" t="s">
        <v>20</v>
      </c>
      <c r="P444" t="s">
        <v>20</v>
      </c>
      <c r="Q444" t="s">
        <v>22</v>
      </c>
    </row>
    <row r="445" spans="1:17" x14ac:dyDescent="0.35">
      <c r="A445">
        <v>1978</v>
      </c>
      <c r="B445">
        <v>67</v>
      </c>
      <c r="C445" t="s">
        <v>27</v>
      </c>
      <c r="D445">
        <v>165</v>
      </c>
      <c r="E445">
        <v>98</v>
      </c>
      <c r="F445" s="3">
        <v>20.624448216572901</v>
      </c>
      <c r="G445" s="3" t="str">
        <f t="shared" si="6"/>
        <v>Normal Weight</v>
      </c>
      <c r="H445" t="s">
        <v>1270</v>
      </c>
      <c r="I445" t="s">
        <v>24</v>
      </c>
      <c r="J445" t="s">
        <v>19</v>
      </c>
      <c r="K445" t="s">
        <v>22</v>
      </c>
      <c r="L445" t="s">
        <v>14</v>
      </c>
      <c r="M445" t="s">
        <v>20</v>
      </c>
      <c r="N445" t="s">
        <v>25</v>
      </c>
      <c r="O445" t="s">
        <v>20</v>
      </c>
      <c r="P445" t="s">
        <v>19</v>
      </c>
      <c r="Q445" t="s">
        <v>40</v>
      </c>
    </row>
    <row r="446" spans="1:17" x14ac:dyDescent="0.35">
      <c r="A446">
        <v>38</v>
      </c>
      <c r="B446">
        <v>66</v>
      </c>
      <c r="C446" t="s">
        <v>16</v>
      </c>
      <c r="D446">
        <v>170</v>
      </c>
      <c r="E446">
        <v>55</v>
      </c>
      <c r="F446" s="3">
        <v>29.199665188853899</v>
      </c>
      <c r="G446" s="3" t="str">
        <f t="shared" si="6"/>
        <v>Overweight</v>
      </c>
      <c r="H446" t="s">
        <v>67</v>
      </c>
      <c r="I446" t="s">
        <v>31</v>
      </c>
      <c r="J446" t="s">
        <v>20</v>
      </c>
      <c r="K446" t="s">
        <v>22</v>
      </c>
      <c r="L446" t="s">
        <v>32</v>
      </c>
      <c r="M446" t="s">
        <v>19</v>
      </c>
      <c r="N446" t="s">
        <v>25</v>
      </c>
      <c r="O446" t="s">
        <v>19</v>
      </c>
      <c r="P446" t="s">
        <v>19</v>
      </c>
      <c r="Q446" t="s">
        <v>18</v>
      </c>
    </row>
    <row r="447" spans="1:17" x14ac:dyDescent="0.35">
      <c r="A447">
        <v>455</v>
      </c>
      <c r="B447">
        <v>65</v>
      </c>
      <c r="C447" t="s">
        <v>27</v>
      </c>
      <c r="D447">
        <v>187</v>
      </c>
      <c r="E447">
        <v>84</v>
      </c>
      <c r="F447" s="3">
        <v>29.8481919050346</v>
      </c>
      <c r="G447" s="3" t="str">
        <f t="shared" si="6"/>
        <v>Overweight</v>
      </c>
      <c r="H447" t="s">
        <v>431</v>
      </c>
      <c r="I447" t="s">
        <v>18</v>
      </c>
      <c r="J447" t="s">
        <v>19</v>
      </c>
      <c r="K447" t="s">
        <v>18</v>
      </c>
      <c r="L447" t="s">
        <v>14</v>
      </c>
      <c r="M447" t="s">
        <v>19</v>
      </c>
      <c r="N447" t="s">
        <v>21</v>
      </c>
      <c r="O447" t="s">
        <v>19</v>
      </c>
      <c r="P447" t="s">
        <v>20</v>
      </c>
      <c r="Q447" t="s">
        <v>18</v>
      </c>
    </row>
    <row r="448" spans="1:17" x14ac:dyDescent="0.35">
      <c r="A448">
        <v>457</v>
      </c>
      <c r="B448">
        <v>21</v>
      </c>
      <c r="C448" t="s">
        <v>27</v>
      </c>
      <c r="D448">
        <v>157</v>
      </c>
      <c r="E448">
        <v>65</v>
      </c>
      <c r="F448" s="3">
        <v>30.651807381214699</v>
      </c>
      <c r="G448" s="3" t="str">
        <f t="shared" si="6"/>
        <v>Obese</v>
      </c>
      <c r="H448" t="s">
        <v>264</v>
      </c>
      <c r="I448" t="s">
        <v>18</v>
      </c>
      <c r="J448" t="s">
        <v>19</v>
      </c>
      <c r="K448" t="s">
        <v>18</v>
      </c>
      <c r="L448" t="s">
        <v>29</v>
      </c>
      <c r="M448" t="s">
        <v>19</v>
      </c>
      <c r="N448" t="s">
        <v>25</v>
      </c>
      <c r="O448" t="s">
        <v>20</v>
      </c>
      <c r="P448" t="s">
        <v>19</v>
      </c>
      <c r="Q448" t="s">
        <v>40</v>
      </c>
    </row>
    <row r="449" spans="1:17" x14ac:dyDescent="0.35">
      <c r="A449">
        <v>459</v>
      </c>
      <c r="B449">
        <v>66</v>
      </c>
      <c r="C449" t="s">
        <v>16</v>
      </c>
      <c r="D449">
        <v>161</v>
      </c>
      <c r="E449">
        <v>93</v>
      </c>
      <c r="F449" s="3">
        <v>19.313359130612799</v>
      </c>
      <c r="G449" s="3" t="str">
        <f t="shared" si="6"/>
        <v>Normal Weight</v>
      </c>
      <c r="H449" t="s">
        <v>434</v>
      </c>
      <c r="I449" t="s">
        <v>31</v>
      </c>
      <c r="J449" t="s">
        <v>19</v>
      </c>
      <c r="K449" t="s">
        <v>18</v>
      </c>
      <c r="L449" t="s">
        <v>38</v>
      </c>
      <c r="M449" t="s">
        <v>20</v>
      </c>
      <c r="N449" t="s">
        <v>25</v>
      </c>
      <c r="O449" t="s">
        <v>20</v>
      </c>
      <c r="P449" t="s">
        <v>20</v>
      </c>
      <c r="Q449" t="s">
        <v>18</v>
      </c>
    </row>
    <row r="450" spans="1:17" x14ac:dyDescent="0.35">
      <c r="A450">
        <v>460</v>
      </c>
      <c r="B450">
        <v>34</v>
      </c>
      <c r="C450" t="s">
        <v>27</v>
      </c>
      <c r="D450">
        <v>187</v>
      </c>
      <c r="E450">
        <v>92</v>
      </c>
      <c r="F450" s="3">
        <v>24.8737471349014</v>
      </c>
      <c r="G450" s="3" t="str">
        <f t="shared" si="6"/>
        <v>Normal Weight</v>
      </c>
      <c r="H450" t="s">
        <v>435</v>
      </c>
      <c r="I450" t="s">
        <v>31</v>
      </c>
      <c r="J450" t="s">
        <v>19</v>
      </c>
      <c r="K450" t="s">
        <v>18</v>
      </c>
      <c r="L450" t="s">
        <v>32</v>
      </c>
      <c r="M450" t="s">
        <v>20</v>
      </c>
      <c r="N450" t="s">
        <v>25</v>
      </c>
      <c r="O450" t="s">
        <v>19</v>
      </c>
      <c r="P450" t="s">
        <v>20</v>
      </c>
      <c r="Q450" t="s">
        <v>40</v>
      </c>
    </row>
    <row r="451" spans="1:17" x14ac:dyDescent="0.35">
      <c r="A451">
        <v>463</v>
      </c>
      <c r="B451">
        <v>47</v>
      </c>
      <c r="C451" t="s">
        <v>27</v>
      </c>
      <c r="D451">
        <v>153</v>
      </c>
      <c r="E451">
        <v>97</v>
      </c>
      <c r="F451" s="3">
        <v>26.601826084037</v>
      </c>
      <c r="G451" s="3" t="str">
        <f t="shared" ref="G451:G514" si="7">_xlfn.IFS(F451&lt;18.5, "Underweight", F451&lt;=24.9, "Normal Weight", F451&lt;=29.9, "Overweight", TRUE, "Obese")</f>
        <v>Overweight</v>
      </c>
      <c r="H451" t="s">
        <v>147</v>
      </c>
      <c r="I451" t="s">
        <v>18</v>
      </c>
      <c r="J451" t="s">
        <v>20</v>
      </c>
      <c r="K451" t="s">
        <v>18</v>
      </c>
      <c r="L451" t="s">
        <v>38</v>
      </c>
      <c r="M451" t="s">
        <v>19</v>
      </c>
      <c r="N451" t="s">
        <v>21</v>
      </c>
      <c r="O451" t="s">
        <v>19</v>
      </c>
      <c r="P451" t="s">
        <v>19</v>
      </c>
      <c r="Q451" t="s">
        <v>40</v>
      </c>
    </row>
    <row r="452" spans="1:17" x14ac:dyDescent="0.35">
      <c r="A452">
        <v>284</v>
      </c>
      <c r="B452">
        <v>66</v>
      </c>
      <c r="C452" t="s">
        <v>16</v>
      </c>
      <c r="D452">
        <v>169</v>
      </c>
      <c r="E452">
        <v>92</v>
      </c>
      <c r="F452" s="3">
        <v>24.576126772019599</v>
      </c>
      <c r="G452" s="3" t="str">
        <f t="shared" si="7"/>
        <v>Normal Weight</v>
      </c>
      <c r="H452" t="s">
        <v>293</v>
      </c>
      <c r="I452" t="s">
        <v>31</v>
      </c>
      <c r="J452" t="s">
        <v>19</v>
      </c>
      <c r="K452" t="s">
        <v>22</v>
      </c>
      <c r="L452" t="s">
        <v>14</v>
      </c>
      <c r="M452" t="s">
        <v>20</v>
      </c>
      <c r="N452" t="s">
        <v>25</v>
      </c>
      <c r="O452" t="s">
        <v>19</v>
      </c>
      <c r="P452" t="s">
        <v>19</v>
      </c>
      <c r="Q452" t="s">
        <v>18</v>
      </c>
    </row>
    <row r="453" spans="1:17" x14ac:dyDescent="0.35">
      <c r="A453">
        <v>464</v>
      </c>
      <c r="B453">
        <v>46</v>
      </c>
      <c r="C453" t="s">
        <v>27</v>
      </c>
      <c r="D453">
        <v>154</v>
      </c>
      <c r="E453">
        <v>91</v>
      </c>
      <c r="F453" s="3">
        <v>23.792104108140901</v>
      </c>
      <c r="G453" s="3" t="str">
        <f t="shared" si="7"/>
        <v>Normal Weight</v>
      </c>
      <c r="H453" t="s">
        <v>438</v>
      </c>
      <c r="I453" t="s">
        <v>24</v>
      </c>
      <c r="J453" t="s">
        <v>19</v>
      </c>
      <c r="K453" t="s">
        <v>18</v>
      </c>
      <c r="L453" t="s">
        <v>14</v>
      </c>
      <c r="M453" t="s">
        <v>20</v>
      </c>
      <c r="N453" t="s">
        <v>21</v>
      </c>
      <c r="O453" t="s">
        <v>19</v>
      </c>
      <c r="P453" t="s">
        <v>19</v>
      </c>
      <c r="Q453" t="s">
        <v>22</v>
      </c>
    </row>
    <row r="454" spans="1:17" x14ac:dyDescent="0.35">
      <c r="A454">
        <v>391</v>
      </c>
      <c r="B454">
        <v>66</v>
      </c>
      <c r="C454" t="s">
        <v>27</v>
      </c>
      <c r="D454">
        <v>169</v>
      </c>
      <c r="E454">
        <v>55</v>
      </c>
      <c r="F454" s="3">
        <v>18.734244468783402</v>
      </c>
      <c r="G454" s="3" t="str">
        <f t="shared" si="7"/>
        <v>Normal Weight</v>
      </c>
      <c r="H454" t="s">
        <v>213</v>
      </c>
      <c r="I454" t="s">
        <v>31</v>
      </c>
      <c r="J454" t="s">
        <v>20</v>
      </c>
      <c r="K454" t="s">
        <v>22</v>
      </c>
      <c r="L454" t="s">
        <v>29</v>
      </c>
      <c r="M454" t="s">
        <v>19</v>
      </c>
      <c r="N454" t="s">
        <v>25</v>
      </c>
      <c r="O454" t="s">
        <v>19</v>
      </c>
      <c r="P454" t="s">
        <v>19</v>
      </c>
      <c r="Q454" t="s">
        <v>22</v>
      </c>
    </row>
    <row r="455" spans="1:17" x14ac:dyDescent="0.35">
      <c r="A455">
        <v>471</v>
      </c>
      <c r="B455">
        <v>54</v>
      </c>
      <c r="C455" t="s">
        <v>16</v>
      </c>
      <c r="D455">
        <v>176</v>
      </c>
      <c r="E455">
        <v>76</v>
      </c>
      <c r="F455" s="3">
        <v>34.725122678834701</v>
      </c>
      <c r="G455" s="3" t="str">
        <f t="shared" si="7"/>
        <v>Obese</v>
      </c>
      <c r="H455" t="s">
        <v>444</v>
      </c>
      <c r="I455" t="s">
        <v>24</v>
      </c>
      <c r="J455" t="s">
        <v>20</v>
      </c>
      <c r="K455" t="s">
        <v>18</v>
      </c>
      <c r="L455" t="s">
        <v>38</v>
      </c>
      <c r="M455" t="s">
        <v>20</v>
      </c>
      <c r="N455" t="s">
        <v>21</v>
      </c>
      <c r="O455" t="s">
        <v>20</v>
      </c>
      <c r="P455" t="s">
        <v>19</v>
      </c>
      <c r="Q455" t="s">
        <v>18</v>
      </c>
    </row>
    <row r="456" spans="1:17" x14ac:dyDescent="0.35">
      <c r="A456">
        <v>474</v>
      </c>
      <c r="B456">
        <v>66</v>
      </c>
      <c r="C456" t="s">
        <v>16</v>
      </c>
      <c r="D456">
        <v>164</v>
      </c>
      <c r="E456">
        <v>57</v>
      </c>
      <c r="F456" s="3">
        <v>30.313747443438402</v>
      </c>
      <c r="G456" s="3" t="str">
        <f t="shared" si="7"/>
        <v>Obese</v>
      </c>
      <c r="H456" t="s">
        <v>434</v>
      </c>
      <c r="I456" t="s">
        <v>24</v>
      </c>
      <c r="J456" t="s">
        <v>19</v>
      </c>
      <c r="K456" t="s">
        <v>22</v>
      </c>
      <c r="L456" t="s">
        <v>32</v>
      </c>
      <c r="M456" t="s">
        <v>19</v>
      </c>
      <c r="N456" t="s">
        <v>21</v>
      </c>
      <c r="O456" t="s">
        <v>19</v>
      </c>
      <c r="P456" t="s">
        <v>19</v>
      </c>
      <c r="Q456" t="s">
        <v>18</v>
      </c>
    </row>
    <row r="457" spans="1:17" x14ac:dyDescent="0.35">
      <c r="A457">
        <v>556</v>
      </c>
      <c r="B457">
        <v>66</v>
      </c>
      <c r="C457" t="s">
        <v>27</v>
      </c>
      <c r="D457">
        <v>160</v>
      </c>
      <c r="E457">
        <v>60</v>
      </c>
      <c r="F457" s="3">
        <v>33.807804595744201</v>
      </c>
      <c r="G457" s="3" t="str">
        <f t="shared" si="7"/>
        <v>Obese</v>
      </c>
      <c r="H457" t="s">
        <v>511</v>
      </c>
      <c r="I457" t="s">
        <v>24</v>
      </c>
      <c r="J457" t="s">
        <v>20</v>
      </c>
      <c r="K457" t="s">
        <v>22</v>
      </c>
      <c r="L457" t="s">
        <v>32</v>
      </c>
      <c r="M457" t="s">
        <v>20</v>
      </c>
      <c r="N457" t="s">
        <v>25</v>
      </c>
      <c r="O457" t="s">
        <v>20</v>
      </c>
      <c r="P457" t="s">
        <v>19</v>
      </c>
      <c r="Q457" t="s">
        <v>22</v>
      </c>
    </row>
    <row r="458" spans="1:17" x14ac:dyDescent="0.35">
      <c r="A458">
        <v>476</v>
      </c>
      <c r="B458">
        <v>70</v>
      </c>
      <c r="C458" t="s">
        <v>27</v>
      </c>
      <c r="D458">
        <v>186</v>
      </c>
      <c r="E458">
        <v>96</v>
      </c>
      <c r="F458" s="3">
        <v>19.961542604004599</v>
      </c>
      <c r="G458" s="3" t="str">
        <f t="shared" si="7"/>
        <v>Normal Weight</v>
      </c>
      <c r="H458" t="s">
        <v>447</v>
      </c>
      <c r="I458" t="s">
        <v>18</v>
      </c>
      <c r="J458" t="s">
        <v>20</v>
      </c>
      <c r="K458" t="s">
        <v>40</v>
      </c>
      <c r="L458" t="s">
        <v>14</v>
      </c>
      <c r="M458" t="s">
        <v>19</v>
      </c>
      <c r="N458" t="s">
        <v>21</v>
      </c>
      <c r="O458" t="s">
        <v>19</v>
      </c>
      <c r="P458" t="s">
        <v>19</v>
      </c>
      <c r="Q458" t="s">
        <v>18</v>
      </c>
    </row>
    <row r="459" spans="1:17" x14ac:dyDescent="0.35">
      <c r="A459">
        <v>477</v>
      </c>
      <c r="B459">
        <v>48</v>
      </c>
      <c r="C459" t="s">
        <v>16</v>
      </c>
      <c r="D459">
        <v>186</v>
      </c>
      <c r="E459">
        <v>95</v>
      </c>
      <c r="F459" s="3">
        <v>29.668392551155002</v>
      </c>
      <c r="G459" s="3" t="str">
        <f t="shared" si="7"/>
        <v>Overweight</v>
      </c>
      <c r="H459" t="s">
        <v>448</v>
      </c>
      <c r="I459" t="s">
        <v>31</v>
      </c>
      <c r="J459" t="s">
        <v>19</v>
      </c>
      <c r="K459" t="s">
        <v>18</v>
      </c>
      <c r="L459" t="s">
        <v>38</v>
      </c>
      <c r="M459" t="s">
        <v>20</v>
      </c>
      <c r="N459" t="s">
        <v>21</v>
      </c>
      <c r="O459" t="s">
        <v>19</v>
      </c>
      <c r="P459" t="s">
        <v>19</v>
      </c>
      <c r="Q459" t="s">
        <v>22</v>
      </c>
    </row>
    <row r="460" spans="1:17" x14ac:dyDescent="0.35">
      <c r="A460">
        <v>749</v>
      </c>
      <c r="B460">
        <v>66</v>
      </c>
      <c r="C460" t="s">
        <v>16</v>
      </c>
      <c r="D460">
        <v>170</v>
      </c>
      <c r="E460">
        <v>96</v>
      </c>
      <c r="F460" s="3">
        <v>33.602284016257997</v>
      </c>
      <c r="G460" s="3" t="str">
        <f t="shared" si="7"/>
        <v>Obese</v>
      </c>
      <c r="H460" t="s">
        <v>108</v>
      </c>
      <c r="I460" t="s">
        <v>24</v>
      </c>
      <c r="J460" t="s">
        <v>20</v>
      </c>
      <c r="K460" t="s">
        <v>22</v>
      </c>
      <c r="L460" t="s">
        <v>32</v>
      </c>
      <c r="M460" t="s">
        <v>19</v>
      </c>
      <c r="N460" t="s">
        <v>21</v>
      </c>
      <c r="O460" t="s">
        <v>19</v>
      </c>
      <c r="P460" t="s">
        <v>20</v>
      </c>
      <c r="Q460" t="s">
        <v>40</v>
      </c>
    </row>
    <row r="461" spans="1:17" x14ac:dyDescent="0.35">
      <c r="A461">
        <v>478</v>
      </c>
      <c r="B461">
        <v>52</v>
      </c>
      <c r="C461" t="s">
        <v>27</v>
      </c>
      <c r="D461">
        <v>186</v>
      </c>
      <c r="E461">
        <v>89</v>
      </c>
      <c r="F461" s="3">
        <v>19.557562732096802</v>
      </c>
      <c r="G461" s="3" t="str">
        <f t="shared" si="7"/>
        <v>Normal Weight</v>
      </c>
      <c r="H461" t="s">
        <v>449</v>
      </c>
      <c r="I461" t="s">
        <v>24</v>
      </c>
      <c r="J461" t="s">
        <v>19</v>
      </c>
      <c r="K461" t="s">
        <v>18</v>
      </c>
      <c r="L461" t="s">
        <v>32</v>
      </c>
      <c r="M461" t="s">
        <v>20</v>
      </c>
      <c r="N461" t="s">
        <v>21</v>
      </c>
      <c r="O461" t="s">
        <v>20</v>
      </c>
      <c r="P461" t="s">
        <v>20</v>
      </c>
      <c r="Q461" t="s">
        <v>40</v>
      </c>
    </row>
    <row r="462" spans="1:17" x14ac:dyDescent="0.35">
      <c r="A462">
        <v>479</v>
      </c>
      <c r="B462">
        <v>77</v>
      </c>
      <c r="C462" t="s">
        <v>16</v>
      </c>
      <c r="D462">
        <v>184</v>
      </c>
      <c r="E462">
        <v>61</v>
      </c>
      <c r="F462" s="3">
        <v>28.336353717573299</v>
      </c>
      <c r="G462" s="3" t="str">
        <f t="shared" si="7"/>
        <v>Overweight</v>
      </c>
      <c r="H462" t="s">
        <v>450</v>
      </c>
      <c r="I462" t="s">
        <v>18</v>
      </c>
      <c r="J462" t="s">
        <v>19</v>
      </c>
      <c r="K462" t="s">
        <v>40</v>
      </c>
      <c r="L462" t="s">
        <v>32</v>
      </c>
      <c r="M462" t="s">
        <v>20</v>
      </c>
      <c r="N462" t="s">
        <v>25</v>
      </c>
      <c r="O462" t="s">
        <v>20</v>
      </c>
      <c r="P462" t="s">
        <v>20</v>
      </c>
      <c r="Q462" t="s">
        <v>22</v>
      </c>
    </row>
    <row r="463" spans="1:17" x14ac:dyDescent="0.35">
      <c r="A463">
        <v>772</v>
      </c>
      <c r="B463">
        <v>66</v>
      </c>
      <c r="C463" t="s">
        <v>16</v>
      </c>
      <c r="D463">
        <v>158</v>
      </c>
      <c r="E463">
        <v>84</v>
      </c>
      <c r="F463" s="3">
        <v>20.110565628798302</v>
      </c>
      <c r="G463" s="3" t="str">
        <f t="shared" si="7"/>
        <v>Normal Weight</v>
      </c>
      <c r="H463" t="s">
        <v>672</v>
      </c>
      <c r="I463" t="s">
        <v>18</v>
      </c>
      <c r="J463" t="s">
        <v>19</v>
      </c>
      <c r="K463" t="s">
        <v>22</v>
      </c>
      <c r="L463" t="s">
        <v>29</v>
      </c>
      <c r="M463" t="s">
        <v>20</v>
      </c>
      <c r="N463" t="s">
        <v>25</v>
      </c>
      <c r="O463" t="s">
        <v>20</v>
      </c>
      <c r="P463" t="s">
        <v>20</v>
      </c>
      <c r="Q463" t="s">
        <v>40</v>
      </c>
    </row>
    <row r="464" spans="1:17" x14ac:dyDescent="0.35">
      <c r="A464">
        <v>781</v>
      </c>
      <c r="B464">
        <v>66</v>
      </c>
      <c r="C464" t="s">
        <v>27</v>
      </c>
      <c r="D464">
        <v>158</v>
      </c>
      <c r="E464">
        <v>94</v>
      </c>
      <c r="F464" s="3">
        <v>28.8741112484898</v>
      </c>
      <c r="G464" s="3" t="str">
        <f t="shared" si="7"/>
        <v>Overweight</v>
      </c>
      <c r="H464" t="s">
        <v>680</v>
      </c>
      <c r="I464" t="s">
        <v>31</v>
      </c>
      <c r="J464" t="s">
        <v>20</v>
      </c>
      <c r="K464" t="s">
        <v>22</v>
      </c>
      <c r="L464" t="s">
        <v>29</v>
      </c>
      <c r="M464" t="s">
        <v>19</v>
      </c>
      <c r="N464" t="s">
        <v>25</v>
      </c>
      <c r="O464" t="s">
        <v>20</v>
      </c>
      <c r="P464" t="s">
        <v>20</v>
      </c>
      <c r="Q464" t="s">
        <v>40</v>
      </c>
    </row>
    <row r="465" spans="1:17" x14ac:dyDescent="0.35">
      <c r="A465">
        <v>481</v>
      </c>
      <c r="B465">
        <v>69</v>
      </c>
      <c r="C465" t="s">
        <v>16</v>
      </c>
      <c r="D465">
        <v>155</v>
      </c>
      <c r="E465">
        <v>92</v>
      </c>
      <c r="F465" s="3">
        <v>21.9810031952291</v>
      </c>
      <c r="G465" s="3" t="str">
        <f t="shared" si="7"/>
        <v>Normal Weight</v>
      </c>
      <c r="H465" t="s">
        <v>297</v>
      </c>
      <c r="I465" t="s">
        <v>24</v>
      </c>
      <c r="J465" t="s">
        <v>20</v>
      </c>
      <c r="K465" t="s">
        <v>18</v>
      </c>
      <c r="L465" t="s">
        <v>29</v>
      </c>
      <c r="M465" t="s">
        <v>20</v>
      </c>
      <c r="N465" t="s">
        <v>25</v>
      </c>
      <c r="O465" t="s">
        <v>19</v>
      </c>
      <c r="P465" t="s">
        <v>19</v>
      </c>
      <c r="Q465" t="s">
        <v>40</v>
      </c>
    </row>
    <row r="466" spans="1:17" x14ac:dyDescent="0.35">
      <c r="A466">
        <v>484</v>
      </c>
      <c r="B466">
        <v>49</v>
      </c>
      <c r="C466" t="s">
        <v>16</v>
      </c>
      <c r="D466">
        <v>158</v>
      </c>
      <c r="E466">
        <v>85</v>
      </c>
      <c r="F466" s="3">
        <v>32.422912250362003</v>
      </c>
      <c r="G466" s="3" t="str">
        <f t="shared" si="7"/>
        <v>Obese</v>
      </c>
      <c r="H466" t="s">
        <v>453</v>
      </c>
      <c r="I466" t="s">
        <v>24</v>
      </c>
      <c r="J466" t="s">
        <v>19</v>
      </c>
      <c r="K466" t="s">
        <v>18</v>
      </c>
      <c r="L466" t="s">
        <v>38</v>
      </c>
      <c r="M466" t="s">
        <v>20</v>
      </c>
      <c r="N466" t="s">
        <v>21</v>
      </c>
      <c r="O466" t="s">
        <v>19</v>
      </c>
      <c r="P466" t="s">
        <v>19</v>
      </c>
      <c r="Q466" t="s">
        <v>40</v>
      </c>
    </row>
    <row r="467" spans="1:17" x14ac:dyDescent="0.35">
      <c r="A467">
        <v>1000</v>
      </c>
      <c r="B467">
        <v>66</v>
      </c>
      <c r="C467" t="s">
        <v>27</v>
      </c>
      <c r="D467">
        <v>152</v>
      </c>
      <c r="E467">
        <v>60</v>
      </c>
      <c r="F467" s="3">
        <v>28.7720253426276</v>
      </c>
      <c r="G467" s="3" t="str">
        <f t="shared" si="7"/>
        <v>Overweight</v>
      </c>
      <c r="H467" t="s">
        <v>803</v>
      </c>
      <c r="I467" t="s">
        <v>18</v>
      </c>
      <c r="J467" t="s">
        <v>19</v>
      </c>
      <c r="K467" t="s">
        <v>22</v>
      </c>
      <c r="L467" t="s">
        <v>14</v>
      </c>
      <c r="M467" t="s">
        <v>19</v>
      </c>
      <c r="N467" t="s">
        <v>21</v>
      </c>
      <c r="O467" t="s">
        <v>19</v>
      </c>
      <c r="P467" t="s">
        <v>20</v>
      </c>
      <c r="Q467" t="s">
        <v>22</v>
      </c>
    </row>
    <row r="468" spans="1:17" x14ac:dyDescent="0.35">
      <c r="A468">
        <v>485</v>
      </c>
      <c r="B468">
        <v>40</v>
      </c>
      <c r="C468" t="s">
        <v>27</v>
      </c>
      <c r="D468">
        <v>178</v>
      </c>
      <c r="E468">
        <v>70</v>
      </c>
      <c r="F468" s="3">
        <v>26.095429335605601</v>
      </c>
      <c r="G468" s="3" t="str">
        <f t="shared" si="7"/>
        <v>Overweight</v>
      </c>
      <c r="H468" t="s">
        <v>128</v>
      </c>
      <c r="I468" t="s">
        <v>31</v>
      </c>
      <c r="J468" t="s">
        <v>19</v>
      </c>
      <c r="K468" t="s">
        <v>18</v>
      </c>
      <c r="L468" t="s">
        <v>32</v>
      </c>
      <c r="M468" t="s">
        <v>20</v>
      </c>
      <c r="N468" t="s">
        <v>25</v>
      </c>
      <c r="O468" t="s">
        <v>19</v>
      </c>
      <c r="P468" t="s">
        <v>19</v>
      </c>
      <c r="Q468" t="s">
        <v>40</v>
      </c>
    </row>
    <row r="469" spans="1:17" x14ac:dyDescent="0.35">
      <c r="A469">
        <v>1046</v>
      </c>
      <c r="B469">
        <v>66</v>
      </c>
      <c r="C469" t="s">
        <v>27</v>
      </c>
      <c r="D469">
        <v>172</v>
      </c>
      <c r="E469">
        <v>56</v>
      </c>
      <c r="F469" s="3">
        <v>21.344374974735199</v>
      </c>
      <c r="G469" s="3" t="str">
        <f t="shared" si="7"/>
        <v>Normal Weight</v>
      </c>
      <c r="H469" t="s">
        <v>829</v>
      </c>
      <c r="I469" t="s">
        <v>24</v>
      </c>
      <c r="J469" t="s">
        <v>19</v>
      </c>
      <c r="K469" t="s">
        <v>22</v>
      </c>
      <c r="L469" t="s">
        <v>29</v>
      </c>
      <c r="M469" t="s">
        <v>20</v>
      </c>
      <c r="N469" t="s">
        <v>25</v>
      </c>
      <c r="O469" t="s">
        <v>20</v>
      </c>
      <c r="P469" t="s">
        <v>19</v>
      </c>
      <c r="Q469" t="s">
        <v>40</v>
      </c>
    </row>
    <row r="470" spans="1:17" x14ac:dyDescent="0.35">
      <c r="A470">
        <v>1172</v>
      </c>
      <c r="B470">
        <v>66</v>
      </c>
      <c r="C470" t="s">
        <v>27</v>
      </c>
      <c r="D470">
        <v>189</v>
      </c>
      <c r="E470">
        <v>89</v>
      </c>
      <c r="F470" s="3">
        <v>23.4511068679397</v>
      </c>
      <c r="G470" s="3" t="str">
        <f t="shared" si="7"/>
        <v>Normal Weight</v>
      </c>
      <c r="H470" t="s">
        <v>906</v>
      </c>
      <c r="I470" t="s">
        <v>24</v>
      </c>
      <c r="J470" t="s">
        <v>19</v>
      </c>
      <c r="K470" t="s">
        <v>22</v>
      </c>
      <c r="L470" t="s">
        <v>32</v>
      </c>
      <c r="M470" t="s">
        <v>19</v>
      </c>
      <c r="N470" t="s">
        <v>21</v>
      </c>
      <c r="O470" t="s">
        <v>20</v>
      </c>
      <c r="P470" t="s">
        <v>19</v>
      </c>
      <c r="Q470" t="s">
        <v>40</v>
      </c>
    </row>
    <row r="471" spans="1:17" x14ac:dyDescent="0.35">
      <c r="A471">
        <v>1194</v>
      </c>
      <c r="B471">
        <v>66</v>
      </c>
      <c r="C471" t="s">
        <v>16</v>
      </c>
      <c r="D471">
        <v>157</v>
      </c>
      <c r="E471">
        <v>69</v>
      </c>
      <c r="F471" s="3">
        <v>34.112083750855803</v>
      </c>
      <c r="G471" s="3" t="str">
        <f t="shared" si="7"/>
        <v>Obese</v>
      </c>
      <c r="H471" t="s">
        <v>918</v>
      </c>
      <c r="I471" t="s">
        <v>31</v>
      </c>
      <c r="J471" t="s">
        <v>20</v>
      </c>
      <c r="K471" t="s">
        <v>22</v>
      </c>
      <c r="L471" t="s">
        <v>38</v>
      </c>
      <c r="M471" t="s">
        <v>20</v>
      </c>
      <c r="N471" t="s">
        <v>21</v>
      </c>
      <c r="O471" t="s">
        <v>20</v>
      </c>
      <c r="P471" t="s">
        <v>19</v>
      </c>
      <c r="Q471" t="s">
        <v>40</v>
      </c>
    </row>
    <row r="472" spans="1:17" x14ac:dyDescent="0.35">
      <c r="A472">
        <v>487</v>
      </c>
      <c r="B472">
        <v>20</v>
      </c>
      <c r="C472" t="s">
        <v>27</v>
      </c>
      <c r="D472">
        <v>166</v>
      </c>
      <c r="E472">
        <v>54</v>
      </c>
      <c r="F472" s="3">
        <v>20.707339392400399</v>
      </c>
      <c r="G472" s="3" t="str">
        <f t="shared" si="7"/>
        <v>Normal Weight</v>
      </c>
      <c r="H472" t="s">
        <v>90</v>
      </c>
      <c r="I472" t="s">
        <v>31</v>
      </c>
      <c r="J472" t="s">
        <v>20</v>
      </c>
      <c r="K472" t="s">
        <v>18</v>
      </c>
      <c r="L472" t="s">
        <v>14</v>
      </c>
      <c r="M472" t="s">
        <v>20</v>
      </c>
      <c r="N472" t="s">
        <v>25</v>
      </c>
      <c r="O472" t="s">
        <v>19</v>
      </c>
      <c r="P472" t="s">
        <v>20</v>
      </c>
      <c r="Q472" t="s">
        <v>18</v>
      </c>
    </row>
    <row r="473" spans="1:17" x14ac:dyDescent="0.35">
      <c r="A473">
        <v>488</v>
      </c>
      <c r="B473">
        <v>35</v>
      </c>
      <c r="C473" t="s">
        <v>27</v>
      </c>
      <c r="D473">
        <v>181</v>
      </c>
      <c r="E473">
        <v>75</v>
      </c>
      <c r="F473" s="3">
        <v>34.229568265109101</v>
      </c>
      <c r="G473" s="3" t="str">
        <f t="shared" si="7"/>
        <v>Obese</v>
      </c>
      <c r="H473" t="s">
        <v>455</v>
      </c>
      <c r="I473" t="s">
        <v>18</v>
      </c>
      <c r="J473" t="s">
        <v>19</v>
      </c>
      <c r="K473" t="s">
        <v>18</v>
      </c>
      <c r="L473" t="s">
        <v>32</v>
      </c>
      <c r="M473" t="s">
        <v>19</v>
      </c>
      <c r="N473" t="s">
        <v>21</v>
      </c>
      <c r="O473" t="s">
        <v>19</v>
      </c>
      <c r="P473" t="s">
        <v>19</v>
      </c>
      <c r="Q473" t="s">
        <v>18</v>
      </c>
    </row>
    <row r="474" spans="1:17" x14ac:dyDescent="0.35">
      <c r="A474">
        <v>1339</v>
      </c>
      <c r="B474">
        <v>66</v>
      </c>
      <c r="C474" t="s">
        <v>27</v>
      </c>
      <c r="D474">
        <v>189</v>
      </c>
      <c r="E474">
        <v>65</v>
      </c>
      <c r="F474" s="3">
        <v>32.823619637806502</v>
      </c>
      <c r="G474" s="3" t="str">
        <f t="shared" si="7"/>
        <v>Obese</v>
      </c>
      <c r="H474" t="s">
        <v>664</v>
      </c>
      <c r="I474" t="s">
        <v>31</v>
      </c>
      <c r="J474" t="s">
        <v>20</v>
      </c>
      <c r="K474" t="s">
        <v>22</v>
      </c>
      <c r="L474" t="s">
        <v>14</v>
      </c>
      <c r="M474" t="s">
        <v>19</v>
      </c>
      <c r="N474" t="s">
        <v>21</v>
      </c>
      <c r="O474" t="s">
        <v>19</v>
      </c>
      <c r="P474" t="s">
        <v>19</v>
      </c>
      <c r="Q474" t="s">
        <v>18</v>
      </c>
    </row>
    <row r="475" spans="1:17" x14ac:dyDescent="0.35">
      <c r="A475">
        <v>1380</v>
      </c>
      <c r="B475">
        <v>66</v>
      </c>
      <c r="C475" t="s">
        <v>27</v>
      </c>
      <c r="D475">
        <v>185</v>
      </c>
      <c r="E475">
        <v>94</v>
      </c>
      <c r="F475" s="3">
        <v>30.788387071893698</v>
      </c>
      <c r="G475" s="3" t="str">
        <f t="shared" si="7"/>
        <v>Obese</v>
      </c>
      <c r="H475" t="s">
        <v>1018</v>
      </c>
      <c r="I475" t="s">
        <v>18</v>
      </c>
      <c r="J475" t="s">
        <v>19</v>
      </c>
      <c r="K475" t="s">
        <v>22</v>
      </c>
      <c r="L475" t="s">
        <v>32</v>
      </c>
      <c r="M475" t="s">
        <v>19</v>
      </c>
      <c r="N475" t="s">
        <v>25</v>
      </c>
      <c r="O475" t="s">
        <v>19</v>
      </c>
      <c r="P475" t="s">
        <v>20</v>
      </c>
      <c r="Q475" t="s">
        <v>22</v>
      </c>
    </row>
    <row r="476" spans="1:17" x14ac:dyDescent="0.35">
      <c r="A476">
        <v>494</v>
      </c>
      <c r="B476">
        <v>20</v>
      </c>
      <c r="C476" t="s">
        <v>27</v>
      </c>
      <c r="D476">
        <v>183</v>
      </c>
      <c r="E476">
        <v>61</v>
      </c>
      <c r="F476" s="3">
        <v>20.5731176248031</v>
      </c>
      <c r="G476" s="3" t="str">
        <f t="shared" si="7"/>
        <v>Normal Weight</v>
      </c>
      <c r="H476" t="s">
        <v>114</v>
      </c>
      <c r="I476" t="s">
        <v>31</v>
      </c>
      <c r="J476" t="s">
        <v>20</v>
      </c>
      <c r="K476" t="s">
        <v>18</v>
      </c>
      <c r="L476" t="s">
        <v>29</v>
      </c>
      <c r="M476" t="s">
        <v>19</v>
      </c>
      <c r="N476" t="s">
        <v>21</v>
      </c>
      <c r="O476" t="s">
        <v>19</v>
      </c>
      <c r="P476" t="s">
        <v>20</v>
      </c>
      <c r="Q476" t="s">
        <v>18</v>
      </c>
    </row>
    <row r="477" spans="1:17" x14ac:dyDescent="0.35">
      <c r="A477">
        <v>1616</v>
      </c>
      <c r="B477">
        <v>66</v>
      </c>
      <c r="C477" t="s">
        <v>27</v>
      </c>
      <c r="D477">
        <v>161</v>
      </c>
      <c r="E477">
        <v>84</v>
      </c>
      <c r="F477" s="3">
        <v>18.596768010138099</v>
      </c>
      <c r="G477" s="3" t="str">
        <f t="shared" si="7"/>
        <v>Normal Weight</v>
      </c>
      <c r="H477" t="s">
        <v>391</v>
      </c>
      <c r="I477" t="s">
        <v>24</v>
      </c>
      <c r="J477" t="s">
        <v>19</v>
      </c>
      <c r="K477" t="s">
        <v>22</v>
      </c>
      <c r="L477" t="s">
        <v>38</v>
      </c>
      <c r="M477" t="s">
        <v>19</v>
      </c>
      <c r="N477" t="s">
        <v>21</v>
      </c>
      <c r="O477" t="s">
        <v>20</v>
      </c>
      <c r="P477" t="s">
        <v>20</v>
      </c>
      <c r="Q477" t="s">
        <v>22</v>
      </c>
    </row>
    <row r="478" spans="1:17" x14ac:dyDescent="0.35">
      <c r="A478">
        <v>498</v>
      </c>
      <c r="B478">
        <v>67</v>
      </c>
      <c r="C478" t="s">
        <v>27</v>
      </c>
      <c r="D478">
        <v>183</v>
      </c>
      <c r="E478">
        <v>65</v>
      </c>
      <c r="F478" s="3">
        <v>25.283881551919698</v>
      </c>
      <c r="G478" s="3" t="str">
        <f t="shared" si="7"/>
        <v>Overweight</v>
      </c>
      <c r="H478" t="s">
        <v>463</v>
      </c>
      <c r="I478" t="s">
        <v>24</v>
      </c>
      <c r="J478" t="s">
        <v>19</v>
      </c>
      <c r="K478" t="s">
        <v>18</v>
      </c>
      <c r="L478" t="s">
        <v>29</v>
      </c>
      <c r="M478" t="s">
        <v>19</v>
      </c>
      <c r="N478" t="s">
        <v>21</v>
      </c>
      <c r="O478" t="s">
        <v>19</v>
      </c>
      <c r="P478" t="s">
        <v>19</v>
      </c>
      <c r="Q478" t="s">
        <v>40</v>
      </c>
    </row>
    <row r="479" spans="1:17" x14ac:dyDescent="0.35">
      <c r="A479">
        <v>1629</v>
      </c>
      <c r="B479">
        <v>66</v>
      </c>
      <c r="C479" t="s">
        <v>16</v>
      </c>
      <c r="D479">
        <v>177</v>
      </c>
      <c r="E479">
        <v>79</v>
      </c>
      <c r="F479" s="3">
        <v>29.541043566325001</v>
      </c>
      <c r="G479" s="3" t="str">
        <f t="shared" si="7"/>
        <v>Overweight</v>
      </c>
      <c r="H479" t="s">
        <v>1123</v>
      </c>
      <c r="I479" t="s">
        <v>24</v>
      </c>
      <c r="J479" t="s">
        <v>20</v>
      </c>
      <c r="K479" t="s">
        <v>22</v>
      </c>
      <c r="L479" t="s">
        <v>32</v>
      </c>
      <c r="M479" t="s">
        <v>19</v>
      </c>
      <c r="N479" t="s">
        <v>25</v>
      </c>
      <c r="O479" t="s">
        <v>20</v>
      </c>
      <c r="P479" t="s">
        <v>20</v>
      </c>
      <c r="Q479" t="s">
        <v>40</v>
      </c>
    </row>
    <row r="480" spans="1:17" x14ac:dyDescent="0.35">
      <c r="A480">
        <v>501</v>
      </c>
      <c r="B480">
        <v>39</v>
      </c>
      <c r="C480" t="s">
        <v>16</v>
      </c>
      <c r="D480">
        <v>170</v>
      </c>
      <c r="E480">
        <v>56</v>
      </c>
      <c r="F480" s="3">
        <v>24.550201515099101</v>
      </c>
      <c r="G480" s="3" t="str">
        <f t="shared" si="7"/>
        <v>Normal Weight</v>
      </c>
      <c r="H480" t="s">
        <v>464</v>
      </c>
      <c r="I480" t="s">
        <v>18</v>
      </c>
      <c r="J480" t="s">
        <v>20</v>
      </c>
      <c r="K480" t="s">
        <v>18</v>
      </c>
      <c r="L480" t="s">
        <v>32</v>
      </c>
      <c r="M480" t="s">
        <v>20</v>
      </c>
      <c r="N480" t="s">
        <v>25</v>
      </c>
      <c r="O480" t="s">
        <v>20</v>
      </c>
      <c r="P480" t="s">
        <v>19</v>
      </c>
      <c r="Q480" t="s">
        <v>22</v>
      </c>
    </row>
    <row r="481" spans="1:17" x14ac:dyDescent="0.35">
      <c r="A481">
        <v>505</v>
      </c>
      <c r="B481">
        <v>59</v>
      </c>
      <c r="C481" t="s">
        <v>16</v>
      </c>
      <c r="D481">
        <v>150</v>
      </c>
      <c r="E481">
        <v>52</v>
      </c>
      <c r="F481" s="3">
        <v>31.702270115409199</v>
      </c>
      <c r="G481" s="3" t="str">
        <f t="shared" si="7"/>
        <v>Obese</v>
      </c>
      <c r="H481" t="s">
        <v>468</v>
      </c>
      <c r="I481" t="s">
        <v>24</v>
      </c>
      <c r="J481" t="s">
        <v>20</v>
      </c>
      <c r="K481" t="s">
        <v>18</v>
      </c>
      <c r="L481" t="s">
        <v>14</v>
      </c>
      <c r="M481" t="s">
        <v>19</v>
      </c>
      <c r="N481" t="s">
        <v>21</v>
      </c>
      <c r="O481" t="s">
        <v>19</v>
      </c>
      <c r="P481" t="s">
        <v>20</v>
      </c>
      <c r="Q481" t="s">
        <v>18</v>
      </c>
    </row>
    <row r="482" spans="1:17" x14ac:dyDescent="0.35">
      <c r="A482">
        <v>1667</v>
      </c>
      <c r="B482">
        <v>66</v>
      </c>
      <c r="C482" t="s">
        <v>27</v>
      </c>
      <c r="D482">
        <v>162</v>
      </c>
      <c r="E482">
        <v>81</v>
      </c>
      <c r="F482" s="3">
        <v>26.503703000854401</v>
      </c>
      <c r="G482" s="3" t="str">
        <f t="shared" si="7"/>
        <v>Overweight</v>
      </c>
      <c r="H482" t="s">
        <v>1137</v>
      </c>
      <c r="I482" t="s">
        <v>31</v>
      </c>
      <c r="J482" t="s">
        <v>20</v>
      </c>
      <c r="K482" t="s">
        <v>22</v>
      </c>
      <c r="L482" t="s">
        <v>32</v>
      </c>
      <c r="M482" t="s">
        <v>19</v>
      </c>
      <c r="N482" t="s">
        <v>21</v>
      </c>
      <c r="O482" t="s">
        <v>19</v>
      </c>
      <c r="P482" t="s">
        <v>19</v>
      </c>
      <c r="Q482" t="s">
        <v>18</v>
      </c>
    </row>
    <row r="483" spans="1:17" x14ac:dyDescent="0.35">
      <c r="A483">
        <v>1864</v>
      </c>
      <c r="B483">
        <v>66</v>
      </c>
      <c r="C483" t="s">
        <v>16</v>
      </c>
      <c r="D483">
        <v>189</v>
      </c>
      <c r="E483">
        <v>56</v>
      </c>
      <c r="F483" s="3">
        <v>30.211453328695502</v>
      </c>
      <c r="G483" s="3" t="str">
        <f t="shared" si="7"/>
        <v>Obese</v>
      </c>
      <c r="H483" t="s">
        <v>890</v>
      </c>
      <c r="I483" t="s">
        <v>31</v>
      </c>
      <c r="J483" t="s">
        <v>20</v>
      </c>
      <c r="K483" t="s">
        <v>22</v>
      </c>
      <c r="L483" t="s">
        <v>29</v>
      </c>
      <c r="M483" t="s">
        <v>19</v>
      </c>
      <c r="N483" t="s">
        <v>21</v>
      </c>
      <c r="O483" t="s">
        <v>19</v>
      </c>
      <c r="P483" t="s">
        <v>19</v>
      </c>
      <c r="Q483" t="s">
        <v>18</v>
      </c>
    </row>
    <row r="484" spans="1:17" x14ac:dyDescent="0.35">
      <c r="A484">
        <v>1925</v>
      </c>
      <c r="B484">
        <v>66</v>
      </c>
      <c r="C484" t="s">
        <v>16</v>
      </c>
      <c r="D484">
        <v>187</v>
      </c>
      <c r="E484">
        <v>70</v>
      </c>
      <c r="F484" s="3">
        <v>31.159351003627101</v>
      </c>
      <c r="G484" s="3" t="str">
        <f t="shared" si="7"/>
        <v>Obese</v>
      </c>
      <c r="H484" t="s">
        <v>320</v>
      </c>
      <c r="I484" t="s">
        <v>24</v>
      </c>
      <c r="J484" t="s">
        <v>20</v>
      </c>
      <c r="K484" t="s">
        <v>22</v>
      </c>
      <c r="L484" t="s">
        <v>38</v>
      </c>
      <c r="M484" t="s">
        <v>19</v>
      </c>
      <c r="N484" t="s">
        <v>25</v>
      </c>
      <c r="O484" t="s">
        <v>19</v>
      </c>
      <c r="P484" t="s">
        <v>20</v>
      </c>
      <c r="Q484" t="s">
        <v>40</v>
      </c>
    </row>
    <row r="485" spans="1:17" x14ac:dyDescent="0.35">
      <c r="A485">
        <v>1931</v>
      </c>
      <c r="B485">
        <v>66</v>
      </c>
      <c r="C485" t="s">
        <v>27</v>
      </c>
      <c r="D485">
        <v>152</v>
      </c>
      <c r="E485">
        <v>66</v>
      </c>
      <c r="F485" s="3">
        <v>21.913385944467699</v>
      </c>
      <c r="G485" s="3" t="str">
        <f t="shared" si="7"/>
        <v>Normal Weight</v>
      </c>
      <c r="H485" t="s">
        <v>705</v>
      </c>
      <c r="I485" t="s">
        <v>24</v>
      </c>
      <c r="J485" t="s">
        <v>20</v>
      </c>
      <c r="K485" t="s">
        <v>22</v>
      </c>
      <c r="L485" t="s">
        <v>29</v>
      </c>
      <c r="M485" t="s">
        <v>19</v>
      </c>
      <c r="N485" t="s">
        <v>21</v>
      </c>
      <c r="O485" t="s">
        <v>20</v>
      </c>
      <c r="P485" t="s">
        <v>19</v>
      </c>
      <c r="Q485" t="s">
        <v>40</v>
      </c>
    </row>
    <row r="486" spans="1:17" x14ac:dyDescent="0.35">
      <c r="A486">
        <v>106</v>
      </c>
      <c r="B486">
        <v>65</v>
      </c>
      <c r="C486" t="s">
        <v>16</v>
      </c>
      <c r="D486">
        <v>165</v>
      </c>
      <c r="E486">
        <v>83</v>
      </c>
      <c r="F486" s="3">
        <v>33.723644803458903</v>
      </c>
      <c r="G486" s="3" t="str">
        <f t="shared" si="7"/>
        <v>Obese</v>
      </c>
      <c r="H486" t="s">
        <v>133</v>
      </c>
      <c r="I486" t="s">
        <v>18</v>
      </c>
      <c r="J486" t="s">
        <v>20</v>
      </c>
      <c r="K486" t="s">
        <v>22</v>
      </c>
      <c r="L486" t="s">
        <v>32</v>
      </c>
      <c r="M486" t="s">
        <v>20</v>
      </c>
      <c r="N486" t="s">
        <v>25</v>
      </c>
      <c r="O486" t="s">
        <v>19</v>
      </c>
      <c r="P486" t="s">
        <v>19</v>
      </c>
      <c r="Q486" t="s">
        <v>18</v>
      </c>
    </row>
    <row r="487" spans="1:17" x14ac:dyDescent="0.35">
      <c r="A487">
        <v>161</v>
      </c>
      <c r="B487">
        <v>65</v>
      </c>
      <c r="C487" t="s">
        <v>27</v>
      </c>
      <c r="D487">
        <v>164</v>
      </c>
      <c r="E487">
        <v>54</v>
      </c>
      <c r="F487" s="3">
        <v>26.018217565757901</v>
      </c>
      <c r="G487" s="3" t="str">
        <f t="shared" si="7"/>
        <v>Overweight</v>
      </c>
      <c r="H487" t="s">
        <v>183</v>
      </c>
      <c r="I487" t="s">
        <v>18</v>
      </c>
      <c r="J487" t="s">
        <v>20</v>
      </c>
      <c r="K487" t="s">
        <v>22</v>
      </c>
      <c r="L487" t="s">
        <v>38</v>
      </c>
      <c r="M487" t="s">
        <v>20</v>
      </c>
      <c r="N487" t="s">
        <v>21</v>
      </c>
      <c r="O487" t="s">
        <v>19</v>
      </c>
      <c r="P487" t="s">
        <v>19</v>
      </c>
      <c r="Q487" t="s">
        <v>22</v>
      </c>
    </row>
    <row r="488" spans="1:17" x14ac:dyDescent="0.35">
      <c r="A488">
        <v>506</v>
      </c>
      <c r="B488">
        <v>19</v>
      </c>
      <c r="C488" t="s">
        <v>16</v>
      </c>
      <c r="D488">
        <v>177</v>
      </c>
      <c r="E488">
        <v>64</v>
      </c>
      <c r="F488" s="3">
        <v>22.487372193516499</v>
      </c>
      <c r="G488" s="3" t="str">
        <f t="shared" si="7"/>
        <v>Normal Weight</v>
      </c>
      <c r="H488" t="s">
        <v>469</v>
      </c>
      <c r="I488" t="s">
        <v>18</v>
      </c>
      <c r="J488" t="s">
        <v>20</v>
      </c>
      <c r="K488" t="s">
        <v>18</v>
      </c>
      <c r="L488" t="s">
        <v>29</v>
      </c>
      <c r="M488" t="s">
        <v>19</v>
      </c>
      <c r="N488" t="s">
        <v>25</v>
      </c>
      <c r="O488" t="s">
        <v>19</v>
      </c>
      <c r="P488" t="s">
        <v>19</v>
      </c>
      <c r="Q488" t="s">
        <v>40</v>
      </c>
    </row>
    <row r="489" spans="1:17" x14ac:dyDescent="0.35">
      <c r="A489">
        <v>361</v>
      </c>
      <c r="B489">
        <v>65</v>
      </c>
      <c r="C489" t="s">
        <v>16</v>
      </c>
      <c r="D489">
        <v>167</v>
      </c>
      <c r="E489">
        <v>53</v>
      </c>
      <c r="F489" s="3">
        <v>23.098456212820601</v>
      </c>
      <c r="G489" s="3" t="str">
        <f t="shared" si="7"/>
        <v>Normal Weight</v>
      </c>
      <c r="H489" t="s">
        <v>363</v>
      </c>
      <c r="I489" t="s">
        <v>31</v>
      </c>
      <c r="J489" t="s">
        <v>19</v>
      </c>
      <c r="K489" t="s">
        <v>22</v>
      </c>
      <c r="L489" t="s">
        <v>38</v>
      </c>
      <c r="M489" t="s">
        <v>20</v>
      </c>
      <c r="N489" t="s">
        <v>21</v>
      </c>
      <c r="O489" t="s">
        <v>19</v>
      </c>
      <c r="P489" t="s">
        <v>20</v>
      </c>
      <c r="Q489" t="s">
        <v>22</v>
      </c>
    </row>
    <row r="490" spans="1:17" x14ac:dyDescent="0.35">
      <c r="A490">
        <v>368</v>
      </c>
      <c r="B490">
        <v>65</v>
      </c>
      <c r="C490" t="s">
        <v>27</v>
      </c>
      <c r="D490">
        <v>167</v>
      </c>
      <c r="E490">
        <v>64</v>
      </c>
      <c r="F490" s="3">
        <v>34.980083440958197</v>
      </c>
      <c r="G490" s="3" t="str">
        <f t="shared" si="7"/>
        <v>Obese</v>
      </c>
      <c r="H490" t="s">
        <v>369</v>
      </c>
      <c r="I490" t="s">
        <v>31</v>
      </c>
      <c r="J490" t="s">
        <v>19</v>
      </c>
      <c r="K490" t="s">
        <v>22</v>
      </c>
      <c r="L490" t="s">
        <v>14</v>
      </c>
      <c r="M490" t="s">
        <v>19</v>
      </c>
      <c r="N490" t="s">
        <v>21</v>
      </c>
      <c r="O490" t="s">
        <v>20</v>
      </c>
      <c r="P490" t="s">
        <v>19</v>
      </c>
      <c r="Q490" t="s">
        <v>22</v>
      </c>
    </row>
    <row r="491" spans="1:17" x14ac:dyDescent="0.35">
      <c r="A491">
        <v>510</v>
      </c>
      <c r="B491">
        <v>50</v>
      </c>
      <c r="C491" t="s">
        <v>27</v>
      </c>
      <c r="D491">
        <v>183</v>
      </c>
      <c r="E491">
        <v>68</v>
      </c>
      <c r="F491" s="3">
        <v>26.847775702415401</v>
      </c>
      <c r="G491" s="3" t="str">
        <f t="shared" si="7"/>
        <v>Overweight</v>
      </c>
      <c r="H491" t="s">
        <v>472</v>
      </c>
      <c r="I491" t="s">
        <v>24</v>
      </c>
      <c r="J491" t="s">
        <v>19</v>
      </c>
      <c r="K491" t="s">
        <v>18</v>
      </c>
      <c r="L491" t="s">
        <v>29</v>
      </c>
      <c r="M491" t="s">
        <v>19</v>
      </c>
      <c r="N491" t="s">
        <v>21</v>
      </c>
      <c r="O491" t="s">
        <v>20</v>
      </c>
      <c r="P491" t="s">
        <v>19</v>
      </c>
      <c r="Q491" t="s">
        <v>18</v>
      </c>
    </row>
    <row r="492" spans="1:17" x14ac:dyDescent="0.35">
      <c r="A492">
        <v>399</v>
      </c>
      <c r="B492">
        <v>65</v>
      </c>
      <c r="C492" t="s">
        <v>16</v>
      </c>
      <c r="D492">
        <v>179</v>
      </c>
      <c r="E492">
        <v>62</v>
      </c>
      <c r="F492" s="3">
        <v>27.2998385396834</v>
      </c>
      <c r="G492" s="3" t="str">
        <f t="shared" si="7"/>
        <v>Overweight</v>
      </c>
      <c r="H492" t="s">
        <v>308</v>
      </c>
      <c r="I492" t="s">
        <v>24</v>
      </c>
      <c r="J492" t="s">
        <v>19</v>
      </c>
      <c r="K492" t="s">
        <v>22</v>
      </c>
      <c r="L492" t="s">
        <v>38</v>
      </c>
      <c r="M492" t="s">
        <v>20</v>
      </c>
      <c r="N492" t="s">
        <v>25</v>
      </c>
      <c r="O492" t="s">
        <v>19</v>
      </c>
      <c r="P492" t="s">
        <v>20</v>
      </c>
      <c r="Q492" t="s">
        <v>18</v>
      </c>
    </row>
    <row r="493" spans="1:17" x14ac:dyDescent="0.35">
      <c r="A493">
        <v>420</v>
      </c>
      <c r="B493">
        <v>65</v>
      </c>
      <c r="C493" t="s">
        <v>27</v>
      </c>
      <c r="D493">
        <v>158</v>
      </c>
      <c r="E493">
        <v>77</v>
      </c>
      <c r="F493" s="3">
        <v>31.6012384293883</v>
      </c>
      <c r="G493" s="3" t="str">
        <f t="shared" si="7"/>
        <v>Obese</v>
      </c>
      <c r="H493" t="s">
        <v>402</v>
      </c>
      <c r="I493" t="s">
        <v>18</v>
      </c>
      <c r="J493" t="s">
        <v>19</v>
      </c>
      <c r="K493" t="s">
        <v>22</v>
      </c>
      <c r="L493" t="s">
        <v>32</v>
      </c>
      <c r="M493" t="s">
        <v>20</v>
      </c>
      <c r="N493" t="s">
        <v>21</v>
      </c>
      <c r="O493" t="s">
        <v>20</v>
      </c>
      <c r="P493" t="s">
        <v>20</v>
      </c>
      <c r="Q493" t="s">
        <v>22</v>
      </c>
    </row>
    <row r="494" spans="1:17" x14ac:dyDescent="0.35">
      <c r="A494">
        <v>511</v>
      </c>
      <c r="B494">
        <v>26</v>
      </c>
      <c r="C494" t="s">
        <v>27</v>
      </c>
      <c r="D494">
        <v>160</v>
      </c>
      <c r="E494">
        <v>62</v>
      </c>
      <c r="F494" s="3">
        <v>31.3325105161185</v>
      </c>
      <c r="G494" s="3" t="str">
        <f t="shared" si="7"/>
        <v>Obese</v>
      </c>
      <c r="H494" t="s">
        <v>473</v>
      </c>
      <c r="I494" t="s">
        <v>24</v>
      </c>
      <c r="J494" t="s">
        <v>19</v>
      </c>
      <c r="K494" t="s">
        <v>18</v>
      </c>
      <c r="L494" t="s">
        <v>29</v>
      </c>
      <c r="M494" t="s">
        <v>19</v>
      </c>
      <c r="N494" t="s">
        <v>21</v>
      </c>
      <c r="O494" t="s">
        <v>20</v>
      </c>
      <c r="P494" t="s">
        <v>19</v>
      </c>
      <c r="Q494" t="s">
        <v>40</v>
      </c>
    </row>
    <row r="495" spans="1:17" x14ac:dyDescent="0.35">
      <c r="A495">
        <v>512</v>
      </c>
      <c r="B495">
        <v>60</v>
      </c>
      <c r="C495" t="s">
        <v>27</v>
      </c>
      <c r="D495">
        <v>185</v>
      </c>
      <c r="E495">
        <v>91</v>
      </c>
      <c r="F495" s="3">
        <v>32.6623284915011</v>
      </c>
      <c r="G495" s="3" t="str">
        <f t="shared" si="7"/>
        <v>Obese</v>
      </c>
      <c r="H495" t="s">
        <v>474</v>
      </c>
      <c r="I495" t="s">
        <v>31</v>
      </c>
      <c r="J495" t="s">
        <v>20</v>
      </c>
      <c r="K495" t="s">
        <v>18</v>
      </c>
      <c r="L495" t="s">
        <v>14</v>
      </c>
      <c r="M495" t="s">
        <v>20</v>
      </c>
      <c r="N495" t="s">
        <v>21</v>
      </c>
      <c r="O495" t="s">
        <v>19</v>
      </c>
      <c r="P495" t="s">
        <v>19</v>
      </c>
      <c r="Q495" t="s">
        <v>18</v>
      </c>
    </row>
    <row r="496" spans="1:17" x14ac:dyDescent="0.35">
      <c r="A496">
        <v>513</v>
      </c>
      <c r="B496">
        <v>71</v>
      </c>
      <c r="C496" t="s">
        <v>16</v>
      </c>
      <c r="D496">
        <v>166</v>
      </c>
      <c r="E496">
        <v>70</v>
      </c>
      <c r="F496" s="3">
        <v>32.4402574092733</v>
      </c>
      <c r="G496" s="3" t="str">
        <f t="shared" si="7"/>
        <v>Obese</v>
      </c>
      <c r="H496" t="s">
        <v>156</v>
      </c>
      <c r="I496" t="s">
        <v>31</v>
      </c>
      <c r="J496" t="s">
        <v>19</v>
      </c>
      <c r="K496" t="s">
        <v>40</v>
      </c>
      <c r="L496" t="s">
        <v>14</v>
      </c>
      <c r="M496" t="s">
        <v>20</v>
      </c>
      <c r="N496" t="s">
        <v>21</v>
      </c>
      <c r="O496" t="s">
        <v>20</v>
      </c>
      <c r="P496" t="s">
        <v>20</v>
      </c>
      <c r="Q496" t="s">
        <v>18</v>
      </c>
    </row>
    <row r="497" spans="1:17" x14ac:dyDescent="0.35">
      <c r="A497">
        <v>514</v>
      </c>
      <c r="B497">
        <v>65</v>
      </c>
      <c r="C497" t="s">
        <v>27</v>
      </c>
      <c r="D497">
        <v>184</v>
      </c>
      <c r="E497">
        <v>86</v>
      </c>
      <c r="F497" s="3">
        <v>24.434646760180598</v>
      </c>
      <c r="G497" s="3" t="str">
        <f t="shared" si="7"/>
        <v>Normal Weight</v>
      </c>
      <c r="H497" t="s">
        <v>475</v>
      </c>
      <c r="I497" t="s">
        <v>24</v>
      </c>
      <c r="J497" t="s">
        <v>20</v>
      </c>
      <c r="K497" t="s">
        <v>18</v>
      </c>
      <c r="L497" t="s">
        <v>38</v>
      </c>
      <c r="M497" t="s">
        <v>20</v>
      </c>
      <c r="N497" t="s">
        <v>25</v>
      </c>
      <c r="O497" t="s">
        <v>20</v>
      </c>
      <c r="P497" t="s">
        <v>20</v>
      </c>
      <c r="Q497" t="s">
        <v>22</v>
      </c>
    </row>
    <row r="498" spans="1:17" x14ac:dyDescent="0.35">
      <c r="A498">
        <v>515</v>
      </c>
      <c r="B498">
        <v>56</v>
      </c>
      <c r="C498" t="s">
        <v>27</v>
      </c>
      <c r="D498">
        <v>167</v>
      </c>
      <c r="E498">
        <v>76</v>
      </c>
      <c r="F498" s="3">
        <v>29.839366667101199</v>
      </c>
      <c r="G498" s="3" t="str">
        <f t="shared" si="7"/>
        <v>Overweight</v>
      </c>
      <c r="H498" t="s">
        <v>476</v>
      </c>
      <c r="I498" t="s">
        <v>31</v>
      </c>
      <c r="J498" t="s">
        <v>20</v>
      </c>
      <c r="K498" t="s">
        <v>18</v>
      </c>
      <c r="L498" t="s">
        <v>32</v>
      </c>
      <c r="M498" t="s">
        <v>19</v>
      </c>
      <c r="N498" t="s">
        <v>21</v>
      </c>
      <c r="O498" t="s">
        <v>19</v>
      </c>
      <c r="P498" t="s">
        <v>20</v>
      </c>
      <c r="Q498" t="s">
        <v>40</v>
      </c>
    </row>
    <row r="499" spans="1:17" x14ac:dyDescent="0.35">
      <c r="A499">
        <v>517</v>
      </c>
      <c r="B499">
        <v>59</v>
      </c>
      <c r="C499" t="s">
        <v>27</v>
      </c>
      <c r="D499">
        <v>171</v>
      </c>
      <c r="E499">
        <v>69</v>
      </c>
      <c r="F499" s="3">
        <v>19.504941463380501</v>
      </c>
      <c r="G499" s="3" t="str">
        <f t="shared" si="7"/>
        <v>Normal Weight</v>
      </c>
      <c r="H499" t="s">
        <v>478</v>
      </c>
      <c r="I499" t="s">
        <v>24</v>
      </c>
      <c r="J499" t="s">
        <v>20</v>
      </c>
      <c r="K499" t="s">
        <v>18</v>
      </c>
      <c r="L499" t="s">
        <v>14</v>
      </c>
      <c r="M499" t="s">
        <v>20</v>
      </c>
      <c r="N499" t="s">
        <v>21</v>
      </c>
      <c r="O499" t="s">
        <v>19</v>
      </c>
      <c r="P499" t="s">
        <v>20</v>
      </c>
      <c r="Q499" t="s">
        <v>40</v>
      </c>
    </row>
    <row r="500" spans="1:17" x14ac:dyDescent="0.35">
      <c r="A500">
        <v>519</v>
      </c>
      <c r="B500">
        <v>43</v>
      </c>
      <c r="C500" t="s">
        <v>27</v>
      </c>
      <c r="D500">
        <v>168</v>
      </c>
      <c r="E500">
        <v>55</v>
      </c>
      <c r="F500" s="3">
        <v>18.662154617401399</v>
      </c>
      <c r="G500" s="3" t="str">
        <f t="shared" si="7"/>
        <v>Normal Weight</v>
      </c>
      <c r="H500" t="s">
        <v>367</v>
      </c>
      <c r="I500" t="s">
        <v>18</v>
      </c>
      <c r="J500" t="s">
        <v>20</v>
      </c>
      <c r="K500" t="s">
        <v>18</v>
      </c>
      <c r="L500" t="s">
        <v>38</v>
      </c>
      <c r="M500" t="s">
        <v>20</v>
      </c>
      <c r="N500" t="s">
        <v>25</v>
      </c>
      <c r="O500" t="s">
        <v>19</v>
      </c>
      <c r="P500" t="s">
        <v>19</v>
      </c>
      <c r="Q500" t="s">
        <v>40</v>
      </c>
    </row>
    <row r="501" spans="1:17" x14ac:dyDescent="0.35">
      <c r="A501">
        <v>852</v>
      </c>
      <c r="B501">
        <v>65</v>
      </c>
      <c r="C501" t="s">
        <v>16</v>
      </c>
      <c r="D501">
        <v>182</v>
      </c>
      <c r="E501">
        <v>69</v>
      </c>
      <c r="F501" s="3">
        <v>34.692825014981103</v>
      </c>
      <c r="G501" s="3" t="str">
        <f t="shared" si="7"/>
        <v>Obese</v>
      </c>
      <c r="H501" t="s">
        <v>714</v>
      </c>
      <c r="I501" t="s">
        <v>18</v>
      </c>
      <c r="J501" t="s">
        <v>20</v>
      </c>
      <c r="K501" t="s">
        <v>22</v>
      </c>
      <c r="L501" t="s">
        <v>32</v>
      </c>
      <c r="M501" t="s">
        <v>20</v>
      </c>
      <c r="N501" t="s">
        <v>21</v>
      </c>
      <c r="O501" t="s">
        <v>20</v>
      </c>
      <c r="P501" t="s">
        <v>20</v>
      </c>
      <c r="Q501" t="s">
        <v>22</v>
      </c>
    </row>
    <row r="502" spans="1:17" x14ac:dyDescent="0.35">
      <c r="A502">
        <v>521</v>
      </c>
      <c r="B502">
        <v>67</v>
      </c>
      <c r="C502" t="s">
        <v>16</v>
      </c>
      <c r="D502">
        <v>188</v>
      </c>
      <c r="E502">
        <v>51</v>
      </c>
      <c r="F502" s="3">
        <v>23.9347579434842</v>
      </c>
      <c r="G502" s="3" t="str">
        <f t="shared" si="7"/>
        <v>Normal Weight</v>
      </c>
      <c r="H502" t="s">
        <v>481</v>
      </c>
      <c r="I502" t="s">
        <v>31</v>
      </c>
      <c r="J502" t="s">
        <v>19</v>
      </c>
      <c r="K502" t="s">
        <v>18</v>
      </c>
      <c r="L502" t="s">
        <v>29</v>
      </c>
      <c r="M502" t="s">
        <v>20</v>
      </c>
      <c r="N502" t="s">
        <v>25</v>
      </c>
      <c r="O502" t="s">
        <v>20</v>
      </c>
      <c r="P502" t="s">
        <v>20</v>
      </c>
      <c r="Q502" t="s">
        <v>22</v>
      </c>
    </row>
    <row r="503" spans="1:17" x14ac:dyDescent="0.35">
      <c r="A503">
        <v>1016</v>
      </c>
      <c r="B503">
        <v>65</v>
      </c>
      <c r="C503" t="s">
        <v>27</v>
      </c>
      <c r="D503">
        <v>153</v>
      </c>
      <c r="E503">
        <v>93</v>
      </c>
      <c r="F503" s="3">
        <v>21.8150371048111</v>
      </c>
      <c r="G503" s="3" t="str">
        <f t="shared" si="7"/>
        <v>Normal Weight</v>
      </c>
      <c r="H503" t="s">
        <v>811</v>
      </c>
      <c r="I503" t="s">
        <v>31</v>
      </c>
      <c r="J503" t="s">
        <v>20</v>
      </c>
      <c r="K503" t="s">
        <v>22</v>
      </c>
      <c r="L503" t="s">
        <v>29</v>
      </c>
      <c r="M503" t="s">
        <v>19</v>
      </c>
      <c r="N503" t="s">
        <v>25</v>
      </c>
      <c r="O503" t="s">
        <v>19</v>
      </c>
      <c r="P503" t="s">
        <v>20</v>
      </c>
      <c r="Q503" t="s">
        <v>40</v>
      </c>
    </row>
    <row r="504" spans="1:17" x14ac:dyDescent="0.35">
      <c r="A504">
        <v>1072</v>
      </c>
      <c r="B504">
        <v>65</v>
      </c>
      <c r="C504" t="s">
        <v>27</v>
      </c>
      <c r="D504">
        <v>172</v>
      </c>
      <c r="E504">
        <v>63</v>
      </c>
      <c r="F504" s="3">
        <v>20.626892653712702</v>
      </c>
      <c r="G504" s="3" t="str">
        <f t="shared" si="7"/>
        <v>Normal Weight</v>
      </c>
      <c r="H504" t="s">
        <v>848</v>
      </c>
      <c r="I504" t="s">
        <v>18</v>
      </c>
      <c r="J504" t="s">
        <v>19</v>
      </c>
      <c r="K504" t="s">
        <v>22</v>
      </c>
      <c r="L504" t="s">
        <v>32</v>
      </c>
      <c r="M504" t="s">
        <v>19</v>
      </c>
      <c r="N504" t="s">
        <v>21</v>
      </c>
      <c r="O504" t="s">
        <v>19</v>
      </c>
      <c r="P504" t="s">
        <v>19</v>
      </c>
      <c r="Q504" t="s">
        <v>40</v>
      </c>
    </row>
    <row r="505" spans="1:17" x14ac:dyDescent="0.35">
      <c r="A505">
        <v>525</v>
      </c>
      <c r="B505">
        <v>77</v>
      </c>
      <c r="C505" t="s">
        <v>27</v>
      </c>
      <c r="D505">
        <v>154</v>
      </c>
      <c r="E505">
        <v>67</v>
      </c>
      <c r="F505" s="3">
        <v>31.891845738339999</v>
      </c>
      <c r="G505" s="3" t="str">
        <f t="shared" si="7"/>
        <v>Obese</v>
      </c>
      <c r="H505" t="s">
        <v>485</v>
      </c>
      <c r="I505" t="s">
        <v>18</v>
      </c>
      <c r="J505" t="s">
        <v>19</v>
      </c>
      <c r="K505" t="s">
        <v>40</v>
      </c>
      <c r="L505" t="s">
        <v>29</v>
      </c>
      <c r="M505" t="s">
        <v>19</v>
      </c>
      <c r="N505" t="s">
        <v>25</v>
      </c>
      <c r="O505" t="s">
        <v>19</v>
      </c>
      <c r="P505" t="s">
        <v>20</v>
      </c>
      <c r="Q505" t="s">
        <v>40</v>
      </c>
    </row>
    <row r="506" spans="1:17" x14ac:dyDescent="0.35">
      <c r="A506">
        <v>526</v>
      </c>
      <c r="B506">
        <v>75</v>
      </c>
      <c r="C506" t="s">
        <v>16</v>
      </c>
      <c r="D506">
        <v>166</v>
      </c>
      <c r="E506">
        <v>54</v>
      </c>
      <c r="F506" s="3">
        <v>23.3496265483314</v>
      </c>
      <c r="G506" s="3" t="str">
        <f t="shared" si="7"/>
        <v>Normal Weight</v>
      </c>
      <c r="H506" t="s">
        <v>486</v>
      </c>
      <c r="I506" t="s">
        <v>31</v>
      </c>
      <c r="J506" t="s">
        <v>19</v>
      </c>
      <c r="K506" t="s">
        <v>40</v>
      </c>
      <c r="L506" t="s">
        <v>29</v>
      </c>
      <c r="M506" t="s">
        <v>19</v>
      </c>
      <c r="N506" t="s">
        <v>21</v>
      </c>
      <c r="O506" t="s">
        <v>19</v>
      </c>
      <c r="P506" t="s">
        <v>19</v>
      </c>
      <c r="Q506" t="s">
        <v>22</v>
      </c>
    </row>
    <row r="507" spans="1:17" x14ac:dyDescent="0.35">
      <c r="A507">
        <v>527</v>
      </c>
      <c r="B507">
        <v>24</v>
      </c>
      <c r="C507" t="s">
        <v>27</v>
      </c>
      <c r="D507">
        <v>186</v>
      </c>
      <c r="E507">
        <v>85</v>
      </c>
      <c r="F507" s="3">
        <v>25.864384939778201</v>
      </c>
      <c r="G507" s="3" t="str">
        <f t="shared" si="7"/>
        <v>Overweight</v>
      </c>
      <c r="H507" t="s">
        <v>487</v>
      </c>
      <c r="I507" t="s">
        <v>31</v>
      </c>
      <c r="J507" t="s">
        <v>20</v>
      </c>
      <c r="K507" t="s">
        <v>18</v>
      </c>
      <c r="L507" t="s">
        <v>29</v>
      </c>
      <c r="M507" t="s">
        <v>19</v>
      </c>
      <c r="N507" t="s">
        <v>25</v>
      </c>
      <c r="O507" t="s">
        <v>20</v>
      </c>
      <c r="P507" t="s">
        <v>20</v>
      </c>
      <c r="Q507" t="s">
        <v>18</v>
      </c>
    </row>
    <row r="508" spans="1:17" x14ac:dyDescent="0.35">
      <c r="A508">
        <v>1541</v>
      </c>
      <c r="B508">
        <v>65</v>
      </c>
      <c r="C508" t="s">
        <v>27</v>
      </c>
      <c r="D508">
        <v>161</v>
      </c>
      <c r="E508">
        <v>90</v>
      </c>
      <c r="F508" s="3">
        <v>24.635306945345899</v>
      </c>
      <c r="G508" s="3" t="str">
        <f t="shared" si="7"/>
        <v>Normal Weight</v>
      </c>
      <c r="H508" t="s">
        <v>310</v>
      </c>
      <c r="I508" t="s">
        <v>31</v>
      </c>
      <c r="J508" t="s">
        <v>19</v>
      </c>
      <c r="K508" t="s">
        <v>22</v>
      </c>
      <c r="L508" t="s">
        <v>14</v>
      </c>
      <c r="M508" t="s">
        <v>20</v>
      </c>
      <c r="N508" t="s">
        <v>21</v>
      </c>
      <c r="O508" t="s">
        <v>19</v>
      </c>
      <c r="P508" t="s">
        <v>19</v>
      </c>
      <c r="Q508" t="s">
        <v>40</v>
      </c>
    </row>
    <row r="509" spans="1:17" x14ac:dyDescent="0.35">
      <c r="A509">
        <v>531</v>
      </c>
      <c r="B509">
        <v>37</v>
      </c>
      <c r="C509" t="s">
        <v>16</v>
      </c>
      <c r="D509">
        <v>183</v>
      </c>
      <c r="E509">
        <v>72</v>
      </c>
      <c r="F509" s="3">
        <v>22.2151568995628</v>
      </c>
      <c r="G509" s="3" t="str">
        <f t="shared" si="7"/>
        <v>Normal Weight</v>
      </c>
      <c r="H509" t="s">
        <v>489</v>
      </c>
      <c r="I509" t="s">
        <v>24</v>
      </c>
      <c r="J509" t="s">
        <v>19</v>
      </c>
      <c r="K509" t="s">
        <v>18</v>
      </c>
      <c r="L509" t="s">
        <v>29</v>
      </c>
      <c r="M509" t="s">
        <v>20</v>
      </c>
      <c r="N509" t="s">
        <v>25</v>
      </c>
      <c r="O509" t="s">
        <v>19</v>
      </c>
      <c r="P509" t="s">
        <v>19</v>
      </c>
      <c r="Q509" t="s">
        <v>18</v>
      </c>
    </row>
    <row r="510" spans="1:17" x14ac:dyDescent="0.35">
      <c r="A510">
        <v>532</v>
      </c>
      <c r="B510">
        <v>18</v>
      </c>
      <c r="C510" t="s">
        <v>27</v>
      </c>
      <c r="D510">
        <v>160</v>
      </c>
      <c r="E510">
        <v>83</v>
      </c>
      <c r="F510" s="3">
        <v>29.4282455734031</v>
      </c>
      <c r="G510" s="3" t="str">
        <f t="shared" si="7"/>
        <v>Overweight</v>
      </c>
      <c r="H510" t="s">
        <v>490</v>
      </c>
      <c r="I510" t="s">
        <v>24</v>
      </c>
      <c r="J510" t="s">
        <v>20</v>
      </c>
      <c r="K510" t="s">
        <v>18</v>
      </c>
      <c r="L510" t="s">
        <v>32</v>
      </c>
      <c r="M510" t="s">
        <v>19</v>
      </c>
      <c r="N510" t="s">
        <v>21</v>
      </c>
      <c r="O510" t="s">
        <v>19</v>
      </c>
      <c r="P510" t="s">
        <v>20</v>
      </c>
      <c r="Q510" t="s">
        <v>22</v>
      </c>
    </row>
    <row r="511" spans="1:17" x14ac:dyDescent="0.35">
      <c r="A511">
        <v>1976</v>
      </c>
      <c r="B511">
        <v>65</v>
      </c>
      <c r="C511" t="s">
        <v>16</v>
      </c>
      <c r="D511">
        <v>177</v>
      </c>
      <c r="E511">
        <v>82</v>
      </c>
      <c r="F511" s="3">
        <v>20.043082039365501</v>
      </c>
      <c r="G511" s="3" t="str">
        <f t="shared" si="7"/>
        <v>Normal Weight</v>
      </c>
      <c r="H511" t="s">
        <v>216</v>
      </c>
      <c r="I511" t="s">
        <v>18</v>
      </c>
      <c r="J511" t="s">
        <v>19</v>
      </c>
      <c r="K511" t="s">
        <v>22</v>
      </c>
      <c r="L511" t="s">
        <v>32</v>
      </c>
      <c r="M511" t="s">
        <v>20</v>
      </c>
      <c r="N511" t="s">
        <v>25</v>
      </c>
      <c r="O511" t="s">
        <v>20</v>
      </c>
      <c r="P511" t="s">
        <v>20</v>
      </c>
      <c r="Q511" t="s">
        <v>18</v>
      </c>
    </row>
    <row r="512" spans="1:17" x14ac:dyDescent="0.35">
      <c r="A512">
        <v>534</v>
      </c>
      <c r="B512">
        <v>63</v>
      </c>
      <c r="C512" t="s">
        <v>27</v>
      </c>
      <c r="D512">
        <v>170</v>
      </c>
      <c r="E512">
        <v>92</v>
      </c>
      <c r="F512" s="3">
        <v>33.599124499085399</v>
      </c>
      <c r="G512" s="3" t="str">
        <f t="shared" si="7"/>
        <v>Obese</v>
      </c>
      <c r="H512" t="s">
        <v>491</v>
      </c>
      <c r="I512" t="s">
        <v>24</v>
      </c>
      <c r="J512" t="s">
        <v>19</v>
      </c>
      <c r="K512" t="s">
        <v>18</v>
      </c>
      <c r="L512" t="s">
        <v>38</v>
      </c>
      <c r="M512" t="s">
        <v>19</v>
      </c>
      <c r="N512" t="s">
        <v>21</v>
      </c>
      <c r="O512" t="s">
        <v>19</v>
      </c>
      <c r="P512" t="s">
        <v>19</v>
      </c>
      <c r="Q512" t="s">
        <v>18</v>
      </c>
    </row>
    <row r="513" spans="1:17" x14ac:dyDescent="0.35">
      <c r="A513">
        <v>75</v>
      </c>
      <c r="B513">
        <v>64</v>
      </c>
      <c r="C513" t="s">
        <v>16</v>
      </c>
      <c r="D513">
        <v>157</v>
      </c>
      <c r="E513">
        <v>85</v>
      </c>
      <c r="F513" s="3">
        <v>23.4957896164874</v>
      </c>
      <c r="G513" s="3" t="str">
        <f t="shared" si="7"/>
        <v>Normal Weight</v>
      </c>
      <c r="H513" t="s">
        <v>104</v>
      </c>
      <c r="I513" t="s">
        <v>18</v>
      </c>
      <c r="J513" t="s">
        <v>19</v>
      </c>
      <c r="K513" t="s">
        <v>22</v>
      </c>
      <c r="L513" t="s">
        <v>32</v>
      </c>
      <c r="M513" t="s">
        <v>20</v>
      </c>
      <c r="N513" t="s">
        <v>21</v>
      </c>
      <c r="O513" t="s">
        <v>20</v>
      </c>
      <c r="P513" t="s">
        <v>19</v>
      </c>
      <c r="Q513" t="s">
        <v>18</v>
      </c>
    </row>
    <row r="514" spans="1:17" x14ac:dyDescent="0.35">
      <c r="A514">
        <v>535</v>
      </c>
      <c r="B514">
        <v>33</v>
      </c>
      <c r="C514" t="s">
        <v>16</v>
      </c>
      <c r="D514">
        <v>160</v>
      </c>
      <c r="E514">
        <v>78</v>
      </c>
      <c r="F514" s="3">
        <v>21.0799753371404</v>
      </c>
      <c r="G514" s="3" t="str">
        <f t="shared" si="7"/>
        <v>Normal Weight</v>
      </c>
      <c r="H514" t="s">
        <v>492</v>
      </c>
      <c r="I514" t="s">
        <v>31</v>
      </c>
      <c r="J514" t="s">
        <v>20</v>
      </c>
      <c r="K514" t="s">
        <v>18</v>
      </c>
      <c r="L514" t="s">
        <v>14</v>
      </c>
      <c r="M514" t="s">
        <v>20</v>
      </c>
      <c r="N514" t="s">
        <v>21</v>
      </c>
      <c r="O514" t="s">
        <v>20</v>
      </c>
      <c r="P514" t="s">
        <v>19</v>
      </c>
      <c r="Q514" t="s">
        <v>18</v>
      </c>
    </row>
    <row r="515" spans="1:17" x14ac:dyDescent="0.35">
      <c r="A515">
        <v>119</v>
      </c>
      <c r="B515">
        <v>64</v>
      </c>
      <c r="C515" t="s">
        <v>27</v>
      </c>
      <c r="D515">
        <v>152</v>
      </c>
      <c r="E515">
        <v>52</v>
      </c>
      <c r="F515" s="3">
        <v>34.545612935460298</v>
      </c>
      <c r="G515" s="3" t="str">
        <f t="shared" ref="G515:G578" si="8">_xlfn.IFS(F515&lt;18.5, "Underweight", F515&lt;=24.9, "Normal Weight", F515&lt;=29.9, "Overweight", TRUE, "Obese")</f>
        <v>Obese</v>
      </c>
      <c r="H515" t="s">
        <v>146</v>
      </c>
      <c r="I515" t="s">
        <v>18</v>
      </c>
      <c r="J515" t="s">
        <v>20</v>
      </c>
      <c r="K515" t="s">
        <v>22</v>
      </c>
      <c r="L515" t="s">
        <v>29</v>
      </c>
      <c r="M515" t="s">
        <v>19</v>
      </c>
      <c r="N515" t="s">
        <v>21</v>
      </c>
      <c r="O515" t="s">
        <v>19</v>
      </c>
      <c r="P515" t="s">
        <v>19</v>
      </c>
      <c r="Q515" t="s">
        <v>40</v>
      </c>
    </row>
    <row r="516" spans="1:17" x14ac:dyDescent="0.35">
      <c r="A516">
        <v>536</v>
      </c>
      <c r="B516">
        <v>31</v>
      </c>
      <c r="C516" t="s">
        <v>16</v>
      </c>
      <c r="D516">
        <v>188</v>
      </c>
      <c r="E516">
        <v>85</v>
      </c>
      <c r="F516" s="3">
        <v>30.9046696991843</v>
      </c>
      <c r="G516" s="3" t="str">
        <f t="shared" si="8"/>
        <v>Obese</v>
      </c>
      <c r="H516" t="s">
        <v>493</v>
      </c>
      <c r="I516" t="s">
        <v>31</v>
      </c>
      <c r="J516" t="s">
        <v>19</v>
      </c>
      <c r="K516" t="s">
        <v>18</v>
      </c>
      <c r="L516" t="s">
        <v>29</v>
      </c>
      <c r="M516" t="s">
        <v>20</v>
      </c>
      <c r="N516" t="s">
        <v>21</v>
      </c>
      <c r="O516" t="s">
        <v>19</v>
      </c>
      <c r="P516" t="s">
        <v>19</v>
      </c>
      <c r="Q516" t="s">
        <v>22</v>
      </c>
    </row>
    <row r="517" spans="1:17" x14ac:dyDescent="0.35">
      <c r="A517">
        <v>537</v>
      </c>
      <c r="B517">
        <v>29</v>
      </c>
      <c r="C517" t="s">
        <v>16</v>
      </c>
      <c r="D517">
        <v>177</v>
      </c>
      <c r="E517">
        <v>71</v>
      </c>
      <c r="F517" s="3">
        <v>27.876432168434601</v>
      </c>
      <c r="G517" s="3" t="str">
        <f t="shared" si="8"/>
        <v>Overweight</v>
      </c>
      <c r="H517" t="s">
        <v>494</v>
      </c>
      <c r="I517" t="s">
        <v>31</v>
      </c>
      <c r="J517" t="s">
        <v>19</v>
      </c>
      <c r="K517" t="s">
        <v>18</v>
      </c>
      <c r="L517" t="s">
        <v>38</v>
      </c>
      <c r="M517" t="s">
        <v>20</v>
      </c>
      <c r="N517" t="s">
        <v>21</v>
      </c>
      <c r="O517" t="s">
        <v>19</v>
      </c>
      <c r="P517" t="s">
        <v>19</v>
      </c>
      <c r="Q517" t="s">
        <v>22</v>
      </c>
    </row>
    <row r="518" spans="1:17" x14ac:dyDescent="0.35">
      <c r="A518">
        <v>500</v>
      </c>
      <c r="B518">
        <v>64</v>
      </c>
      <c r="C518" t="s">
        <v>27</v>
      </c>
      <c r="D518">
        <v>170</v>
      </c>
      <c r="E518">
        <v>59</v>
      </c>
      <c r="F518" s="3">
        <v>22.087973381584298</v>
      </c>
      <c r="G518" s="3" t="str">
        <f t="shared" si="8"/>
        <v>Normal Weight</v>
      </c>
      <c r="H518" t="s">
        <v>208</v>
      </c>
      <c r="I518" t="s">
        <v>24</v>
      </c>
      <c r="J518" t="s">
        <v>20</v>
      </c>
      <c r="K518" t="s">
        <v>22</v>
      </c>
      <c r="L518" t="s">
        <v>14</v>
      </c>
      <c r="M518" t="s">
        <v>19</v>
      </c>
      <c r="N518" t="s">
        <v>21</v>
      </c>
      <c r="O518" t="s">
        <v>20</v>
      </c>
      <c r="P518" t="s">
        <v>20</v>
      </c>
      <c r="Q518" t="s">
        <v>40</v>
      </c>
    </row>
    <row r="519" spans="1:17" x14ac:dyDescent="0.35">
      <c r="A519">
        <v>579</v>
      </c>
      <c r="B519">
        <v>64</v>
      </c>
      <c r="C519" t="s">
        <v>16</v>
      </c>
      <c r="D519">
        <v>181</v>
      </c>
      <c r="E519">
        <v>81</v>
      </c>
      <c r="F519" s="3">
        <v>21.195348420761999</v>
      </c>
      <c r="G519" s="3" t="str">
        <f t="shared" si="8"/>
        <v>Normal Weight</v>
      </c>
      <c r="H519" t="s">
        <v>531</v>
      </c>
      <c r="I519" t="s">
        <v>31</v>
      </c>
      <c r="J519" t="s">
        <v>19</v>
      </c>
      <c r="K519" t="s">
        <v>22</v>
      </c>
      <c r="L519" t="s">
        <v>14</v>
      </c>
      <c r="M519" t="s">
        <v>19</v>
      </c>
      <c r="N519" t="s">
        <v>21</v>
      </c>
      <c r="O519" t="s">
        <v>20</v>
      </c>
      <c r="P519" t="s">
        <v>19</v>
      </c>
      <c r="Q519" t="s">
        <v>40</v>
      </c>
    </row>
    <row r="520" spans="1:17" x14ac:dyDescent="0.35">
      <c r="A520">
        <v>539</v>
      </c>
      <c r="B520">
        <v>40</v>
      </c>
      <c r="C520" t="s">
        <v>16</v>
      </c>
      <c r="D520">
        <v>166</v>
      </c>
      <c r="E520">
        <v>85</v>
      </c>
      <c r="F520" s="3">
        <v>26.3281760834283</v>
      </c>
      <c r="G520" s="3" t="str">
        <f t="shared" si="8"/>
        <v>Overweight</v>
      </c>
      <c r="H520" t="s">
        <v>496</v>
      </c>
      <c r="I520" t="s">
        <v>31</v>
      </c>
      <c r="J520" t="s">
        <v>20</v>
      </c>
      <c r="K520" t="s">
        <v>18</v>
      </c>
      <c r="L520" t="s">
        <v>32</v>
      </c>
      <c r="M520" t="s">
        <v>20</v>
      </c>
      <c r="N520" t="s">
        <v>21</v>
      </c>
      <c r="O520" t="s">
        <v>19</v>
      </c>
      <c r="P520" t="s">
        <v>20</v>
      </c>
      <c r="Q520" t="s">
        <v>18</v>
      </c>
    </row>
    <row r="521" spans="1:17" x14ac:dyDescent="0.35">
      <c r="A521">
        <v>540</v>
      </c>
      <c r="B521">
        <v>32</v>
      </c>
      <c r="C521" t="s">
        <v>27</v>
      </c>
      <c r="D521">
        <v>169</v>
      </c>
      <c r="E521">
        <v>58</v>
      </c>
      <c r="F521" s="3">
        <v>24.007313851651599</v>
      </c>
      <c r="G521" s="3" t="str">
        <f t="shared" si="8"/>
        <v>Normal Weight</v>
      </c>
      <c r="H521" t="s">
        <v>497</v>
      </c>
      <c r="I521" t="s">
        <v>31</v>
      </c>
      <c r="J521" t="s">
        <v>19</v>
      </c>
      <c r="K521" t="s">
        <v>18</v>
      </c>
      <c r="L521" t="s">
        <v>29</v>
      </c>
      <c r="M521" t="s">
        <v>20</v>
      </c>
      <c r="N521" t="s">
        <v>21</v>
      </c>
      <c r="O521" t="s">
        <v>19</v>
      </c>
      <c r="P521" t="s">
        <v>20</v>
      </c>
      <c r="Q521" t="s">
        <v>18</v>
      </c>
    </row>
    <row r="522" spans="1:17" x14ac:dyDescent="0.35">
      <c r="A522">
        <v>796</v>
      </c>
      <c r="B522">
        <v>64</v>
      </c>
      <c r="C522" t="s">
        <v>27</v>
      </c>
      <c r="D522">
        <v>184</v>
      </c>
      <c r="E522">
        <v>78</v>
      </c>
      <c r="F522" s="3">
        <v>31.676171329154801</v>
      </c>
      <c r="G522" s="3" t="str">
        <f t="shared" si="8"/>
        <v>Obese</v>
      </c>
      <c r="H522" t="s">
        <v>687</v>
      </c>
      <c r="I522" t="s">
        <v>18</v>
      </c>
      <c r="J522" t="s">
        <v>19</v>
      </c>
      <c r="K522" t="s">
        <v>22</v>
      </c>
      <c r="L522" t="s">
        <v>38</v>
      </c>
      <c r="M522" t="s">
        <v>20</v>
      </c>
      <c r="N522" t="s">
        <v>21</v>
      </c>
      <c r="O522" t="s">
        <v>19</v>
      </c>
      <c r="P522" t="s">
        <v>20</v>
      </c>
      <c r="Q522" t="s">
        <v>40</v>
      </c>
    </row>
    <row r="523" spans="1:17" x14ac:dyDescent="0.35">
      <c r="A523">
        <v>543</v>
      </c>
      <c r="B523">
        <v>19</v>
      </c>
      <c r="C523" t="s">
        <v>27</v>
      </c>
      <c r="D523">
        <v>166</v>
      </c>
      <c r="E523">
        <v>87</v>
      </c>
      <c r="F523" s="3">
        <v>27.8935322428013</v>
      </c>
      <c r="G523" s="3" t="str">
        <f t="shared" si="8"/>
        <v>Overweight</v>
      </c>
      <c r="H523" t="s">
        <v>499</v>
      </c>
      <c r="I523" t="s">
        <v>31</v>
      </c>
      <c r="J523" t="s">
        <v>20</v>
      </c>
      <c r="K523" t="s">
        <v>18</v>
      </c>
      <c r="L523" t="s">
        <v>38</v>
      </c>
      <c r="M523" t="s">
        <v>19</v>
      </c>
      <c r="N523" t="s">
        <v>25</v>
      </c>
      <c r="O523" t="s">
        <v>20</v>
      </c>
      <c r="P523" t="s">
        <v>19</v>
      </c>
      <c r="Q523" t="s">
        <v>40</v>
      </c>
    </row>
    <row r="524" spans="1:17" x14ac:dyDescent="0.35">
      <c r="A524">
        <v>910</v>
      </c>
      <c r="B524">
        <v>64</v>
      </c>
      <c r="C524" t="s">
        <v>16</v>
      </c>
      <c r="D524">
        <v>170</v>
      </c>
      <c r="E524">
        <v>77</v>
      </c>
      <c r="F524" s="3">
        <v>25.804446082462601</v>
      </c>
      <c r="G524" s="3" t="str">
        <f t="shared" si="8"/>
        <v>Overweight</v>
      </c>
      <c r="H524" t="s">
        <v>398</v>
      </c>
      <c r="I524" t="s">
        <v>24</v>
      </c>
      <c r="J524" t="s">
        <v>19</v>
      </c>
      <c r="K524" t="s">
        <v>22</v>
      </c>
      <c r="L524" t="s">
        <v>14</v>
      </c>
      <c r="M524" t="s">
        <v>20</v>
      </c>
      <c r="N524" t="s">
        <v>21</v>
      </c>
      <c r="O524" t="s">
        <v>20</v>
      </c>
      <c r="P524" t="s">
        <v>19</v>
      </c>
      <c r="Q524" t="s">
        <v>40</v>
      </c>
    </row>
    <row r="525" spans="1:17" x14ac:dyDescent="0.35">
      <c r="A525">
        <v>544</v>
      </c>
      <c r="B525">
        <v>49</v>
      </c>
      <c r="C525" t="s">
        <v>27</v>
      </c>
      <c r="D525">
        <v>168</v>
      </c>
      <c r="E525">
        <v>55</v>
      </c>
      <c r="F525" s="3">
        <v>28.923419902388599</v>
      </c>
      <c r="G525" s="3" t="str">
        <f t="shared" si="8"/>
        <v>Overweight</v>
      </c>
      <c r="H525" t="s">
        <v>500</v>
      </c>
      <c r="I525" t="s">
        <v>24</v>
      </c>
      <c r="J525" t="s">
        <v>19</v>
      </c>
      <c r="K525" t="s">
        <v>18</v>
      </c>
      <c r="L525" t="s">
        <v>38</v>
      </c>
      <c r="M525" t="s">
        <v>20</v>
      </c>
      <c r="N525" t="s">
        <v>21</v>
      </c>
      <c r="O525" t="s">
        <v>20</v>
      </c>
      <c r="P525" t="s">
        <v>20</v>
      </c>
      <c r="Q525" t="s">
        <v>40</v>
      </c>
    </row>
    <row r="526" spans="1:17" x14ac:dyDescent="0.35">
      <c r="A526">
        <v>545</v>
      </c>
      <c r="B526">
        <v>40</v>
      </c>
      <c r="C526" t="s">
        <v>27</v>
      </c>
      <c r="D526">
        <v>175</v>
      </c>
      <c r="E526">
        <v>96</v>
      </c>
      <c r="F526" s="3">
        <v>27.059339477392701</v>
      </c>
      <c r="G526" s="3" t="str">
        <f t="shared" si="8"/>
        <v>Overweight</v>
      </c>
      <c r="H526" t="s">
        <v>501</v>
      </c>
      <c r="I526" t="s">
        <v>18</v>
      </c>
      <c r="J526" t="s">
        <v>19</v>
      </c>
      <c r="K526" t="s">
        <v>18</v>
      </c>
      <c r="L526" t="s">
        <v>29</v>
      </c>
      <c r="M526" t="s">
        <v>20</v>
      </c>
      <c r="N526" t="s">
        <v>21</v>
      </c>
      <c r="O526" t="s">
        <v>20</v>
      </c>
      <c r="P526" t="s">
        <v>19</v>
      </c>
      <c r="Q526" t="s">
        <v>22</v>
      </c>
    </row>
    <row r="527" spans="1:17" x14ac:dyDescent="0.35">
      <c r="A527">
        <v>999</v>
      </c>
      <c r="B527">
        <v>64</v>
      </c>
      <c r="C527" t="s">
        <v>16</v>
      </c>
      <c r="D527">
        <v>156</v>
      </c>
      <c r="E527">
        <v>71</v>
      </c>
      <c r="F527" s="3">
        <v>19.240199200857301</v>
      </c>
      <c r="G527" s="3" t="str">
        <f t="shared" si="8"/>
        <v>Normal Weight</v>
      </c>
      <c r="H527" t="s">
        <v>109</v>
      </c>
      <c r="I527" t="s">
        <v>31</v>
      </c>
      <c r="J527" t="s">
        <v>19</v>
      </c>
      <c r="K527" t="s">
        <v>22</v>
      </c>
      <c r="L527" t="s">
        <v>32</v>
      </c>
      <c r="M527" t="s">
        <v>20</v>
      </c>
      <c r="N527" t="s">
        <v>21</v>
      </c>
      <c r="O527" t="s">
        <v>20</v>
      </c>
      <c r="P527" t="s">
        <v>20</v>
      </c>
      <c r="Q527" t="s">
        <v>18</v>
      </c>
    </row>
    <row r="528" spans="1:17" x14ac:dyDescent="0.35">
      <c r="A528">
        <v>546</v>
      </c>
      <c r="B528">
        <v>39</v>
      </c>
      <c r="C528" t="s">
        <v>27</v>
      </c>
      <c r="D528">
        <v>181</v>
      </c>
      <c r="E528">
        <v>64</v>
      </c>
      <c r="F528" s="3">
        <v>19.3442308563503</v>
      </c>
      <c r="G528" s="3" t="str">
        <f t="shared" si="8"/>
        <v>Normal Weight</v>
      </c>
      <c r="H528" t="s">
        <v>502</v>
      </c>
      <c r="I528" t="s">
        <v>31</v>
      </c>
      <c r="J528" t="s">
        <v>19</v>
      </c>
      <c r="K528" t="s">
        <v>18</v>
      </c>
      <c r="L528" t="s">
        <v>29</v>
      </c>
      <c r="M528" t="s">
        <v>19</v>
      </c>
      <c r="N528" t="s">
        <v>21</v>
      </c>
      <c r="O528" t="s">
        <v>19</v>
      </c>
      <c r="P528" t="s">
        <v>20</v>
      </c>
      <c r="Q528" t="s">
        <v>18</v>
      </c>
    </row>
    <row r="529" spans="1:17" x14ac:dyDescent="0.35">
      <c r="A529">
        <v>1130</v>
      </c>
      <c r="B529">
        <v>64</v>
      </c>
      <c r="C529" t="s">
        <v>16</v>
      </c>
      <c r="D529">
        <v>189</v>
      </c>
      <c r="E529">
        <v>90</v>
      </c>
      <c r="F529" s="3">
        <v>26.053116109618198</v>
      </c>
      <c r="G529" s="3" t="str">
        <f t="shared" si="8"/>
        <v>Overweight</v>
      </c>
      <c r="H529" t="s">
        <v>879</v>
      </c>
      <c r="I529" t="s">
        <v>31</v>
      </c>
      <c r="J529" t="s">
        <v>19</v>
      </c>
      <c r="K529" t="s">
        <v>22</v>
      </c>
      <c r="L529" t="s">
        <v>14</v>
      </c>
      <c r="M529" t="s">
        <v>20</v>
      </c>
      <c r="N529" t="s">
        <v>21</v>
      </c>
      <c r="O529" t="s">
        <v>19</v>
      </c>
      <c r="P529" t="s">
        <v>20</v>
      </c>
      <c r="Q529" t="s">
        <v>18</v>
      </c>
    </row>
    <row r="530" spans="1:17" x14ac:dyDescent="0.35">
      <c r="A530">
        <v>550</v>
      </c>
      <c r="B530">
        <v>79</v>
      </c>
      <c r="C530" t="s">
        <v>16</v>
      </c>
      <c r="D530">
        <v>160</v>
      </c>
      <c r="E530">
        <v>53</v>
      </c>
      <c r="F530" s="3">
        <v>21.499099363059699</v>
      </c>
      <c r="G530" s="3" t="str">
        <f t="shared" si="8"/>
        <v>Normal Weight</v>
      </c>
      <c r="H530" t="s">
        <v>505</v>
      </c>
      <c r="I530" t="s">
        <v>24</v>
      </c>
      <c r="J530" t="s">
        <v>20</v>
      </c>
      <c r="K530" t="s">
        <v>40</v>
      </c>
      <c r="L530" t="s">
        <v>14</v>
      </c>
      <c r="M530" t="s">
        <v>20</v>
      </c>
      <c r="N530" t="s">
        <v>25</v>
      </c>
      <c r="O530" t="s">
        <v>19</v>
      </c>
      <c r="P530" t="s">
        <v>20</v>
      </c>
      <c r="Q530" t="s">
        <v>22</v>
      </c>
    </row>
    <row r="531" spans="1:17" x14ac:dyDescent="0.35">
      <c r="A531">
        <v>1183</v>
      </c>
      <c r="B531">
        <v>64</v>
      </c>
      <c r="C531" t="s">
        <v>16</v>
      </c>
      <c r="D531">
        <v>161</v>
      </c>
      <c r="E531">
        <v>57</v>
      </c>
      <c r="F531" s="3">
        <v>29.0171409399521</v>
      </c>
      <c r="G531" s="3" t="str">
        <f t="shared" si="8"/>
        <v>Overweight</v>
      </c>
      <c r="H531" t="s">
        <v>911</v>
      </c>
      <c r="I531" t="s">
        <v>24</v>
      </c>
      <c r="J531" t="s">
        <v>20</v>
      </c>
      <c r="K531" t="s">
        <v>22</v>
      </c>
      <c r="L531" t="s">
        <v>38</v>
      </c>
      <c r="M531" t="s">
        <v>19</v>
      </c>
      <c r="N531" t="s">
        <v>21</v>
      </c>
      <c r="O531" t="s">
        <v>20</v>
      </c>
      <c r="P531" t="s">
        <v>20</v>
      </c>
      <c r="Q531" t="s">
        <v>18</v>
      </c>
    </row>
    <row r="532" spans="1:17" x14ac:dyDescent="0.35">
      <c r="A532">
        <v>1199</v>
      </c>
      <c r="B532">
        <v>64</v>
      </c>
      <c r="C532" t="s">
        <v>16</v>
      </c>
      <c r="D532">
        <v>168</v>
      </c>
      <c r="E532">
        <v>59</v>
      </c>
      <c r="F532" s="3">
        <v>21.591222056892001</v>
      </c>
      <c r="G532" s="3" t="str">
        <f t="shared" si="8"/>
        <v>Normal Weight</v>
      </c>
      <c r="H532" t="s">
        <v>921</v>
      </c>
      <c r="I532" t="s">
        <v>31</v>
      </c>
      <c r="J532" t="s">
        <v>19</v>
      </c>
      <c r="K532" t="s">
        <v>22</v>
      </c>
      <c r="L532" t="s">
        <v>29</v>
      </c>
      <c r="M532" t="s">
        <v>20</v>
      </c>
      <c r="N532" t="s">
        <v>25</v>
      </c>
      <c r="O532" t="s">
        <v>19</v>
      </c>
      <c r="P532" t="s">
        <v>19</v>
      </c>
      <c r="Q532" t="s">
        <v>22</v>
      </c>
    </row>
    <row r="533" spans="1:17" x14ac:dyDescent="0.35">
      <c r="A533">
        <v>1217</v>
      </c>
      <c r="B533">
        <v>64</v>
      </c>
      <c r="C533" t="s">
        <v>27</v>
      </c>
      <c r="D533">
        <v>168</v>
      </c>
      <c r="E533">
        <v>73</v>
      </c>
      <c r="F533" s="3">
        <v>19.399403077326301</v>
      </c>
      <c r="G533" s="3" t="str">
        <f t="shared" si="8"/>
        <v>Normal Weight</v>
      </c>
      <c r="H533" t="s">
        <v>23</v>
      </c>
      <c r="I533" t="s">
        <v>24</v>
      </c>
      <c r="J533" t="s">
        <v>20</v>
      </c>
      <c r="K533" t="s">
        <v>22</v>
      </c>
      <c r="L533" t="s">
        <v>14</v>
      </c>
      <c r="M533" t="s">
        <v>19</v>
      </c>
      <c r="N533" t="s">
        <v>21</v>
      </c>
      <c r="O533" t="s">
        <v>20</v>
      </c>
      <c r="P533" t="s">
        <v>19</v>
      </c>
      <c r="Q533" t="s">
        <v>18</v>
      </c>
    </row>
    <row r="534" spans="1:17" x14ac:dyDescent="0.35">
      <c r="A534">
        <v>551</v>
      </c>
      <c r="B534">
        <v>78</v>
      </c>
      <c r="C534" t="s">
        <v>16</v>
      </c>
      <c r="D534">
        <v>182</v>
      </c>
      <c r="E534">
        <v>99</v>
      </c>
      <c r="F534" s="3">
        <v>26.818191891654202</v>
      </c>
      <c r="G534" s="3" t="str">
        <f t="shared" si="8"/>
        <v>Overweight</v>
      </c>
      <c r="H534" t="s">
        <v>506</v>
      </c>
      <c r="I534" t="s">
        <v>24</v>
      </c>
      <c r="J534" t="s">
        <v>19</v>
      </c>
      <c r="K534" t="s">
        <v>40</v>
      </c>
      <c r="L534" t="s">
        <v>32</v>
      </c>
      <c r="M534" t="s">
        <v>19</v>
      </c>
      <c r="N534" t="s">
        <v>21</v>
      </c>
      <c r="O534" t="s">
        <v>19</v>
      </c>
      <c r="P534" t="s">
        <v>19</v>
      </c>
      <c r="Q534" t="s">
        <v>18</v>
      </c>
    </row>
    <row r="535" spans="1:17" x14ac:dyDescent="0.35">
      <c r="A535">
        <v>553</v>
      </c>
      <c r="B535">
        <v>75</v>
      </c>
      <c r="C535" t="s">
        <v>16</v>
      </c>
      <c r="D535">
        <v>172</v>
      </c>
      <c r="E535">
        <v>54</v>
      </c>
      <c r="F535" s="3">
        <v>22.7587761123613</v>
      </c>
      <c r="G535" s="3" t="str">
        <f t="shared" si="8"/>
        <v>Normal Weight</v>
      </c>
      <c r="H535" t="s">
        <v>508</v>
      </c>
      <c r="I535" t="s">
        <v>24</v>
      </c>
      <c r="J535" t="s">
        <v>20</v>
      </c>
      <c r="K535" t="s">
        <v>40</v>
      </c>
      <c r="L535" t="s">
        <v>14</v>
      </c>
      <c r="M535" t="s">
        <v>19</v>
      </c>
      <c r="N535" t="s">
        <v>21</v>
      </c>
      <c r="O535" t="s">
        <v>19</v>
      </c>
      <c r="P535" t="s">
        <v>20</v>
      </c>
      <c r="Q535" t="s">
        <v>22</v>
      </c>
    </row>
    <row r="536" spans="1:17" x14ac:dyDescent="0.35">
      <c r="A536">
        <v>1256</v>
      </c>
      <c r="B536">
        <v>64</v>
      </c>
      <c r="C536" t="s">
        <v>16</v>
      </c>
      <c r="D536">
        <v>159</v>
      </c>
      <c r="E536">
        <v>74</v>
      </c>
      <c r="F536" s="3">
        <v>20.534755102742299</v>
      </c>
      <c r="G536" s="3" t="str">
        <f t="shared" si="8"/>
        <v>Normal Weight</v>
      </c>
      <c r="H536" t="s">
        <v>30</v>
      </c>
      <c r="I536" t="s">
        <v>18</v>
      </c>
      <c r="J536" t="s">
        <v>20</v>
      </c>
      <c r="K536" t="s">
        <v>22</v>
      </c>
      <c r="L536" t="s">
        <v>29</v>
      </c>
      <c r="M536" t="s">
        <v>19</v>
      </c>
      <c r="N536" t="s">
        <v>25</v>
      </c>
      <c r="O536" t="s">
        <v>19</v>
      </c>
      <c r="P536" t="s">
        <v>19</v>
      </c>
      <c r="Q536" t="s">
        <v>22</v>
      </c>
    </row>
    <row r="537" spans="1:17" x14ac:dyDescent="0.35">
      <c r="A537">
        <v>1259</v>
      </c>
      <c r="B537">
        <v>64</v>
      </c>
      <c r="C537" t="s">
        <v>16</v>
      </c>
      <c r="D537">
        <v>184</v>
      </c>
      <c r="E537">
        <v>55</v>
      </c>
      <c r="F537" s="3">
        <v>31.251861376537299</v>
      </c>
      <c r="G537" s="3" t="str">
        <f t="shared" si="8"/>
        <v>Obese</v>
      </c>
      <c r="H537" t="s">
        <v>957</v>
      </c>
      <c r="I537" t="s">
        <v>31</v>
      </c>
      <c r="J537" t="s">
        <v>20</v>
      </c>
      <c r="K537" t="s">
        <v>22</v>
      </c>
      <c r="L537" t="s">
        <v>32</v>
      </c>
      <c r="M537" t="s">
        <v>20</v>
      </c>
      <c r="N537" t="s">
        <v>25</v>
      </c>
      <c r="O537" t="s">
        <v>19</v>
      </c>
      <c r="P537" t="s">
        <v>19</v>
      </c>
      <c r="Q537" t="s">
        <v>18</v>
      </c>
    </row>
    <row r="538" spans="1:17" x14ac:dyDescent="0.35">
      <c r="A538">
        <v>561</v>
      </c>
      <c r="B538">
        <v>71</v>
      </c>
      <c r="C538" t="s">
        <v>16</v>
      </c>
      <c r="D538">
        <v>177</v>
      </c>
      <c r="E538">
        <v>93</v>
      </c>
      <c r="F538" s="3">
        <v>31.831295913798801</v>
      </c>
      <c r="G538" s="3" t="str">
        <f t="shared" si="8"/>
        <v>Obese</v>
      </c>
      <c r="H538" t="s">
        <v>515</v>
      </c>
      <c r="I538" t="s">
        <v>24</v>
      </c>
      <c r="J538" t="s">
        <v>20</v>
      </c>
      <c r="K538" t="s">
        <v>40</v>
      </c>
      <c r="L538" t="s">
        <v>38</v>
      </c>
      <c r="M538" t="s">
        <v>19</v>
      </c>
      <c r="N538" t="s">
        <v>21</v>
      </c>
      <c r="O538" t="s">
        <v>19</v>
      </c>
      <c r="P538" t="s">
        <v>20</v>
      </c>
      <c r="Q538" t="s">
        <v>22</v>
      </c>
    </row>
    <row r="539" spans="1:17" x14ac:dyDescent="0.35">
      <c r="A539">
        <v>1438</v>
      </c>
      <c r="B539">
        <v>64</v>
      </c>
      <c r="C539" t="s">
        <v>27</v>
      </c>
      <c r="D539">
        <v>154</v>
      </c>
      <c r="E539">
        <v>66</v>
      </c>
      <c r="F539" s="3">
        <v>29.941114081579201</v>
      </c>
      <c r="G539" s="3" t="str">
        <f t="shared" si="8"/>
        <v>Obese</v>
      </c>
      <c r="H539" t="s">
        <v>310</v>
      </c>
      <c r="I539" t="s">
        <v>24</v>
      </c>
      <c r="J539" t="s">
        <v>20</v>
      </c>
      <c r="K539" t="s">
        <v>22</v>
      </c>
      <c r="L539" t="s">
        <v>32</v>
      </c>
      <c r="M539" t="s">
        <v>20</v>
      </c>
      <c r="N539" t="s">
        <v>21</v>
      </c>
      <c r="O539" t="s">
        <v>19</v>
      </c>
      <c r="P539" t="s">
        <v>20</v>
      </c>
      <c r="Q539" t="s">
        <v>40</v>
      </c>
    </row>
    <row r="540" spans="1:17" x14ac:dyDescent="0.35">
      <c r="A540">
        <v>1457</v>
      </c>
      <c r="B540">
        <v>64</v>
      </c>
      <c r="C540" t="s">
        <v>16</v>
      </c>
      <c r="D540">
        <v>151</v>
      </c>
      <c r="E540">
        <v>65</v>
      </c>
      <c r="F540" s="3">
        <v>32.633437813275002</v>
      </c>
      <c r="G540" s="3" t="str">
        <f t="shared" si="8"/>
        <v>Obese</v>
      </c>
      <c r="H540" t="s">
        <v>1053</v>
      </c>
      <c r="I540" t="s">
        <v>18</v>
      </c>
      <c r="J540" t="s">
        <v>20</v>
      </c>
      <c r="K540" t="s">
        <v>22</v>
      </c>
      <c r="L540" t="s">
        <v>32</v>
      </c>
      <c r="M540" t="s">
        <v>20</v>
      </c>
      <c r="N540" t="s">
        <v>21</v>
      </c>
      <c r="O540" t="s">
        <v>19</v>
      </c>
      <c r="P540" t="s">
        <v>19</v>
      </c>
      <c r="Q540" t="s">
        <v>18</v>
      </c>
    </row>
    <row r="541" spans="1:17" x14ac:dyDescent="0.35">
      <c r="A541">
        <v>564</v>
      </c>
      <c r="B541">
        <v>54</v>
      </c>
      <c r="C541" t="s">
        <v>16</v>
      </c>
      <c r="D541">
        <v>184</v>
      </c>
      <c r="E541">
        <v>91</v>
      </c>
      <c r="F541" s="3">
        <v>29.1244812916181</v>
      </c>
      <c r="G541" s="3" t="str">
        <f t="shared" si="8"/>
        <v>Overweight</v>
      </c>
      <c r="H541" t="s">
        <v>517</v>
      </c>
      <c r="I541" t="s">
        <v>31</v>
      </c>
      <c r="J541" t="s">
        <v>20</v>
      </c>
      <c r="K541" t="s">
        <v>18</v>
      </c>
      <c r="L541" t="s">
        <v>14</v>
      </c>
      <c r="M541" t="s">
        <v>19</v>
      </c>
      <c r="N541" t="s">
        <v>25</v>
      </c>
      <c r="O541" t="s">
        <v>19</v>
      </c>
      <c r="P541" t="s">
        <v>19</v>
      </c>
      <c r="Q541" t="s">
        <v>40</v>
      </c>
    </row>
    <row r="542" spans="1:17" x14ac:dyDescent="0.35">
      <c r="A542">
        <v>1498</v>
      </c>
      <c r="B542">
        <v>64</v>
      </c>
      <c r="C542" t="s">
        <v>16</v>
      </c>
      <c r="D542">
        <v>173</v>
      </c>
      <c r="E542">
        <v>78</v>
      </c>
      <c r="F542" s="3">
        <v>23.7849292511962</v>
      </c>
      <c r="G542" s="3" t="str">
        <f t="shared" si="8"/>
        <v>Normal Weight</v>
      </c>
      <c r="H542" t="s">
        <v>1070</v>
      </c>
      <c r="I542" t="s">
        <v>31</v>
      </c>
      <c r="J542" t="s">
        <v>19</v>
      </c>
      <c r="K542" t="s">
        <v>22</v>
      </c>
      <c r="L542" t="s">
        <v>38</v>
      </c>
      <c r="M542" t="s">
        <v>19</v>
      </c>
      <c r="N542" t="s">
        <v>25</v>
      </c>
      <c r="O542" t="s">
        <v>19</v>
      </c>
      <c r="P542" t="s">
        <v>19</v>
      </c>
      <c r="Q542" t="s">
        <v>18</v>
      </c>
    </row>
    <row r="543" spans="1:17" x14ac:dyDescent="0.35">
      <c r="A543">
        <v>566</v>
      </c>
      <c r="B543">
        <v>25</v>
      </c>
      <c r="C543" t="s">
        <v>27</v>
      </c>
      <c r="D543">
        <v>157</v>
      </c>
      <c r="E543">
        <v>91</v>
      </c>
      <c r="F543" s="3">
        <v>28.0263311201245</v>
      </c>
      <c r="G543" s="3" t="str">
        <f t="shared" si="8"/>
        <v>Overweight</v>
      </c>
      <c r="H543" t="s">
        <v>519</v>
      </c>
      <c r="I543" t="s">
        <v>24</v>
      </c>
      <c r="J543" t="s">
        <v>20</v>
      </c>
      <c r="K543" t="s">
        <v>18</v>
      </c>
      <c r="L543" t="s">
        <v>32</v>
      </c>
      <c r="M543" t="s">
        <v>19</v>
      </c>
      <c r="N543" t="s">
        <v>21</v>
      </c>
      <c r="O543" t="s">
        <v>19</v>
      </c>
      <c r="P543" t="s">
        <v>19</v>
      </c>
      <c r="Q543" t="s">
        <v>40</v>
      </c>
    </row>
    <row r="544" spans="1:17" x14ac:dyDescent="0.35">
      <c r="A544">
        <v>1534</v>
      </c>
      <c r="B544">
        <v>64</v>
      </c>
      <c r="C544" t="s">
        <v>16</v>
      </c>
      <c r="D544">
        <v>189</v>
      </c>
      <c r="E544">
        <v>50</v>
      </c>
      <c r="F544" s="3">
        <v>30.2924854686092</v>
      </c>
      <c r="G544" s="3" t="str">
        <f t="shared" si="8"/>
        <v>Obese</v>
      </c>
      <c r="H544" t="s">
        <v>537</v>
      </c>
      <c r="I544" t="s">
        <v>31</v>
      </c>
      <c r="J544" t="s">
        <v>20</v>
      </c>
      <c r="K544" t="s">
        <v>22</v>
      </c>
      <c r="L544" t="s">
        <v>14</v>
      </c>
      <c r="M544" t="s">
        <v>19</v>
      </c>
      <c r="N544" t="s">
        <v>21</v>
      </c>
      <c r="O544" t="s">
        <v>19</v>
      </c>
      <c r="P544" t="s">
        <v>20</v>
      </c>
      <c r="Q544" t="s">
        <v>40</v>
      </c>
    </row>
    <row r="545" spans="1:17" x14ac:dyDescent="0.35">
      <c r="A545">
        <v>568</v>
      </c>
      <c r="B545">
        <v>77</v>
      </c>
      <c r="C545" t="s">
        <v>16</v>
      </c>
      <c r="D545">
        <v>166</v>
      </c>
      <c r="E545">
        <v>56</v>
      </c>
      <c r="F545" s="3">
        <v>26.062997410533999</v>
      </c>
      <c r="G545" s="3" t="str">
        <f t="shared" si="8"/>
        <v>Overweight</v>
      </c>
      <c r="H545" t="s">
        <v>521</v>
      </c>
      <c r="I545" t="s">
        <v>18</v>
      </c>
      <c r="J545" t="s">
        <v>19</v>
      </c>
      <c r="K545" t="s">
        <v>40</v>
      </c>
      <c r="L545" t="s">
        <v>32</v>
      </c>
      <c r="M545" t="s">
        <v>20</v>
      </c>
      <c r="N545" t="s">
        <v>25</v>
      </c>
      <c r="O545" t="s">
        <v>19</v>
      </c>
      <c r="P545" t="s">
        <v>20</v>
      </c>
      <c r="Q545" t="s">
        <v>18</v>
      </c>
    </row>
    <row r="546" spans="1:17" x14ac:dyDescent="0.35">
      <c r="A546">
        <v>569</v>
      </c>
      <c r="B546">
        <v>61</v>
      </c>
      <c r="C546" t="s">
        <v>27</v>
      </c>
      <c r="D546">
        <v>182</v>
      </c>
      <c r="E546">
        <v>53</v>
      </c>
      <c r="F546" s="3">
        <v>27.223670778086799</v>
      </c>
      <c r="G546" s="3" t="str">
        <f t="shared" si="8"/>
        <v>Overweight</v>
      </c>
      <c r="H546" t="s">
        <v>522</v>
      </c>
      <c r="I546" t="s">
        <v>31</v>
      </c>
      <c r="J546" t="s">
        <v>20</v>
      </c>
      <c r="K546" t="s">
        <v>18</v>
      </c>
      <c r="L546" t="s">
        <v>29</v>
      </c>
      <c r="M546" t="s">
        <v>19</v>
      </c>
      <c r="N546" t="s">
        <v>21</v>
      </c>
      <c r="O546" t="s">
        <v>19</v>
      </c>
      <c r="P546" t="s">
        <v>20</v>
      </c>
      <c r="Q546" t="s">
        <v>22</v>
      </c>
    </row>
    <row r="547" spans="1:17" x14ac:dyDescent="0.35">
      <c r="A547">
        <v>570</v>
      </c>
      <c r="B547">
        <v>61</v>
      </c>
      <c r="C547" t="s">
        <v>27</v>
      </c>
      <c r="D547">
        <v>181</v>
      </c>
      <c r="E547">
        <v>68</v>
      </c>
      <c r="F547" s="3">
        <v>19.0672181628034</v>
      </c>
      <c r="G547" s="3" t="str">
        <f t="shared" si="8"/>
        <v>Normal Weight</v>
      </c>
      <c r="H547" t="s">
        <v>523</v>
      </c>
      <c r="I547" t="s">
        <v>24</v>
      </c>
      <c r="J547" t="s">
        <v>19</v>
      </c>
      <c r="K547" t="s">
        <v>18</v>
      </c>
      <c r="L547" t="s">
        <v>14</v>
      </c>
      <c r="M547" t="s">
        <v>20</v>
      </c>
      <c r="N547" t="s">
        <v>25</v>
      </c>
      <c r="O547" t="s">
        <v>20</v>
      </c>
      <c r="P547" t="s">
        <v>19</v>
      </c>
      <c r="Q547" t="s">
        <v>18</v>
      </c>
    </row>
    <row r="548" spans="1:17" x14ac:dyDescent="0.35">
      <c r="A548">
        <v>1712</v>
      </c>
      <c r="B548">
        <v>64</v>
      </c>
      <c r="C548" t="s">
        <v>27</v>
      </c>
      <c r="D548">
        <v>153</v>
      </c>
      <c r="E548">
        <v>75</v>
      </c>
      <c r="F548" s="3">
        <v>30.783295769319601</v>
      </c>
      <c r="G548" s="3" t="str">
        <f t="shared" si="8"/>
        <v>Obese</v>
      </c>
      <c r="H548" t="s">
        <v>1162</v>
      </c>
      <c r="I548" t="s">
        <v>31</v>
      </c>
      <c r="J548" t="s">
        <v>20</v>
      </c>
      <c r="K548" t="s">
        <v>22</v>
      </c>
      <c r="L548" t="s">
        <v>32</v>
      </c>
      <c r="M548" t="s">
        <v>19</v>
      </c>
      <c r="N548" t="s">
        <v>25</v>
      </c>
      <c r="O548" t="s">
        <v>19</v>
      </c>
      <c r="P548" t="s">
        <v>20</v>
      </c>
      <c r="Q548" t="s">
        <v>40</v>
      </c>
    </row>
    <row r="549" spans="1:17" x14ac:dyDescent="0.35">
      <c r="A549">
        <v>1750</v>
      </c>
      <c r="B549">
        <v>64</v>
      </c>
      <c r="C549" t="s">
        <v>16</v>
      </c>
      <c r="D549">
        <v>156</v>
      </c>
      <c r="E549">
        <v>72</v>
      </c>
      <c r="F549" s="3">
        <v>31.996397656761001</v>
      </c>
      <c r="G549" s="3" t="str">
        <f t="shared" si="8"/>
        <v>Obese</v>
      </c>
      <c r="H549" t="s">
        <v>1181</v>
      </c>
      <c r="I549" t="s">
        <v>18</v>
      </c>
      <c r="J549" t="s">
        <v>20</v>
      </c>
      <c r="K549" t="s">
        <v>22</v>
      </c>
      <c r="L549" t="s">
        <v>29</v>
      </c>
      <c r="M549" t="s">
        <v>19</v>
      </c>
      <c r="N549" t="s">
        <v>21</v>
      </c>
      <c r="O549" t="s">
        <v>19</v>
      </c>
      <c r="P549" t="s">
        <v>20</v>
      </c>
      <c r="Q549" t="s">
        <v>40</v>
      </c>
    </row>
    <row r="550" spans="1:17" x14ac:dyDescent="0.35">
      <c r="A550">
        <v>572</v>
      </c>
      <c r="B550">
        <v>56</v>
      </c>
      <c r="C550" t="s">
        <v>16</v>
      </c>
      <c r="D550">
        <v>168</v>
      </c>
      <c r="E550">
        <v>79</v>
      </c>
      <c r="F550" s="3">
        <v>19.8438790127041</v>
      </c>
      <c r="G550" s="3" t="str">
        <f t="shared" si="8"/>
        <v>Normal Weight</v>
      </c>
      <c r="H550" t="s">
        <v>525</v>
      </c>
      <c r="I550" t="s">
        <v>18</v>
      </c>
      <c r="J550" t="s">
        <v>19</v>
      </c>
      <c r="K550" t="s">
        <v>18</v>
      </c>
      <c r="L550" t="s">
        <v>14</v>
      </c>
      <c r="M550" t="s">
        <v>20</v>
      </c>
      <c r="N550" t="s">
        <v>25</v>
      </c>
      <c r="O550" t="s">
        <v>20</v>
      </c>
      <c r="P550" t="s">
        <v>19</v>
      </c>
      <c r="Q550" t="s">
        <v>22</v>
      </c>
    </row>
    <row r="551" spans="1:17" x14ac:dyDescent="0.35">
      <c r="A551">
        <v>1881</v>
      </c>
      <c r="B551">
        <v>64</v>
      </c>
      <c r="C551" t="s">
        <v>16</v>
      </c>
      <c r="D551">
        <v>164</v>
      </c>
      <c r="E551">
        <v>77</v>
      </c>
      <c r="F551" s="3">
        <v>24.549522051591499</v>
      </c>
      <c r="G551" s="3" t="str">
        <f t="shared" si="8"/>
        <v>Normal Weight</v>
      </c>
      <c r="H551" t="s">
        <v>554</v>
      </c>
      <c r="I551" t="s">
        <v>24</v>
      </c>
      <c r="J551" t="s">
        <v>19</v>
      </c>
      <c r="K551" t="s">
        <v>22</v>
      </c>
      <c r="L551" t="s">
        <v>32</v>
      </c>
      <c r="M551" t="s">
        <v>20</v>
      </c>
      <c r="N551" t="s">
        <v>21</v>
      </c>
      <c r="O551" t="s">
        <v>19</v>
      </c>
      <c r="P551" t="s">
        <v>20</v>
      </c>
      <c r="Q551" t="s">
        <v>22</v>
      </c>
    </row>
    <row r="552" spans="1:17" x14ac:dyDescent="0.35">
      <c r="A552">
        <v>1932</v>
      </c>
      <c r="B552">
        <v>64</v>
      </c>
      <c r="C552" t="s">
        <v>27</v>
      </c>
      <c r="D552">
        <v>183</v>
      </c>
      <c r="E552">
        <v>67</v>
      </c>
      <c r="F552" s="3">
        <v>24.410614180510699</v>
      </c>
      <c r="G552" s="3" t="str">
        <f t="shared" si="8"/>
        <v>Normal Weight</v>
      </c>
      <c r="H552" t="s">
        <v>1248</v>
      </c>
      <c r="I552" t="s">
        <v>31</v>
      </c>
      <c r="J552" t="s">
        <v>20</v>
      </c>
      <c r="K552" t="s">
        <v>22</v>
      </c>
      <c r="L552" t="s">
        <v>14</v>
      </c>
      <c r="M552" t="s">
        <v>19</v>
      </c>
      <c r="N552" t="s">
        <v>25</v>
      </c>
      <c r="O552" t="s">
        <v>20</v>
      </c>
      <c r="P552" t="s">
        <v>19</v>
      </c>
      <c r="Q552" t="s">
        <v>22</v>
      </c>
    </row>
    <row r="553" spans="1:17" x14ac:dyDescent="0.35">
      <c r="A553">
        <v>1958</v>
      </c>
      <c r="B553">
        <v>64</v>
      </c>
      <c r="C553" t="s">
        <v>16</v>
      </c>
      <c r="D553">
        <v>162</v>
      </c>
      <c r="E553">
        <v>68</v>
      </c>
      <c r="F553" s="3">
        <v>22.053428167101</v>
      </c>
      <c r="G553" s="3" t="str">
        <f t="shared" si="8"/>
        <v>Normal Weight</v>
      </c>
      <c r="H553" t="s">
        <v>747</v>
      </c>
      <c r="I553" t="s">
        <v>31</v>
      </c>
      <c r="J553" t="s">
        <v>20</v>
      </c>
      <c r="K553" t="s">
        <v>22</v>
      </c>
      <c r="L553" t="s">
        <v>32</v>
      </c>
      <c r="M553" t="s">
        <v>20</v>
      </c>
      <c r="N553" t="s">
        <v>21</v>
      </c>
      <c r="O553" t="s">
        <v>19</v>
      </c>
      <c r="P553" t="s">
        <v>20</v>
      </c>
      <c r="Q553" t="s">
        <v>40</v>
      </c>
    </row>
    <row r="554" spans="1:17" x14ac:dyDescent="0.35">
      <c r="A554">
        <v>580</v>
      </c>
      <c r="B554">
        <v>52</v>
      </c>
      <c r="C554" t="s">
        <v>16</v>
      </c>
      <c r="D554">
        <v>171</v>
      </c>
      <c r="E554">
        <v>51</v>
      </c>
      <c r="F554" s="3">
        <v>20.221165941306001</v>
      </c>
      <c r="G554" s="3" t="str">
        <f t="shared" si="8"/>
        <v>Normal Weight</v>
      </c>
      <c r="H554" t="s">
        <v>532</v>
      </c>
      <c r="I554" t="s">
        <v>31</v>
      </c>
      <c r="J554" t="s">
        <v>20</v>
      </c>
      <c r="K554" t="s">
        <v>18</v>
      </c>
      <c r="L554" t="s">
        <v>38</v>
      </c>
      <c r="M554" t="s">
        <v>19</v>
      </c>
      <c r="N554" t="s">
        <v>25</v>
      </c>
      <c r="O554" t="s">
        <v>20</v>
      </c>
      <c r="P554" t="s">
        <v>20</v>
      </c>
      <c r="Q554" t="s">
        <v>18</v>
      </c>
    </row>
    <row r="555" spans="1:17" x14ac:dyDescent="0.35">
      <c r="A555">
        <v>583</v>
      </c>
      <c r="B555">
        <v>69</v>
      </c>
      <c r="C555" t="s">
        <v>16</v>
      </c>
      <c r="D555">
        <v>152</v>
      </c>
      <c r="E555">
        <v>51</v>
      </c>
      <c r="F555" s="3">
        <v>27.2151228189798</v>
      </c>
      <c r="G555" s="3" t="str">
        <f t="shared" si="8"/>
        <v>Overweight</v>
      </c>
      <c r="H555" t="s">
        <v>534</v>
      </c>
      <c r="I555" t="s">
        <v>18</v>
      </c>
      <c r="J555" t="s">
        <v>20</v>
      </c>
      <c r="K555" t="s">
        <v>18</v>
      </c>
      <c r="L555" t="s">
        <v>38</v>
      </c>
      <c r="M555" t="s">
        <v>19</v>
      </c>
      <c r="N555" t="s">
        <v>25</v>
      </c>
      <c r="O555" t="s">
        <v>19</v>
      </c>
      <c r="P555" t="s">
        <v>20</v>
      </c>
      <c r="Q555" t="s">
        <v>22</v>
      </c>
    </row>
    <row r="556" spans="1:17" x14ac:dyDescent="0.35">
      <c r="A556">
        <v>465</v>
      </c>
      <c r="B556">
        <v>63</v>
      </c>
      <c r="C556" t="s">
        <v>27</v>
      </c>
      <c r="D556">
        <v>179</v>
      </c>
      <c r="E556">
        <v>61</v>
      </c>
      <c r="F556" s="3">
        <v>21.6722556547235</v>
      </c>
      <c r="G556" s="3" t="str">
        <f t="shared" si="8"/>
        <v>Normal Weight</v>
      </c>
      <c r="H556" t="s">
        <v>439</v>
      </c>
      <c r="I556" t="s">
        <v>24</v>
      </c>
      <c r="J556" t="s">
        <v>19</v>
      </c>
      <c r="K556" t="s">
        <v>22</v>
      </c>
      <c r="L556" t="s">
        <v>29</v>
      </c>
      <c r="M556" t="s">
        <v>19</v>
      </c>
      <c r="N556" t="s">
        <v>25</v>
      </c>
      <c r="O556" t="s">
        <v>19</v>
      </c>
      <c r="P556" t="s">
        <v>19</v>
      </c>
      <c r="Q556" t="s">
        <v>22</v>
      </c>
    </row>
    <row r="557" spans="1:17" x14ac:dyDescent="0.35">
      <c r="A557">
        <v>475</v>
      </c>
      <c r="B557">
        <v>63</v>
      </c>
      <c r="C557" t="s">
        <v>27</v>
      </c>
      <c r="D557">
        <v>179</v>
      </c>
      <c r="E557">
        <v>56</v>
      </c>
      <c r="F557" s="3">
        <v>28.520852877085499</v>
      </c>
      <c r="G557" s="3" t="str">
        <f t="shared" si="8"/>
        <v>Overweight</v>
      </c>
      <c r="H557" t="s">
        <v>446</v>
      </c>
      <c r="I557" t="s">
        <v>24</v>
      </c>
      <c r="J557" t="s">
        <v>19</v>
      </c>
      <c r="K557" t="s">
        <v>22</v>
      </c>
      <c r="L557" t="s">
        <v>38</v>
      </c>
      <c r="M557" t="s">
        <v>20</v>
      </c>
      <c r="N557" t="s">
        <v>21</v>
      </c>
      <c r="O557" t="s">
        <v>19</v>
      </c>
      <c r="P557" t="s">
        <v>19</v>
      </c>
      <c r="Q557" t="s">
        <v>18</v>
      </c>
    </row>
    <row r="558" spans="1:17" x14ac:dyDescent="0.35">
      <c r="A558">
        <v>496</v>
      </c>
      <c r="B558">
        <v>63</v>
      </c>
      <c r="C558" t="s">
        <v>27</v>
      </c>
      <c r="D558">
        <v>172</v>
      </c>
      <c r="E558">
        <v>79</v>
      </c>
      <c r="F558" s="3">
        <v>22.4394042229193</v>
      </c>
      <c r="G558" s="3" t="str">
        <f t="shared" si="8"/>
        <v>Normal Weight</v>
      </c>
      <c r="H558" t="s">
        <v>461</v>
      </c>
      <c r="I558" t="s">
        <v>31</v>
      </c>
      <c r="J558" t="s">
        <v>19</v>
      </c>
      <c r="K558" t="s">
        <v>22</v>
      </c>
      <c r="L558" t="s">
        <v>14</v>
      </c>
      <c r="M558" t="s">
        <v>20</v>
      </c>
      <c r="N558" t="s">
        <v>25</v>
      </c>
      <c r="O558" t="s">
        <v>20</v>
      </c>
      <c r="P558" t="s">
        <v>20</v>
      </c>
      <c r="Q558" t="s">
        <v>40</v>
      </c>
    </row>
    <row r="559" spans="1:17" x14ac:dyDescent="0.35">
      <c r="A559">
        <v>585</v>
      </c>
      <c r="B559">
        <v>30</v>
      </c>
      <c r="C559" t="s">
        <v>16</v>
      </c>
      <c r="D559">
        <v>170</v>
      </c>
      <c r="E559">
        <v>66</v>
      </c>
      <c r="F559" s="3">
        <v>20.2607450151888</v>
      </c>
      <c r="G559" s="3" t="str">
        <f t="shared" si="8"/>
        <v>Normal Weight</v>
      </c>
      <c r="H559" t="s">
        <v>536</v>
      </c>
      <c r="I559" t="s">
        <v>18</v>
      </c>
      <c r="J559" t="s">
        <v>19</v>
      </c>
      <c r="K559" t="s">
        <v>18</v>
      </c>
      <c r="L559" t="s">
        <v>32</v>
      </c>
      <c r="M559" t="s">
        <v>19</v>
      </c>
      <c r="N559" t="s">
        <v>25</v>
      </c>
      <c r="O559" t="s">
        <v>20</v>
      </c>
      <c r="P559" t="s">
        <v>20</v>
      </c>
      <c r="Q559" t="s">
        <v>18</v>
      </c>
    </row>
    <row r="560" spans="1:17" x14ac:dyDescent="0.35">
      <c r="A560">
        <v>643</v>
      </c>
      <c r="B560">
        <v>63</v>
      </c>
      <c r="C560" t="s">
        <v>16</v>
      </c>
      <c r="D560">
        <v>187</v>
      </c>
      <c r="E560">
        <v>59</v>
      </c>
      <c r="F560" s="3">
        <v>29.426830612438199</v>
      </c>
      <c r="G560" s="3" t="str">
        <f t="shared" si="8"/>
        <v>Overweight</v>
      </c>
      <c r="H560" t="s">
        <v>582</v>
      </c>
      <c r="I560" t="s">
        <v>18</v>
      </c>
      <c r="J560" t="s">
        <v>20</v>
      </c>
      <c r="K560" t="s">
        <v>22</v>
      </c>
      <c r="L560" t="s">
        <v>14</v>
      </c>
      <c r="M560" t="s">
        <v>20</v>
      </c>
      <c r="N560" t="s">
        <v>25</v>
      </c>
      <c r="O560" t="s">
        <v>19</v>
      </c>
      <c r="P560" t="s">
        <v>20</v>
      </c>
      <c r="Q560" t="s">
        <v>22</v>
      </c>
    </row>
    <row r="561" spans="1:17" x14ac:dyDescent="0.35">
      <c r="A561">
        <v>586</v>
      </c>
      <c r="B561">
        <v>67</v>
      </c>
      <c r="C561" t="s">
        <v>16</v>
      </c>
      <c r="D561">
        <v>165</v>
      </c>
      <c r="E561">
        <v>81</v>
      </c>
      <c r="F561" s="3">
        <v>29.217674111489799</v>
      </c>
      <c r="G561" s="3" t="str">
        <f t="shared" si="8"/>
        <v>Overweight</v>
      </c>
      <c r="H561" t="s">
        <v>537</v>
      </c>
      <c r="I561" t="s">
        <v>24</v>
      </c>
      <c r="J561" t="s">
        <v>19</v>
      </c>
      <c r="K561" t="s">
        <v>18</v>
      </c>
      <c r="L561" t="s">
        <v>32</v>
      </c>
      <c r="M561" t="s">
        <v>20</v>
      </c>
      <c r="N561" t="s">
        <v>25</v>
      </c>
      <c r="O561" t="s">
        <v>20</v>
      </c>
      <c r="P561" t="s">
        <v>19</v>
      </c>
      <c r="Q561" t="s">
        <v>40</v>
      </c>
    </row>
    <row r="562" spans="1:17" x14ac:dyDescent="0.35">
      <c r="A562">
        <v>837</v>
      </c>
      <c r="B562">
        <v>63</v>
      </c>
      <c r="C562" t="s">
        <v>16</v>
      </c>
      <c r="D562">
        <v>181</v>
      </c>
      <c r="E562">
        <v>94</v>
      </c>
      <c r="F562" s="3">
        <v>34.4299024709102</v>
      </c>
      <c r="G562" s="3" t="str">
        <f t="shared" si="8"/>
        <v>Obese</v>
      </c>
      <c r="H562" t="s">
        <v>220</v>
      </c>
      <c r="I562" t="s">
        <v>18</v>
      </c>
      <c r="J562" t="s">
        <v>20</v>
      </c>
      <c r="K562" t="s">
        <v>22</v>
      </c>
      <c r="L562" t="s">
        <v>29</v>
      </c>
      <c r="M562" t="s">
        <v>19</v>
      </c>
      <c r="N562" t="s">
        <v>25</v>
      </c>
      <c r="O562" t="s">
        <v>20</v>
      </c>
      <c r="P562" t="s">
        <v>20</v>
      </c>
      <c r="Q562" t="s">
        <v>22</v>
      </c>
    </row>
    <row r="563" spans="1:17" x14ac:dyDescent="0.35">
      <c r="A563">
        <v>975</v>
      </c>
      <c r="B563">
        <v>63</v>
      </c>
      <c r="C563" t="s">
        <v>16</v>
      </c>
      <c r="D563">
        <v>186</v>
      </c>
      <c r="E563">
        <v>92</v>
      </c>
      <c r="F563" s="3">
        <v>19.797340731331001</v>
      </c>
      <c r="G563" s="3" t="str">
        <f t="shared" si="8"/>
        <v>Normal Weight</v>
      </c>
      <c r="H563" t="s">
        <v>786</v>
      </c>
      <c r="I563" t="s">
        <v>24</v>
      </c>
      <c r="J563" t="s">
        <v>19</v>
      </c>
      <c r="K563" t="s">
        <v>22</v>
      </c>
      <c r="L563" t="s">
        <v>38</v>
      </c>
      <c r="M563" t="s">
        <v>20</v>
      </c>
      <c r="N563" t="s">
        <v>21</v>
      </c>
      <c r="O563" t="s">
        <v>19</v>
      </c>
      <c r="P563" t="s">
        <v>19</v>
      </c>
      <c r="Q563" t="s">
        <v>40</v>
      </c>
    </row>
    <row r="564" spans="1:17" x14ac:dyDescent="0.35">
      <c r="A564">
        <v>1038</v>
      </c>
      <c r="B564">
        <v>63</v>
      </c>
      <c r="C564" t="s">
        <v>27</v>
      </c>
      <c r="D564">
        <v>156</v>
      </c>
      <c r="E564">
        <v>82</v>
      </c>
      <c r="F564" s="3">
        <v>26.732971079643001</v>
      </c>
      <c r="G564" s="3" t="str">
        <f t="shared" si="8"/>
        <v>Overweight</v>
      </c>
      <c r="H564" t="s">
        <v>823</v>
      </c>
      <c r="I564" t="s">
        <v>24</v>
      </c>
      <c r="J564" t="s">
        <v>20</v>
      </c>
      <c r="K564" t="s">
        <v>22</v>
      </c>
      <c r="L564" t="s">
        <v>32</v>
      </c>
      <c r="M564" t="s">
        <v>20</v>
      </c>
      <c r="N564" t="s">
        <v>25</v>
      </c>
      <c r="O564" t="s">
        <v>20</v>
      </c>
      <c r="P564" t="s">
        <v>20</v>
      </c>
      <c r="Q564" t="s">
        <v>22</v>
      </c>
    </row>
    <row r="565" spans="1:17" x14ac:dyDescent="0.35">
      <c r="A565">
        <v>1170</v>
      </c>
      <c r="B565">
        <v>63</v>
      </c>
      <c r="C565" t="s">
        <v>27</v>
      </c>
      <c r="D565">
        <v>155</v>
      </c>
      <c r="E565">
        <v>96</v>
      </c>
      <c r="F565" s="3">
        <v>31.480929743103399</v>
      </c>
      <c r="G565" s="3" t="str">
        <f t="shared" si="8"/>
        <v>Obese</v>
      </c>
      <c r="H565" t="s">
        <v>859</v>
      </c>
      <c r="I565" t="s">
        <v>31</v>
      </c>
      <c r="J565" t="s">
        <v>20</v>
      </c>
      <c r="K565" t="s">
        <v>22</v>
      </c>
      <c r="L565" t="s">
        <v>14</v>
      </c>
      <c r="M565" t="s">
        <v>19</v>
      </c>
      <c r="N565" t="s">
        <v>25</v>
      </c>
      <c r="O565" t="s">
        <v>19</v>
      </c>
      <c r="P565" t="s">
        <v>20</v>
      </c>
      <c r="Q565" t="s">
        <v>40</v>
      </c>
    </row>
    <row r="566" spans="1:17" x14ac:dyDescent="0.35">
      <c r="A566">
        <v>589</v>
      </c>
      <c r="B566">
        <v>47</v>
      </c>
      <c r="C566" t="s">
        <v>27</v>
      </c>
      <c r="D566">
        <v>173</v>
      </c>
      <c r="E566">
        <v>95</v>
      </c>
      <c r="F566" s="3">
        <v>28.829902698183201</v>
      </c>
      <c r="G566" s="3" t="str">
        <f t="shared" si="8"/>
        <v>Overweight</v>
      </c>
      <c r="H566" t="s">
        <v>539</v>
      </c>
      <c r="I566" t="s">
        <v>18</v>
      </c>
      <c r="J566" t="s">
        <v>20</v>
      </c>
      <c r="K566" t="s">
        <v>18</v>
      </c>
      <c r="L566" t="s">
        <v>14</v>
      </c>
      <c r="M566" t="s">
        <v>20</v>
      </c>
      <c r="N566" t="s">
        <v>25</v>
      </c>
      <c r="O566" t="s">
        <v>19</v>
      </c>
      <c r="P566" t="s">
        <v>20</v>
      </c>
      <c r="Q566" t="s">
        <v>22</v>
      </c>
    </row>
    <row r="567" spans="1:17" x14ac:dyDescent="0.35">
      <c r="A567">
        <v>1524</v>
      </c>
      <c r="B567">
        <v>63</v>
      </c>
      <c r="C567" t="s">
        <v>16</v>
      </c>
      <c r="D567">
        <v>156</v>
      </c>
      <c r="E567">
        <v>50</v>
      </c>
      <c r="F567" s="3">
        <v>20.593401663041</v>
      </c>
      <c r="G567" s="3" t="str">
        <f t="shared" si="8"/>
        <v>Normal Weight</v>
      </c>
      <c r="H567" t="s">
        <v>516</v>
      </c>
      <c r="I567" t="s">
        <v>24</v>
      </c>
      <c r="J567" t="s">
        <v>19</v>
      </c>
      <c r="K567" t="s">
        <v>22</v>
      </c>
      <c r="L567" t="s">
        <v>29</v>
      </c>
      <c r="M567" t="s">
        <v>19</v>
      </c>
      <c r="N567" t="s">
        <v>25</v>
      </c>
      <c r="O567" t="s">
        <v>19</v>
      </c>
      <c r="P567" t="s">
        <v>20</v>
      </c>
      <c r="Q567" t="s">
        <v>40</v>
      </c>
    </row>
    <row r="568" spans="1:17" x14ac:dyDescent="0.35">
      <c r="A568">
        <v>591</v>
      </c>
      <c r="B568">
        <v>34</v>
      </c>
      <c r="C568" t="s">
        <v>27</v>
      </c>
      <c r="D568">
        <v>179</v>
      </c>
      <c r="E568">
        <v>80</v>
      </c>
      <c r="F568" s="3">
        <v>20.354550948404199</v>
      </c>
      <c r="G568" s="3" t="str">
        <f t="shared" si="8"/>
        <v>Normal Weight</v>
      </c>
      <c r="H568" t="s">
        <v>541</v>
      </c>
      <c r="I568" t="s">
        <v>24</v>
      </c>
      <c r="J568" t="s">
        <v>19</v>
      </c>
      <c r="K568" t="s">
        <v>18</v>
      </c>
      <c r="L568" t="s">
        <v>14</v>
      </c>
      <c r="M568" t="s">
        <v>20</v>
      </c>
      <c r="N568" t="s">
        <v>25</v>
      </c>
      <c r="O568" t="s">
        <v>19</v>
      </c>
      <c r="P568" t="s">
        <v>20</v>
      </c>
      <c r="Q568" t="s">
        <v>22</v>
      </c>
    </row>
    <row r="569" spans="1:17" x14ac:dyDescent="0.35">
      <c r="A569">
        <v>592</v>
      </c>
      <c r="B569">
        <v>73</v>
      </c>
      <c r="C569" t="s">
        <v>27</v>
      </c>
      <c r="D569">
        <v>179</v>
      </c>
      <c r="E569">
        <v>92</v>
      </c>
      <c r="F569" s="3">
        <v>19.3135982873121</v>
      </c>
      <c r="G569" s="3" t="str">
        <f t="shared" si="8"/>
        <v>Normal Weight</v>
      </c>
      <c r="H569" t="s">
        <v>480</v>
      </c>
      <c r="I569" t="s">
        <v>24</v>
      </c>
      <c r="J569" t="s">
        <v>19</v>
      </c>
      <c r="K569" t="s">
        <v>40</v>
      </c>
      <c r="L569" t="s">
        <v>32</v>
      </c>
      <c r="M569" t="s">
        <v>19</v>
      </c>
      <c r="N569" t="s">
        <v>25</v>
      </c>
      <c r="O569" t="s">
        <v>19</v>
      </c>
      <c r="P569" t="s">
        <v>19</v>
      </c>
      <c r="Q569" t="s">
        <v>22</v>
      </c>
    </row>
    <row r="570" spans="1:17" x14ac:dyDescent="0.35">
      <c r="A570">
        <v>594</v>
      </c>
      <c r="B570">
        <v>45</v>
      </c>
      <c r="C570" t="s">
        <v>27</v>
      </c>
      <c r="D570">
        <v>168</v>
      </c>
      <c r="E570">
        <v>50</v>
      </c>
      <c r="F570" s="3">
        <v>20.7384142081462</v>
      </c>
      <c r="G570" s="3" t="str">
        <f t="shared" si="8"/>
        <v>Normal Weight</v>
      </c>
      <c r="H570" t="s">
        <v>131</v>
      </c>
      <c r="I570" t="s">
        <v>31</v>
      </c>
      <c r="J570" t="s">
        <v>19</v>
      </c>
      <c r="K570" t="s">
        <v>18</v>
      </c>
      <c r="L570" t="s">
        <v>14</v>
      </c>
      <c r="M570" t="s">
        <v>20</v>
      </c>
      <c r="N570" t="s">
        <v>25</v>
      </c>
      <c r="O570" t="s">
        <v>20</v>
      </c>
      <c r="P570" t="s">
        <v>19</v>
      </c>
      <c r="Q570" t="s">
        <v>18</v>
      </c>
    </row>
    <row r="571" spans="1:17" x14ac:dyDescent="0.35">
      <c r="A571">
        <v>597</v>
      </c>
      <c r="B571">
        <v>43</v>
      </c>
      <c r="C571" t="s">
        <v>16</v>
      </c>
      <c r="D571">
        <v>189</v>
      </c>
      <c r="E571">
        <v>53</v>
      </c>
      <c r="F571" s="3">
        <v>34.059215937173697</v>
      </c>
      <c r="G571" s="3" t="str">
        <f t="shared" si="8"/>
        <v>Obese</v>
      </c>
      <c r="H571" t="s">
        <v>545</v>
      </c>
      <c r="I571" t="s">
        <v>31</v>
      </c>
      <c r="J571" t="s">
        <v>19</v>
      </c>
      <c r="K571" t="s">
        <v>18</v>
      </c>
      <c r="L571" t="s">
        <v>14</v>
      </c>
      <c r="M571" t="s">
        <v>19</v>
      </c>
      <c r="N571" t="s">
        <v>25</v>
      </c>
      <c r="O571" t="s">
        <v>20</v>
      </c>
      <c r="P571" t="s">
        <v>19</v>
      </c>
      <c r="Q571" t="s">
        <v>22</v>
      </c>
    </row>
    <row r="572" spans="1:17" x14ac:dyDescent="0.35">
      <c r="A572">
        <v>598</v>
      </c>
      <c r="B572">
        <v>54</v>
      </c>
      <c r="C572" t="s">
        <v>27</v>
      </c>
      <c r="D572">
        <v>156</v>
      </c>
      <c r="E572">
        <v>56</v>
      </c>
      <c r="F572" s="3">
        <v>28.571204986397898</v>
      </c>
      <c r="G572" s="3" t="str">
        <f t="shared" si="8"/>
        <v>Overweight</v>
      </c>
      <c r="H572" t="s">
        <v>546</v>
      </c>
      <c r="I572" t="s">
        <v>31</v>
      </c>
      <c r="J572" t="s">
        <v>20</v>
      </c>
      <c r="K572" t="s">
        <v>18</v>
      </c>
      <c r="L572" t="s">
        <v>29</v>
      </c>
      <c r="M572" t="s">
        <v>19</v>
      </c>
      <c r="N572" t="s">
        <v>21</v>
      </c>
      <c r="O572" t="s">
        <v>19</v>
      </c>
      <c r="P572" t="s">
        <v>19</v>
      </c>
      <c r="Q572" t="s">
        <v>18</v>
      </c>
    </row>
    <row r="573" spans="1:17" x14ac:dyDescent="0.35">
      <c r="A573">
        <v>602</v>
      </c>
      <c r="B573">
        <v>40</v>
      </c>
      <c r="C573" t="s">
        <v>16</v>
      </c>
      <c r="D573">
        <v>150</v>
      </c>
      <c r="E573">
        <v>61</v>
      </c>
      <c r="F573" s="3">
        <v>30.6426867051701</v>
      </c>
      <c r="G573" s="3" t="str">
        <f t="shared" si="8"/>
        <v>Obese</v>
      </c>
      <c r="H573" t="s">
        <v>549</v>
      </c>
      <c r="I573" t="s">
        <v>24</v>
      </c>
      <c r="J573" t="s">
        <v>20</v>
      </c>
      <c r="K573" t="s">
        <v>18</v>
      </c>
      <c r="L573" t="s">
        <v>38</v>
      </c>
      <c r="M573" t="s">
        <v>20</v>
      </c>
      <c r="N573" t="s">
        <v>25</v>
      </c>
      <c r="O573" t="s">
        <v>19</v>
      </c>
      <c r="P573" t="s">
        <v>19</v>
      </c>
      <c r="Q573" t="s">
        <v>18</v>
      </c>
    </row>
    <row r="574" spans="1:17" x14ac:dyDescent="0.35">
      <c r="A574">
        <v>1847</v>
      </c>
      <c r="B574">
        <v>63</v>
      </c>
      <c r="C574" t="s">
        <v>27</v>
      </c>
      <c r="D574">
        <v>175</v>
      </c>
      <c r="E574">
        <v>90</v>
      </c>
      <c r="F574" s="3">
        <v>22.119924921738001</v>
      </c>
      <c r="G574" s="3" t="str">
        <f t="shared" si="8"/>
        <v>Normal Weight</v>
      </c>
      <c r="H574" t="s">
        <v>904</v>
      </c>
      <c r="I574" t="s">
        <v>18</v>
      </c>
      <c r="J574" t="s">
        <v>19</v>
      </c>
      <c r="K574" t="s">
        <v>22</v>
      </c>
      <c r="L574" t="s">
        <v>14</v>
      </c>
      <c r="M574" t="s">
        <v>19</v>
      </c>
      <c r="N574" t="s">
        <v>25</v>
      </c>
      <c r="O574" t="s">
        <v>20</v>
      </c>
      <c r="P574" t="s">
        <v>20</v>
      </c>
      <c r="Q574" t="s">
        <v>18</v>
      </c>
    </row>
    <row r="575" spans="1:17" x14ac:dyDescent="0.35">
      <c r="A575">
        <v>604</v>
      </c>
      <c r="B575">
        <v>29</v>
      </c>
      <c r="C575" t="s">
        <v>27</v>
      </c>
      <c r="D575">
        <v>174</v>
      </c>
      <c r="E575">
        <v>66</v>
      </c>
      <c r="F575" s="3">
        <v>29.045279475412599</v>
      </c>
      <c r="G575" s="3" t="str">
        <f t="shared" si="8"/>
        <v>Overweight</v>
      </c>
      <c r="H575" t="s">
        <v>526</v>
      </c>
      <c r="I575" t="s">
        <v>31</v>
      </c>
      <c r="J575" t="s">
        <v>20</v>
      </c>
      <c r="K575" t="s">
        <v>18</v>
      </c>
      <c r="L575" t="s">
        <v>32</v>
      </c>
      <c r="M575" t="s">
        <v>20</v>
      </c>
      <c r="N575" t="s">
        <v>21</v>
      </c>
      <c r="O575" t="s">
        <v>19</v>
      </c>
      <c r="P575" t="s">
        <v>19</v>
      </c>
      <c r="Q575" t="s">
        <v>22</v>
      </c>
    </row>
    <row r="576" spans="1:17" x14ac:dyDescent="0.35">
      <c r="A576">
        <v>605</v>
      </c>
      <c r="B576">
        <v>70</v>
      </c>
      <c r="C576" t="s">
        <v>16</v>
      </c>
      <c r="D576">
        <v>186</v>
      </c>
      <c r="E576">
        <v>82</v>
      </c>
      <c r="F576" s="3">
        <v>24.125872565109301</v>
      </c>
      <c r="G576" s="3" t="str">
        <f t="shared" si="8"/>
        <v>Normal Weight</v>
      </c>
      <c r="H576" t="s">
        <v>23</v>
      </c>
      <c r="I576" t="s">
        <v>18</v>
      </c>
      <c r="J576" t="s">
        <v>20</v>
      </c>
      <c r="K576" t="s">
        <v>40</v>
      </c>
      <c r="L576" t="s">
        <v>32</v>
      </c>
      <c r="M576" t="s">
        <v>19</v>
      </c>
      <c r="N576" t="s">
        <v>21</v>
      </c>
      <c r="O576" t="s">
        <v>20</v>
      </c>
      <c r="P576" t="s">
        <v>20</v>
      </c>
      <c r="Q576" t="s">
        <v>40</v>
      </c>
    </row>
    <row r="577" spans="1:17" x14ac:dyDescent="0.35">
      <c r="A577">
        <v>131</v>
      </c>
      <c r="B577">
        <v>62</v>
      </c>
      <c r="C577" t="s">
        <v>16</v>
      </c>
      <c r="D577">
        <v>187</v>
      </c>
      <c r="E577">
        <v>72</v>
      </c>
      <c r="F577" s="3">
        <v>31.184327667481401</v>
      </c>
      <c r="G577" s="3" t="str">
        <f t="shared" si="8"/>
        <v>Obese</v>
      </c>
      <c r="H577" t="s">
        <v>155</v>
      </c>
      <c r="I577" t="s">
        <v>18</v>
      </c>
      <c r="J577" t="s">
        <v>19</v>
      </c>
      <c r="K577" t="s">
        <v>22</v>
      </c>
      <c r="L577" t="s">
        <v>32</v>
      </c>
      <c r="M577" t="s">
        <v>20</v>
      </c>
      <c r="N577" t="s">
        <v>21</v>
      </c>
      <c r="O577" t="s">
        <v>19</v>
      </c>
      <c r="P577" t="s">
        <v>19</v>
      </c>
      <c r="Q577" t="s">
        <v>40</v>
      </c>
    </row>
    <row r="578" spans="1:17" x14ac:dyDescent="0.35">
      <c r="A578">
        <v>205</v>
      </c>
      <c r="B578">
        <v>62</v>
      </c>
      <c r="C578" t="s">
        <v>27</v>
      </c>
      <c r="D578">
        <v>157</v>
      </c>
      <c r="E578">
        <v>62</v>
      </c>
      <c r="F578" s="3">
        <v>28.674262639727001</v>
      </c>
      <c r="G578" s="3" t="str">
        <f t="shared" si="8"/>
        <v>Overweight</v>
      </c>
      <c r="H578" t="s">
        <v>222</v>
      </c>
      <c r="I578" t="s">
        <v>31</v>
      </c>
      <c r="J578" t="s">
        <v>19</v>
      </c>
      <c r="K578" t="s">
        <v>22</v>
      </c>
      <c r="L578" t="s">
        <v>32</v>
      </c>
      <c r="M578" t="s">
        <v>19</v>
      </c>
      <c r="N578" t="s">
        <v>21</v>
      </c>
      <c r="O578" t="s">
        <v>19</v>
      </c>
      <c r="P578" t="s">
        <v>19</v>
      </c>
      <c r="Q578" t="s">
        <v>40</v>
      </c>
    </row>
    <row r="579" spans="1:17" x14ac:dyDescent="0.35">
      <c r="A579">
        <v>219</v>
      </c>
      <c r="B579">
        <v>62</v>
      </c>
      <c r="C579" t="s">
        <v>16</v>
      </c>
      <c r="D579">
        <v>168</v>
      </c>
      <c r="E579">
        <v>71</v>
      </c>
      <c r="F579" s="3">
        <v>25.8561215721457</v>
      </c>
      <c r="G579" s="3" t="str">
        <f t="shared" ref="G579:G642" si="9">_xlfn.IFS(F579&lt;18.5, "Underweight", F579&lt;=24.9, "Normal Weight", F579&lt;=29.9, "Overweight", TRUE, "Obese")</f>
        <v>Overweight</v>
      </c>
      <c r="H579" t="s">
        <v>235</v>
      </c>
      <c r="I579" t="s">
        <v>18</v>
      </c>
      <c r="J579" t="s">
        <v>19</v>
      </c>
      <c r="K579" t="s">
        <v>22</v>
      </c>
      <c r="L579" t="s">
        <v>38</v>
      </c>
      <c r="M579" t="s">
        <v>20</v>
      </c>
      <c r="N579" t="s">
        <v>21</v>
      </c>
      <c r="O579" t="s">
        <v>19</v>
      </c>
      <c r="P579" t="s">
        <v>19</v>
      </c>
      <c r="Q579" t="s">
        <v>18</v>
      </c>
    </row>
    <row r="580" spans="1:17" x14ac:dyDescent="0.35">
      <c r="A580">
        <v>439</v>
      </c>
      <c r="B580">
        <v>62</v>
      </c>
      <c r="C580" t="s">
        <v>27</v>
      </c>
      <c r="D580">
        <v>186</v>
      </c>
      <c r="E580">
        <v>60</v>
      </c>
      <c r="F580" s="3">
        <v>30.347233939095499</v>
      </c>
      <c r="G580" s="3" t="str">
        <f t="shared" si="9"/>
        <v>Obese</v>
      </c>
      <c r="H580" t="s">
        <v>419</v>
      </c>
      <c r="I580" t="s">
        <v>24</v>
      </c>
      <c r="J580" t="s">
        <v>20</v>
      </c>
      <c r="K580" t="s">
        <v>22</v>
      </c>
      <c r="L580" t="s">
        <v>14</v>
      </c>
      <c r="M580" t="s">
        <v>20</v>
      </c>
      <c r="N580" t="s">
        <v>25</v>
      </c>
      <c r="O580" t="s">
        <v>19</v>
      </c>
      <c r="P580" t="s">
        <v>19</v>
      </c>
      <c r="Q580" t="s">
        <v>22</v>
      </c>
    </row>
    <row r="581" spans="1:17" x14ac:dyDescent="0.35">
      <c r="A581">
        <v>530</v>
      </c>
      <c r="B581">
        <v>62</v>
      </c>
      <c r="C581" t="s">
        <v>16</v>
      </c>
      <c r="D581">
        <v>176</v>
      </c>
      <c r="E581">
        <v>68</v>
      </c>
      <c r="F581" s="3">
        <v>34.7915797931513</v>
      </c>
      <c r="G581" s="3" t="str">
        <f t="shared" si="9"/>
        <v>Obese</v>
      </c>
      <c r="H581" t="s">
        <v>488</v>
      </c>
      <c r="I581" t="s">
        <v>18</v>
      </c>
      <c r="J581" t="s">
        <v>20</v>
      </c>
      <c r="K581" t="s">
        <v>22</v>
      </c>
      <c r="L581" t="s">
        <v>29</v>
      </c>
      <c r="M581" t="s">
        <v>20</v>
      </c>
      <c r="N581" t="s">
        <v>25</v>
      </c>
      <c r="O581" t="s">
        <v>20</v>
      </c>
      <c r="P581" t="s">
        <v>20</v>
      </c>
      <c r="Q581" t="s">
        <v>18</v>
      </c>
    </row>
    <row r="582" spans="1:17" x14ac:dyDescent="0.35">
      <c r="A582">
        <v>575</v>
      </c>
      <c r="B582">
        <v>62</v>
      </c>
      <c r="C582" t="s">
        <v>16</v>
      </c>
      <c r="D582">
        <v>154</v>
      </c>
      <c r="E582">
        <v>70</v>
      </c>
      <c r="F582" s="3">
        <v>27.499561178493199</v>
      </c>
      <c r="G582" s="3" t="str">
        <f t="shared" si="9"/>
        <v>Overweight</v>
      </c>
      <c r="H582" t="s">
        <v>527</v>
      </c>
      <c r="I582" t="s">
        <v>31</v>
      </c>
      <c r="J582" t="s">
        <v>19</v>
      </c>
      <c r="K582" t="s">
        <v>22</v>
      </c>
      <c r="L582" t="s">
        <v>32</v>
      </c>
      <c r="M582" t="s">
        <v>20</v>
      </c>
      <c r="N582" t="s">
        <v>25</v>
      </c>
      <c r="O582" t="s">
        <v>19</v>
      </c>
      <c r="P582" t="s">
        <v>19</v>
      </c>
      <c r="Q582" t="s">
        <v>18</v>
      </c>
    </row>
    <row r="583" spans="1:17" x14ac:dyDescent="0.35">
      <c r="A583">
        <v>606</v>
      </c>
      <c r="B583">
        <v>18</v>
      </c>
      <c r="C583" t="s">
        <v>16</v>
      </c>
      <c r="D583">
        <v>150</v>
      </c>
      <c r="E583">
        <v>60</v>
      </c>
      <c r="F583" s="3">
        <v>34.961592343866798</v>
      </c>
      <c r="G583" s="3" t="str">
        <f t="shared" si="9"/>
        <v>Obese</v>
      </c>
      <c r="H583" t="s">
        <v>551</v>
      </c>
      <c r="I583" t="s">
        <v>18</v>
      </c>
      <c r="J583" t="s">
        <v>19</v>
      </c>
      <c r="K583" t="s">
        <v>18</v>
      </c>
      <c r="L583" t="s">
        <v>14</v>
      </c>
      <c r="M583" t="s">
        <v>19</v>
      </c>
      <c r="N583" t="s">
        <v>25</v>
      </c>
      <c r="O583" t="s">
        <v>19</v>
      </c>
      <c r="P583" t="s">
        <v>19</v>
      </c>
      <c r="Q583" t="s">
        <v>22</v>
      </c>
    </row>
    <row r="584" spans="1:17" x14ac:dyDescent="0.35">
      <c r="A584">
        <v>676</v>
      </c>
      <c r="B584">
        <v>62</v>
      </c>
      <c r="C584" t="s">
        <v>16</v>
      </c>
      <c r="D584">
        <v>169</v>
      </c>
      <c r="E584">
        <v>69</v>
      </c>
      <c r="F584" s="3">
        <v>28.110178768656802</v>
      </c>
      <c r="G584" s="3" t="str">
        <f t="shared" si="9"/>
        <v>Overweight</v>
      </c>
      <c r="H584" t="s">
        <v>51</v>
      </c>
      <c r="I584" t="s">
        <v>31</v>
      </c>
      <c r="J584" t="s">
        <v>20</v>
      </c>
      <c r="K584" t="s">
        <v>22</v>
      </c>
      <c r="L584" t="s">
        <v>32</v>
      </c>
      <c r="M584" t="s">
        <v>20</v>
      </c>
      <c r="N584" t="s">
        <v>21</v>
      </c>
      <c r="O584" t="s">
        <v>20</v>
      </c>
      <c r="P584" t="s">
        <v>19</v>
      </c>
      <c r="Q584" t="s">
        <v>18</v>
      </c>
    </row>
    <row r="585" spans="1:17" x14ac:dyDescent="0.35">
      <c r="A585">
        <v>608</v>
      </c>
      <c r="B585">
        <v>75</v>
      </c>
      <c r="C585" t="s">
        <v>16</v>
      </c>
      <c r="D585">
        <v>186</v>
      </c>
      <c r="E585">
        <v>81</v>
      </c>
      <c r="F585" s="3">
        <v>23.1056527677754</v>
      </c>
      <c r="G585" s="3" t="str">
        <f t="shared" si="9"/>
        <v>Normal Weight</v>
      </c>
      <c r="H585" t="s">
        <v>553</v>
      </c>
      <c r="I585" t="s">
        <v>18</v>
      </c>
      <c r="J585" t="s">
        <v>19</v>
      </c>
      <c r="K585" t="s">
        <v>40</v>
      </c>
      <c r="L585" t="s">
        <v>32</v>
      </c>
      <c r="M585" t="s">
        <v>19</v>
      </c>
      <c r="N585" t="s">
        <v>21</v>
      </c>
      <c r="O585" t="s">
        <v>19</v>
      </c>
      <c r="P585" t="s">
        <v>19</v>
      </c>
      <c r="Q585" t="s">
        <v>22</v>
      </c>
    </row>
    <row r="586" spans="1:17" x14ac:dyDescent="0.35">
      <c r="A586">
        <v>610</v>
      </c>
      <c r="B586">
        <v>64</v>
      </c>
      <c r="C586" t="s">
        <v>16</v>
      </c>
      <c r="D586">
        <v>189</v>
      </c>
      <c r="E586">
        <v>96</v>
      </c>
      <c r="F586" s="3">
        <v>18.906632676499299</v>
      </c>
      <c r="G586" s="3" t="str">
        <f t="shared" si="9"/>
        <v>Normal Weight</v>
      </c>
      <c r="H586" t="s">
        <v>555</v>
      </c>
      <c r="I586" t="s">
        <v>18</v>
      </c>
      <c r="J586" t="s">
        <v>19</v>
      </c>
      <c r="K586" t="s">
        <v>18</v>
      </c>
      <c r="L586" t="s">
        <v>29</v>
      </c>
      <c r="M586" t="s">
        <v>19</v>
      </c>
      <c r="N586" t="s">
        <v>25</v>
      </c>
      <c r="O586" t="s">
        <v>20</v>
      </c>
      <c r="P586" t="s">
        <v>20</v>
      </c>
      <c r="Q586" t="s">
        <v>18</v>
      </c>
    </row>
    <row r="587" spans="1:17" x14ac:dyDescent="0.35">
      <c r="A587">
        <v>853</v>
      </c>
      <c r="B587">
        <v>62</v>
      </c>
      <c r="C587" t="s">
        <v>27</v>
      </c>
      <c r="D587">
        <v>172</v>
      </c>
      <c r="E587">
        <v>68</v>
      </c>
      <c r="F587" s="3">
        <v>28.8897793217768</v>
      </c>
      <c r="G587" s="3" t="str">
        <f t="shared" si="9"/>
        <v>Overweight</v>
      </c>
      <c r="H587" t="s">
        <v>722</v>
      </c>
      <c r="I587" t="s">
        <v>24</v>
      </c>
      <c r="J587" t="s">
        <v>20</v>
      </c>
      <c r="K587" t="s">
        <v>22</v>
      </c>
      <c r="L587" t="s">
        <v>38</v>
      </c>
      <c r="M587" t="s">
        <v>20</v>
      </c>
      <c r="N587" t="s">
        <v>21</v>
      </c>
      <c r="O587" t="s">
        <v>19</v>
      </c>
      <c r="P587" t="s">
        <v>20</v>
      </c>
      <c r="Q587" t="s">
        <v>18</v>
      </c>
    </row>
    <row r="588" spans="1:17" x14ac:dyDescent="0.35">
      <c r="A588">
        <v>860</v>
      </c>
      <c r="B588">
        <v>62</v>
      </c>
      <c r="C588" t="s">
        <v>27</v>
      </c>
      <c r="D588">
        <v>178</v>
      </c>
      <c r="E588">
        <v>60</v>
      </c>
      <c r="F588" s="3">
        <v>19.4343216967297</v>
      </c>
      <c r="G588" s="3" t="str">
        <f t="shared" si="9"/>
        <v>Normal Weight</v>
      </c>
      <c r="H588" t="s">
        <v>725</v>
      </c>
      <c r="I588" t="s">
        <v>18</v>
      </c>
      <c r="J588" t="s">
        <v>19</v>
      </c>
      <c r="K588" t="s">
        <v>22</v>
      </c>
      <c r="L588" t="s">
        <v>29</v>
      </c>
      <c r="M588" t="s">
        <v>20</v>
      </c>
      <c r="N588" t="s">
        <v>21</v>
      </c>
      <c r="O588" t="s">
        <v>20</v>
      </c>
      <c r="P588" t="s">
        <v>20</v>
      </c>
      <c r="Q588" t="s">
        <v>22</v>
      </c>
    </row>
    <row r="589" spans="1:17" x14ac:dyDescent="0.35">
      <c r="A589">
        <v>613</v>
      </c>
      <c r="B589">
        <v>79</v>
      </c>
      <c r="C589" t="s">
        <v>16</v>
      </c>
      <c r="D589">
        <v>158</v>
      </c>
      <c r="E589">
        <v>56</v>
      </c>
      <c r="F589" s="3">
        <v>32.300246527271497</v>
      </c>
      <c r="G589" s="3" t="str">
        <f t="shared" si="9"/>
        <v>Obese</v>
      </c>
      <c r="H589" t="s">
        <v>557</v>
      </c>
      <c r="I589" t="s">
        <v>18</v>
      </c>
      <c r="J589" t="s">
        <v>19</v>
      </c>
      <c r="K589" t="s">
        <v>40</v>
      </c>
      <c r="L589" t="s">
        <v>29</v>
      </c>
      <c r="M589" t="s">
        <v>19</v>
      </c>
      <c r="N589" t="s">
        <v>21</v>
      </c>
      <c r="O589" t="s">
        <v>19</v>
      </c>
      <c r="P589" t="s">
        <v>19</v>
      </c>
      <c r="Q589" t="s">
        <v>40</v>
      </c>
    </row>
    <row r="590" spans="1:17" x14ac:dyDescent="0.35">
      <c r="A590">
        <v>615</v>
      </c>
      <c r="B590">
        <v>65</v>
      </c>
      <c r="C590" t="s">
        <v>16</v>
      </c>
      <c r="D590">
        <v>185</v>
      </c>
      <c r="E590">
        <v>91</v>
      </c>
      <c r="F590" s="3">
        <v>34.597431666084702</v>
      </c>
      <c r="G590" s="3" t="str">
        <f t="shared" si="9"/>
        <v>Obese</v>
      </c>
      <c r="H590" t="s">
        <v>559</v>
      </c>
      <c r="I590" t="s">
        <v>31</v>
      </c>
      <c r="J590" t="s">
        <v>20</v>
      </c>
      <c r="K590" t="s">
        <v>18</v>
      </c>
      <c r="L590" t="s">
        <v>14</v>
      </c>
      <c r="M590" t="s">
        <v>20</v>
      </c>
      <c r="N590" t="s">
        <v>25</v>
      </c>
      <c r="O590" t="s">
        <v>19</v>
      </c>
      <c r="P590" t="s">
        <v>20</v>
      </c>
      <c r="Q590" t="s">
        <v>18</v>
      </c>
    </row>
    <row r="591" spans="1:17" x14ac:dyDescent="0.35">
      <c r="A591">
        <v>908</v>
      </c>
      <c r="B591">
        <v>62</v>
      </c>
      <c r="C591" t="s">
        <v>27</v>
      </c>
      <c r="D591">
        <v>164</v>
      </c>
      <c r="E591">
        <v>72</v>
      </c>
      <c r="F591" s="3">
        <v>25.4743292243475</v>
      </c>
      <c r="G591" s="3" t="str">
        <f t="shared" si="9"/>
        <v>Overweight</v>
      </c>
      <c r="H591" t="s">
        <v>193</v>
      </c>
      <c r="I591" t="s">
        <v>18</v>
      </c>
      <c r="J591" t="s">
        <v>19</v>
      </c>
      <c r="K591" t="s">
        <v>22</v>
      </c>
      <c r="L591" t="s">
        <v>29</v>
      </c>
      <c r="M591" t="s">
        <v>20</v>
      </c>
      <c r="N591" t="s">
        <v>25</v>
      </c>
      <c r="O591" t="s">
        <v>20</v>
      </c>
      <c r="P591" t="s">
        <v>19</v>
      </c>
      <c r="Q591" t="s">
        <v>18</v>
      </c>
    </row>
    <row r="592" spans="1:17" x14ac:dyDescent="0.35">
      <c r="A592">
        <v>616</v>
      </c>
      <c r="B592">
        <v>42</v>
      </c>
      <c r="C592" t="s">
        <v>27</v>
      </c>
      <c r="D592">
        <v>184</v>
      </c>
      <c r="E592">
        <v>73</v>
      </c>
      <c r="F592" s="3">
        <v>19.577066499846602</v>
      </c>
      <c r="G592" s="3" t="str">
        <f t="shared" si="9"/>
        <v>Normal Weight</v>
      </c>
      <c r="H592" t="s">
        <v>560</v>
      </c>
      <c r="I592" t="s">
        <v>24</v>
      </c>
      <c r="J592" t="s">
        <v>20</v>
      </c>
      <c r="K592" t="s">
        <v>18</v>
      </c>
      <c r="L592" t="s">
        <v>38</v>
      </c>
      <c r="M592" t="s">
        <v>19</v>
      </c>
      <c r="N592" t="s">
        <v>25</v>
      </c>
      <c r="O592" t="s">
        <v>19</v>
      </c>
      <c r="P592" t="s">
        <v>19</v>
      </c>
      <c r="Q592" t="s">
        <v>22</v>
      </c>
    </row>
    <row r="593" spans="1:17" x14ac:dyDescent="0.35">
      <c r="A593">
        <v>617</v>
      </c>
      <c r="B593">
        <v>57</v>
      </c>
      <c r="C593" t="s">
        <v>16</v>
      </c>
      <c r="D593">
        <v>151</v>
      </c>
      <c r="E593">
        <v>53</v>
      </c>
      <c r="F593" s="3">
        <v>32.0603488254228</v>
      </c>
      <c r="G593" s="3" t="str">
        <f t="shared" si="9"/>
        <v>Obese</v>
      </c>
      <c r="H593" t="s">
        <v>561</v>
      </c>
      <c r="I593" t="s">
        <v>18</v>
      </c>
      <c r="J593" t="s">
        <v>19</v>
      </c>
      <c r="K593" t="s">
        <v>18</v>
      </c>
      <c r="L593" t="s">
        <v>29</v>
      </c>
      <c r="M593" t="s">
        <v>20</v>
      </c>
      <c r="N593" t="s">
        <v>25</v>
      </c>
      <c r="O593" t="s">
        <v>20</v>
      </c>
      <c r="P593" t="s">
        <v>20</v>
      </c>
      <c r="Q593" t="s">
        <v>40</v>
      </c>
    </row>
    <row r="594" spans="1:17" x14ac:dyDescent="0.35">
      <c r="A594">
        <v>1175</v>
      </c>
      <c r="B594">
        <v>62</v>
      </c>
      <c r="C594" t="s">
        <v>27</v>
      </c>
      <c r="D594">
        <v>154</v>
      </c>
      <c r="E594">
        <v>77</v>
      </c>
      <c r="F594" s="3">
        <v>24.703525161830701</v>
      </c>
      <c r="G594" s="3" t="str">
        <f t="shared" si="9"/>
        <v>Normal Weight</v>
      </c>
      <c r="H594" t="s">
        <v>908</v>
      </c>
      <c r="I594" t="s">
        <v>18</v>
      </c>
      <c r="J594" t="s">
        <v>20</v>
      </c>
      <c r="K594" t="s">
        <v>22</v>
      </c>
      <c r="L594" t="s">
        <v>38</v>
      </c>
      <c r="M594" t="s">
        <v>20</v>
      </c>
      <c r="N594" t="s">
        <v>25</v>
      </c>
      <c r="O594" t="s">
        <v>19</v>
      </c>
      <c r="P594" t="s">
        <v>19</v>
      </c>
      <c r="Q594" t="s">
        <v>18</v>
      </c>
    </row>
    <row r="595" spans="1:17" x14ac:dyDescent="0.35">
      <c r="A595">
        <v>618</v>
      </c>
      <c r="B595">
        <v>62</v>
      </c>
      <c r="C595" t="s">
        <v>16</v>
      </c>
      <c r="D595">
        <v>189</v>
      </c>
      <c r="E595">
        <v>93</v>
      </c>
      <c r="F595" s="3">
        <v>29.164113905346699</v>
      </c>
      <c r="G595" s="3" t="str">
        <f t="shared" si="9"/>
        <v>Overweight</v>
      </c>
      <c r="H595" t="s">
        <v>418</v>
      </c>
      <c r="I595" t="s">
        <v>24</v>
      </c>
      <c r="J595" t="s">
        <v>19</v>
      </c>
      <c r="K595" t="s">
        <v>18</v>
      </c>
      <c r="L595" t="s">
        <v>38</v>
      </c>
      <c r="M595" t="s">
        <v>20</v>
      </c>
      <c r="N595" t="s">
        <v>25</v>
      </c>
      <c r="O595" t="s">
        <v>20</v>
      </c>
      <c r="P595" t="s">
        <v>20</v>
      </c>
      <c r="Q595" t="s">
        <v>18</v>
      </c>
    </row>
    <row r="596" spans="1:17" x14ac:dyDescent="0.35">
      <c r="A596">
        <v>619</v>
      </c>
      <c r="B596">
        <v>70</v>
      </c>
      <c r="C596" t="s">
        <v>27</v>
      </c>
      <c r="D596">
        <v>172</v>
      </c>
      <c r="E596">
        <v>68</v>
      </c>
      <c r="F596" s="3">
        <v>29.181145217156001</v>
      </c>
      <c r="G596" s="3" t="str">
        <f t="shared" si="9"/>
        <v>Overweight</v>
      </c>
      <c r="H596" t="s">
        <v>562</v>
      </c>
      <c r="I596" t="s">
        <v>31</v>
      </c>
      <c r="J596" t="s">
        <v>19</v>
      </c>
      <c r="K596" t="s">
        <v>40</v>
      </c>
      <c r="L596" t="s">
        <v>14</v>
      </c>
      <c r="M596" t="s">
        <v>20</v>
      </c>
      <c r="N596" t="s">
        <v>21</v>
      </c>
      <c r="O596" t="s">
        <v>19</v>
      </c>
      <c r="P596" t="s">
        <v>19</v>
      </c>
      <c r="Q596" t="s">
        <v>18</v>
      </c>
    </row>
    <row r="597" spans="1:17" x14ac:dyDescent="0.35">
      <c r="A597">
        <v>620</v>
      </c>
      <c r="B597">
        <v>18</v>
      </c>
      <c r="C597" t="s">
        <v>16</v>
      </c>
      <c r="D597">
        <v>158</v>
      </c>
      <c r="E597">
        <v>75</v>
      </c>
      <c r="F597" s="3">
        <v>20.617773789142401</v>
      </c>
      <c r="G597" s="3" t="str">
        <f t="shared" si="9"/>
        <v>Normal Weight</v>
      </c>
      <c r="H597" t="s">
        <v>563</v>
      </c>
      <c r="I597" t="s">
        <v>18</v>
      </c>
      <c r="J597" t="s">
        <v>20</v>
      </c>
      <c r="K597" t="s">
        <v>18</v>
      </c>
      <c r="L597" t="s">
        <v>32</v>
      </c>
      <c r="M597" t="s">
        <v>20</v>
      </c>
      <c r="N597" t="s">
        <v>25</v>
      </c>
      <c r="O597" t="s">
        <v>20</v>
      </c>
      <c r="P597" t="s">
        <v>19</v>
      </c>
      <c r="Q597" t="s">
        <v>22</v>
      </c>
    </row>
    <row r="598" spans="1:17" x14ac:dyDescent="0.35">
      <c r="A598">
        <v>621</v>
      </c>
      <c r="B598">
        <v>33</v>
      </c>
      <c r="C598" t="s">
        <v>27</v>
      </c>
      <c r="D598">
        <v>183</v>
      </c>
      <c r="E598">
        <v>60</v>
      </c>
      <c r="F598" s="3">
        <v>29.228088246353199</v>
      </c>
      <c r="G598" s="3" t="str">
        <f t="shared" si="9"/>
        <v>Overweight</v>
      </c>
      <c r="H598" t="s">
        <v>564</v>
      </c>
      <c r="I598" t="s">
        <v>31</v>
      </c>
      <c r="J598" t="s">
        <v>20</v>
      </c>
      <c r="K598" t="s">
        <v>18</v>
      </c>
      <c r="L598" t="s">
        <v>38</v>
      </c>
      <c r="M598" t="s">
        <v>20</v>
      </c>
      <c r="N598" t="s">
        <v>25</v>
      </c>
      <c r="O598" t="s">
        <v>20</v>
      </c>
      <c r="P598" t="s">
        <v>20</v>
      </c>
      <c r="Q598" t="s">
        <v>22</v>
      </c>
    </row>
    <row r="599" spans="1:17" x14ac:dyDescent="0.35">
      <c r="A599">
        <v>623</v>
      </c>
      <c r="B599">
        <v>56</v>
      </c>
      <c r="C599" t="s">
        <v>16</v>
      </c>
      <c r="D599">
        <v>153</v>
      </c>
      <c r="E599">
        <v>99</v>
      </c>
      <c r="F599" s="3">
        <v>33.545006397400797</v>
      </c>
      <c r="G599" s="3" t="str">
        <f t="shared" si="9"/>
        <v>Obese</v>
      </c>
      <c r="H599" t="s">
        <v>525</v>
      </c>
      <c r="I599" t="s">
        <v>18</v>
      </c>
      <c r="J599" t="s">
        <v>19</v>
      </c>
      <c r="K599" t="s">
        <v>18</v>
      </c>
      <c r="L599" t="s">
        <v>14</v>
      </c>
      <c r="M599" t="s">
        <v>20</v>
      </c>
      <c r="N599" t="s">
        <v>21</v>
      </c>
      <c r="O599" t="s">
        <v>20</v>
      </c>
      <c r="P599" t="s">
        <v>19</v>
      </c>
      <c r="Q599" t="s">
        <v>22</v>
      </c>
    </row>
    <row r="600" spans="1:17" x14ac:dyDescent="0.35">
      <c r="A600">
        <v>1418</v>
      </c>
      <c r="B600">
        <v>62</v>
      </c>
      <c r="C600" t="s">
        <v>27</v>
      </c>
      <c r="D600">
        <v>161</v>
      </c>
      <c r="E600">
        <v>59</v>
      </c>
      <c r="F600" s="3">
        <v>33.551424925611499</v>
      </c>
      <c r="G600" s="3" t="str">
        <f t="shared" si="9"/>
        <v>Obese</v>
      </c>
      <c r="H600" t="s">
        <v>1036</v>
      </c>
      <c r="I600" t="s">
        <v>24</v>
      </c>
      <c r="J600" t="s">
        <v>20</v>
      </c>
      <c r="K600" t="s">
        <v>22</v>
      </c>
      <c r="L600" t="s">
        <v>29</v>
      </c>
      <c r="M600" t="s">
        <v>19</v>
      </c>
      <c r="N600" t="s">
        <v>25</v>
      </c>
      <c r="O600" t="s">
        <v>20</v>
      </c>
      <c r="P600" t="s">
        <v>20</v>
      </c>
      <c r="Q600" t="s">
        <v>40</v>
      </c>
    </row>
    <row r="601" spans="1:17" x14ac:dyDescent="0.35">
      <c r="A601">
        <v>1489</v>
      </c>
      <c r="B601">
        <v>62</v>
      </c>
      <c r="C601" t="s">
        <v>16</v>
      </c>
      <c r="D601">
        <v>178</v>
      </c>
      <c r="E601">
        <v>59</v>
      </c>
      <c r="F601" s="3">
        <v>28.322067878216899</v>
      </c>
      <c r="G601" s="3" t="str">
        <f t="shared" si="9"/>
        <v>Overweight</v>
      </c>
      <c r="H601" t="s">
        <v>604</v>
      </c>
      <c r="I601" t="s">
        <v>24</v>
      </c>
      <c r="J601" t="s">
        <v>20</v>
      </c>
      <c r="K601" t="s">
        <v>22</v>
      </c>
      <c r="L601" t="s">
        <v>29</v>
      </c>
      <c r="M601" t="s">
        <v>19</v>
      </c>
      <c r="N601" t="s">
        <v>25</v>
      </c>
      <c r="O601" t="s">
        <v>20</v>
      </c>
      <c r="P601" t="s">
        <v>20</v>
      </c>
      <c r="Q601" t="s">
        <v>40</v>
      </c>
    </row>
    <row r="602" spans="1:17" x14ac:dyDescent="0.35">
      <c r="A602">
        <v>624</v>
      </c>
      <c r="B602">
        <v>22</v>
      </c>
      <c r="C602" t="s">
        <v>27</v>
      </c>
      <c r="D602">
        <v>179</v>
      </c>
      <c r="E602">
        <v>92</v>
      </c>
      <c r="F602" s="3">
        <v>25.745655903279999</v>
      </c>
      <c r="G602" s="3" t="str">
        <f t="shared" si="9"/>
        <v>Overweight</v>
      </c>
      <c r="H602" t="s">
        <v>565</v>
      </c>
      <c r="I602" t="s">
        <v>18</v>
      </c>
      <c r="J602" t="s">
        <v>19</v>
      </c>
      <c r="K602" t="s">
        <v>18</v>
      </c>
      <c r="L602" t="s">
        <v>32</v>
      </c>
      <c r="M602" t="s">
        <v>19</v>
      </c>
      <c r="N602" t="s">
        <v>21</v>
      </c>
      <c r="O602" t="s">
        <v>20</v>
      </c>
      <c r="P602" t="s">
        <v>20</v>
      </c>
      <c r="Q602" t="s">
        <v>22</v>
      </c>
    </row>
    <row r="603" spans="1:17" x14ac:dyDescent="0.35">
      <c r="A603">
        <v>1652</v>
      </c>
      <c r="B603">
        <v>62</v>
      </c>
      <c r="C603" t="s">
        <v>16</v>
      </c>
      <c r="D603">
        <v>150</v>
      </c>
      <c r="E603">
        <v>78</v>
      </c>
      <c r="F603" s="3">
        <v>27.358175917293199</v>
      </c>
      <c r="G603" s="3" t="str">
        <f t="shared" si="9"/>
        <v>Overweight</v>
      </c>
      <c r="H603" t="s">
        <v>1122</v>
      </c>
      <c r="I603" t="s">
        <v>24</v>
      </c>
      <c r="J603" t="s">
        <v>19</v>
      </c>
      <c r="K603" t="s">
        <v>22</v>
      </c>
      <c r="L603" t="s">
        <v>14</v>
      </c>
      <c r="M603" t="s">
        <v>19</v>
      </c>
      <c r="N603" t="s">
        <v>21</v>
      </c>
      <c r="O603" t="s">
        <v>19</v>
      </c>
      <c r="P603" t="s">
        <v>19</v>
      </c>
      <c r="Q603" t="s">
        <v>22</v>
      </c>
    </row>
    <row r="604" spans="1:17" x14ac:dyDescent="0.35">
      <c r="A604">
        <v>627</v>
      </c>
      <c r="B604">
        <v>72</v>
      </c>
      <c r="C604" t="s">
        <v>27</v>
      </c>
      <c r="D604">
        <v>160</v>
      </c>
      <c r="E604">
        <v>52</v>
      </c>
      <c r="F604" s="3">
        <v>32.135440141409099</v>
      </c>
      <c r="G604" s="3" t="str">
        <f t="shared" si="9"/>
        <v>Obese</v>
      </c>
      <c r="H604" t="s">
        <v>568</v>
      </c>
      <c r="I604" t="s">
        <v>24</v>
      </c>
      <c r="J604" t="s">
        <v>19</v>
      </c>
      <c r="K604" t="s">
        <v>40</v>
      </c>
      <c r="L604" t="s">
        <v>38</v>
      </c>
      <c r="M604" t="s">
        <v>20</v>
      </c>
      <c r="N604" t="s">
        <v>25</v>
      </c>
      <c r="O604" t="s">
        <v>19</v>
      </c>
      <c r="P604" t="s">
        <v>20</v>
      </c>
      <c r="Q604" t="s">
        <v>40</v>
      </c>
    </row>
    <row r="605" spans="1:17" x14ac:dyDescent="0.35">
      <c r="A605">
        <v>628</v>
      </c>
      <c r="B605">
        <v>20</v>
      </c>
      <c r="C605" t="s">
        <v>27</v>
      </c>
      <c r="D605">
        <v>184</v>
      </c>
      <c r="E605">
        <v>61</v>
      </c>
      <c r="F605" s="3">
        <v>30.074735174175199</v>
      </c>
      <c r="G605" s="3" t="str">
        <f t="shared" si="9"/>
        <v>Obese</v>
      </c>
      <c r="H605" t="s">
        <v>569</v>
      </c>
      <c r="I605" t="s">
        <v>31</v>
      </c>
      <c r="J605" t="s">
        <v>19</v>
      </c>
      <c r="K605" t="s">
        <v>18</v>
      </c>
      <c r="L605" t="s">
        <v>32</v>
      </c>
      <c r="M605" t="s">
        <v>19</v>
      </c>
      <c r="N605" t="s">
        <v>21</v>
      </c>
      <c r="O605" t="s">
        <v>19</v>
      </c>
      <c r="P605" t="s">
        <v>20</v>
      </c>
      <c r="Q605" t="s">
        <v>18</v>
      </c>
    </row>
    <row r="606" spans="1:17" x14ac:dyDescent="0.35">
      <c r="A606">
        <v>629</v>
      </c>
      <c r="B606">
        <v>29</v>
      </c>
      <c r="C606" t="s">
        <v>27</v>
      </c>
      <c r="D606">
        <v>157</v>
      </c>
      <c r="E606">
        <v>52</v>
      </c>
      <c r="F606" s="3">
        <v>26.0791703173002</v>
      </c>
      <c r="G606" s="3" t="str">
        <f t="shared" si="9"/>
        <v>Overweight</v>
      </c>
      <c r="H606" t="s">
        <v>570</v>
      </c>
      <c r="I606" t="s">
        <v>18</v>
      </c>
      <c r="J606" t="s">
        <v>19</v>
      </c>
      <c r="K606" t="s">
        <v>18</v>
      </c>
      <c r="L606" t="s">
        <v>29</v>
      </c>
      <c r="M606" t="s">
        <v>20</v>
      </c>
      <c r="N606" t="s">
        <v>25</v>
      </c>
      <c r="O606" t="s">
        <v>20</v>
      </c>
      <c r="P606" t="s">
        <v>20</v>
      </c>
      <c r="Q606" t="s">
        <v>40</v>
      </c>
    </row>
    <row r="607" spans="1:17" x14ac:dyDescent="0.35">
      <c r="A607">
        <v>631</v>
      </c>
      <c r="B607">
        <v>33</v>
      </c>
      <c r="C607" t="s">
        <v>27</v>
      </c>
      <c r="D607">
        <v>163</v>
      </c>
      <c r="E607">
        <v>76</v>
      </c>
      <c r="F607" s="3">
        <v>25.543763009084401</v>
      </c>
      <c r="G607" s="3" t="str">
        <f t="shared" si="9"/>
        <v>Overweight</v>
      </c>
      <c r="H607" t="s">
        <v>572</v>
      </c>
      <c r="I607" t="s">
        <v>31</v>
      </c>
      <c r="J607" t="s">
        <v>20</v>
      </c>
      <c r="K607" t="s">
        <v>18</v>
      </c>
      <c r="L607" t="s">
        <v>29</v>
      </c>
      <c r="M607" t="s">
        <v>19</v>
      </c>
      <c r="N607" t="s">
        <v>25</v>
      </c>
      <c r="O607" t="s">
        <v>20</v>
      </c>
      <c r="P607" t="s">
        <v>19</v>
      </c>
      <c r="Q607" t="s">
        <v>18</v>
      </c>
    </row>
    <row r="608" spans="1:17" x14ac:dyDescent="0.35">
      <c r="A608">
        <v>633</v>
      </c>
      <c r="B608">
        <v>54</v>
      </c>
      <c r="C608" t="s">
        <v>16</v>
      </c>
      <c r="D608">
        <v>181</v>
      </c>
      <c r="E608">
        <v>51</v>
      </c>
      <c r="F608" s="3">
        <v>33.821166292753198</v>
      </c>
      <c r="G608" s="3" t="str">
        <f t="shared" si="9"/>
        <v>Obese</v>
      </c>
      <c r="H608" t="s">
        <v>574</v>
      </c>
      <c r="I608" t="s">
        <v>31</v>
      </c>
      <c r="J608" t="s">
        <v>19</v>
      </c>
      <c r="K608" t="s">
        <v>18</v>
      </c>
      <c r="L608" t="s">
        <v>29</v>
      </c>
      <c r="M608" t="s">
        <v>20</v>
      </c>
      <c r="N608" t="s">
        <v>25</v>
      </c>
      <c r="O608" t="s">
        <v>19</v>
      </c>
      <c r="P608" t="s">
        <v>19</v>
      </c>
      <c r="Q608" t="s">
        <v>40</v>
      </c>
    </row>
    <row r="609" spans="1:17" x14ac:dyDescent="0.35">
      <c r="A609">
        <v>634</v>
      </c>
      <c r="B609">
        <v>39</v>
      </c>
      <c r="C609" t="s">
        <v>27</v>
      </c>
      <c r="D609">
        <v>183</v>
      </c>
      <c r="E609">
        <v>98</v>
      </c>
      <c r="F609" s="3">
        <v>29.077920709105602</v>
      </c>
      <c r="G609" s="3" t="str">
        <f t="shared" si="9"/>
        <v>Overweight</v>
      </c>
      <c r="H609" t="s">
        <v>575</v>
      </c>
      <c r="I609" t="s">
        <v>31</v>
      </c>
      <c r="J609" t="s">
        <v>19</v>
      </c>
      <c r="K609" t="s">
        <v>18</v>
      </c>
      <c r="L609" t="s">
        <v>14</v>
      </c>
      <c r="M609" t="s">
        <v>19</v>
      </c>
      <c r="N609" t="s">
        <v>21</v>
      </c>
      <c r="O609" t="s">
        <v>20</v>
      </c>
      <c r="P609" t="s">
        <v>19</v>
      </c>
      <c r="Q609" t="s">
        <v>18</v>
      </c>
    </row>
    <row r="610" spans="1:17" x14ac:dyDescent="0.35">
      <c r="A610">
        <v>636</v>
      </c>
      <c r="B610">
        <v>46</v>
      </c>
      <c r="C610" t="s">
        <v>27</v>
      </c>
      <c r="D610">
        <v>187</v>
      </c>
      <c r="E610">
        <v>51</v>
      </c>
      <c r="F610" s="3">
        <v>27.167751363436899</v>
      </c>
      <c r="G610" s="3" t="str">
        <f t="shared" si="9"/>
        <v>Overweight</v>
      </c>
      <c r="H610" t="s">
        <v>577</v>
      </c>
      <c r="I610" t="s">
        <v>24</v>
      </c>
      <c r="J610" t="s">
        <v>20</v>
      </c>
      <c r="K610" t="s">
        <v>18</v>
      </c>
      <c r="L610" t="s">
        <v>32</v>
      </c>
      <c r="M610" t="s">
        <v>19</v>
      </c>
      <c r="N610" t="s">
        <v>25</v>
      </c>
      <c r="O610" t="s">
        <v>20</v>
      </c>
      <c r="P610" t="s">
        <v>19</v>
      </c>
      <c r="Q610" t="s">
        <v>40</v>
      </c>
    </row>
    <row r="611" spans="1:17" x14ac:dyDescent="0.35">
      <c r="A611">
        <v>25</v>
      </c>
      <c r="B611">
        <v>61</v>
      </c>
      <c r="C611" t="s">
        <v>27</v>
      </c>
      <c r="D611">
        <v>159</v>
      </c>
      <c r="E611">
        <v>91</v>
      </c>
      <c r="F611" s="3">
        <v>34.625183082419298</v>
      </c>
      <c r="G611" s="3" t="str">
        <f t="shared" si="9"/>
        <v>Obese</v>
      </c>
      <c r="H611" t="s">
        <v>54</v>
      </c>
      <c r="I611" t="s">
        <v>24</v>
      </c>
      <c r="J611" t="s">
        <v>20</v>
      </c>
      <c r="K611" t="s">
        <v>22</v>
      </c>
      <c r="L611" t="s">
        <v>38</v>
      </c>
      <c r="M611" t="s">
        <v>19</v>
      </c>
      <c r="N611" t="s">
        <v>21</v>
      </c>
      <c r="O611" t="s">
        <v>19</v>
      </c>
      <c r="P611" t="s">
        <v>20</v>
      </c>
      <c r="Q611" t="s">
        <v>18</v>
      </c>
    </row>
    <row r="612" spans="1:17" x14ac:dyDescent="0.35">
      <c r="A612">
        <v>36</v>
      </c>
      <c r="B612">
        <v>61</v>
      </c>
      <c r="C612" t="s">
        <v>27</v>
      </c>
      <c r="D612">
        <v>181</v>
      </c>
      <c r="E612">
        <v>89</v>
      </c>
      <c r="F612" s="3">
        <v>27.963794120440699</v>
      </c>
      <c r="G612" s="3" t="str">
        <f t="shared" si="9"/>
        <v>Overweight</v>
      </c>
      <c r="H612" t="s">
        <v>65</v>
      </c>
      <c r="I612" t="s">
        <v>31</v>
      </c>
      <c r="J612" t="s">
        <v>20</v>
      </c>
      <c r="K612" t="s">
        <v>22</v>
      </c>
      <c r="L612" t="s">
        <v>32</v>
      </c>
      <c r="M612" t="s">
        <v>19</v>
      </c>
      <c r="N612" t="s">
        <v>25</v>
      </c>
      <c r="O612" t="s">
        <v>20</v>
      </c>
      <c r="P612" t="s">
        <v>20</v>
      </c>
      <c r="Q612" t="s">
        <v>18</v>
      </c>
    </row>
    <row r="613" spans="1:17" x14ac:dyDescent="0.35">
      <c r="A613">
        <v>637</v>
      </c>
      <c r="B613">
        <v>31</v>
      </c>
      <c r="C613" t="s">
        <v>27</v>
      </c>
      <c r="D613">
        <v>165</v>
      </c>
      <c r="E613">
        <v>79</v>
      </c>
      <c r="F613" s="3">
        <v>19.589912579065601</v>
      </c>
      <c r="G613" s="3" t="str">
        <f t="shared" si="9"/>
        <v>Normal Weight</v>
      </c>
      <c r="H613" t="s">
        <v>451</v>
      </c>
      <c r="I613" t="s">
        <v>18</v>
      </c>
      <c r="J613" t="s">
        <v>19</v>
      </c>
      <c r="K613" t="s">
        <v>18</v>
      </c>
      <c r="L613" t="s">
        <v>29</v>
      </c>
      <c r="M613" t="s">
        <v>20</v>
      </c>
      <c r="N613" t="s">
        <v>25</v>
      </c>
      <c r="O613" t="s">
        <v>19</v>
      </c>
      <c r="P613" t="s">
        <v>19</v>
      </c>
      <c r="Q613" t="s">
        <v>40</v>
      </c>
    </row>
    <row r="614" spans="1:17" x14ac:dyDescent="0.35">
      <c r="A614">
        <v>638</v>
      </c>
      <c r="B614">
        <v>45</v>
      </c>
      <c r="C614" t="s">
        <v>16</v>
      </c>
      <c r="D614">
        <v>151</v>
      </c>
      <c r="E614">
        <v>69</v>
      </c>
      <c r="F614" s="3">
        <v>34.5473758882206</v>
      </c>
      <c r="G614" s="3" t="str">
        <f t="shared" si="9"/>
        <v>Obese</v>
      </c>
      <c r="H614" t="s">
        <v>578</v>
      </c>
      <c r="I614" t="s">
        <v>18</v>
      </c>
      <c r="J614" t="s">
        <v>20</v>
      </c>
      <c r="K614" t="s">
        <v>18</v>
      </c>
      <c r="L614" t="s">
        <v>32</v>
      </c>
      <c r="M614" t="s">
        <v>20</v>
      </c>
      <c r="N614" t="s">
        <v>21</v>
      </c>
      <c r="O614" t="s">
        <v>20</v>
      </c>
      <c r="P614" t="s">
        <v>19</v>
      </c>
      <c r="Q614" t="s">
        <v>18</v>
      </c>
    </row>
    <row r="615" spans="1:17" x14ac:dyDescent="0.35">
      <c r="A615">
        <v>99</v>
      </c>
      <c r="B615">
        <v>61</v>
      </c>
      <c r="C615" t="s">
        <v>16</v>
      </c>
      <c r="D615">
        <v>179</v>
      </c>
      <c r="E615">
        <v>65</v>
      </c>
      <c r="F615" s="3">
        <v>25.698059434893</v>
      </c>
      <c r="G615" s="3" t="str">
        <f t="shared" si="9"/>
        <v>Overweight</v>
      </c>
      <c r="H615" t="s">
        <v>126</v>
      </c>
      <c r="I615" t="s">
        <v>31</v>
      </c>
      <c r="J615" t="s">
        <v>19</v>
      </c>
      <c r="K615" t="s">
        <v>22</v>
      </c>
      <c r="L615" t="s">
        <v>32</v>
      </c>
      <c r="M615" t="s">
        <v>20</v>
      </c>
      <c r="N615" t="s">
        <v>25</v>
      </c>
      <c r="O615" t="s">
        <v>19</v>
      </c>
      <c r="P615" t="s">
        <v>19</v>
      </c>
      <c r="Q615" t="s">
        <v>18</v>
      </c>
    </row>
    <row r="616" spans="1:17" x14ac:dyDescent="0.35">
      <c r="A616">
        <v>138</v>
      </c>
      <c r="B616">
        <v>61</v>
      </c>
      <c r="C616" t="s">
        <v>16</v>
      </c>
      <c r="D616">
        <v>173</v>
      </c>
      <c r="E616">
        <v>72</v>
      </c>
      <c r="F616" s="3">
        <v>20.446545979863</v>
      </c>
      <c r="G616" s="3" t="str">
        <f t="shared" si="9"/>
        <v>Normal Weight</v>
      </c>
      <c r="H616" t="s">
        <v>162</v>
      </c>
      <c r="I616" t="s">
        <v>18</v>
      </c>
      <c r="J616" t="s">
        <v>20</v>
      </c>
      <c r="K616" t="s">
        <v>22</v>
      </c>
      <c r="L616" t="s">
        <v>29</v>
      </c>
      <c r="M616" t="s">
        <v>19</v>
      </c>
      <c r="N616" t="s">
        <v>21</v>
      </c>
      <c r="O616" t="s">
        <v>20</v>
      </c>
      <c r="P616" t="s">
        <v>19</v>
      </c>
      <c r="Q616" t="s">
        <v>18</v>
      </c>
    </row>
    <row r="617" spans="1:17" x14ac:dyDescent="0.35">
      <c r="A617">
        <v>168</v>
      </c>
      <c r="B617">
        <v>61</v>
      </c>
      <c r="C617" t="s">
        <v>16</v>
      </c>
      <c r="D617">
        <v>151</v>
      </c>
      <c r="E617">
        <v>72</v>
      </c>
      <c r="F617" s="3">
        <v>26.512965923820101</v>
      </c>
      <c r="G617" s="3" t="str">
        <f t="shared" si="9"/>
        <v>Overweight</v>
      </c>
      <c r="H617" t="s">
        <v>190</v>
      </c>
      <c r="I617" t="s">
        <v>24</v>
      </c>
      <c r="J617" t="s">
        <v>19</v>
      </c>
      <c r="K617" t="s">
        <v>22</v>
      </c>
      <c r="L617" t="s">
        <v>14</v>
      </c>
      <c r="M617" t="s">
        <v>19</v>
      </c>
      <c r="N617" t="s">
        <v>25</v>
      </c>
      <c r="O617" t="s">
        <v>19</v>
      </c>
      <c r="P617" t="s">
        <v>19</v>
      </c>
      <c r="Q617" t="s">
        <v>18</v>
      </c>
    </row>
    <row r="618" spans="1:17" x14ac:dyDescent="0.35">
      <c r="A618">
        <v>640</v>
      </c>
      <c r="B618">
        <v>64</v>
      </c>
      <c r="C618" t="s">
        <v>27</v>
      </c>
      <c r="D618">
        <v>166</v>
      </c>
      <c r="E618">
        <v>77</v>
      </c>
      <c r="F618" s="3">
        <v>26.384811356066699</v>
      </c>
      <c r="G618" s="3" t="str">
        <f t="shared" si="9"/>
        <v>Overweight</v>
      </c>
      <c r="H618" t="s">
        <v>203</v>
      </c>
      <c r="I618" t="s">
        <v>24</v>
      </c>
      <c r="J618" t="s">
        <v>19</v>
      </c>
      <c r="K618" t="s">
        <v>18</v>
      </c>
      <c r="L618" t="s">
        <v>38</v>
      </c>
      <c r="M618" t="s">
        <v>19</v>
      </c>
      <c r="N618" t="s">
        <v>25</v>
      </c>
      <c r="O618" t="s">
        <v>19</v>
      </c>
      <c r="P618" t="s">
        <v>20</v>
      </c>
      <c r="Q618" t="s">
        <v>40</v>
      </c>
    </row>
    <row r="619" spans="1:17" x14ac:dyDescent="0.35">
      <c r="A619">
        <v>227</v>
      </c>
      <c r="B619">
        <v>61</v>
      </c>
      <c r="C619" t="s">
        <v>27</v>
      </c>
      <c r="D619">
        <v>158</v>
      </c>
      <c r="E619">
        <v>70</v>
      </c>
      <c r="F619" s="3">
        <v>20.705978297590601</v>
      </c>
      <c r="G619" s="3" t="str">
        <f t="shared" si="9"/>
        <v>Normal Weight</v>
      </c>
      <c r="H619" t="s">
        <v>243</v>
      </c>
      <c r="I619" t="s">
        <v>31</v>
      </c>
      <c r="J619" t="s">
        <v>19</v>
      </c>
      <c r="K619" t="s">
        <v>22</v>
      </c>
      <c r="L619" t="s">
        <v>38</v>
      </c>
      <c r="M619" t="s">
        <v>20</v>
      </c>
      <c r="N619" t="s">
        <v>21</v>
      </c>
      <c r="O619" t="s">
        <v>20</v>
      </c>
      <c r="P619" t="s">
        <v>20</v>
      </c>
      <c r="Q619" t="s">
        <v>18</v>
      </c>
    </row>
    <row r="620" spans="1:17" x14ac:dyDescent="0.35">
      <c r="A620">
        <v>258</v>
      </c>
      <c r="B620">
        <v>61</v>
      </c>
      <c r="C620" t="s">
        <v>27</v>
      </c>
      <c r="D620">
        <v>169</v>
      </c>
      <c r="E620">
        <v>84</v>
      </c>
      <c r="F620" s="3">
        <v>30.9771718627618</v>
      </c>
      <c r="G620" s="3" t="str">
        <f t="shared" si="9"/>
        <v>Obese</v>
      </c>
      <c r="H620" t="s">
        <v>269</v>
      </c>
      <c r="I620" t="s">
        <v>18</v>
      </c>
      <c r="J620" t="s">
        <v>19</v>
      </c>
      <c r="K620" t="s">
        <v>22</v>
      </c>
      <c r="L620" t="s">
        <v>38</v>
      </c>
      <c r="M620" t="s">
        <v>19</v>
      </c>
      <c r="N620" t="s">
        <v>25</v>
      </c>
      <c r="O620" t="s">
        <v>19</v>
      </c>
      <c r="P620" t="s">
        <v>19</v>
      </c>
      <c r="Q620" t="s">
        <v>22</v>
      </c>
    </row>
    <row r="621" spans="1:17" x14ac:dyDescent="0.35">
      <c r="A621">
        <v>298</v>
      </c>
      <c r="B621">
        <v>61</v>
      </c>
      <c r="C621" t="s">
        <v>27</v>
      </c>
      <c r="D621">
        <v>176</v>
      </c>
      <c r="E621">
        <v>73</v>
      </c>
      <c r="F621" s="3">
        <v>19.873180592433101</v>
      </c>
      <c r="G621" s="3" t="str">
        <f t="shared" si="9"/>
        <v>Normal Weight</v>
      </c>
      <c r="H621" t="s">
        <v>306</v>
      </c>
      <c r="I621" t="s">
        <v>18</v>
      </c>
      <c r="J621" t="s">
        <v>19</v>
      </c>
      <c r="K621" t="s">
        <v>22</v>
      </c>
      <c r="L621" t="s">
        <v>29</v>
      </c>
      <c r="M621" t="s">
        <v>19</v>
      </c>
      <c r="N621" t="s">
        <v>21</v>
      </c>
      <c r="O621" t="s">
        <v>20</v>
      </c>
      <c r="P621" t="s">
        <v>19</v>
      </c>
      <c r="Q621" t="s">
        <v>40</v>
      </c>
    </row>
    <row r="622" spans="1:17" x14ac:dyDescent="0.35">
      <c r="A622">
        <v>461</v>
      </c>
      <c r="B622">
        <v>61</v>
      </c>
      <c r="C622" t="s">
        <v>16</v>
      </c>
      <c r="D622">
        <v>150</v>
      </c>
      <c r="E622">
        <v>96</v>
      </c>
      <c r="F622" s="3">
        <v>24.3323076690018</v>
      </c>
      <c r="G622" s="3" t="str">
        <f t="shared" si="9"/>
        <v>Normal Weight</v>
      </c>
      <c r="H622" t="s">
        <v>436</v>
      </c>
      <c r="I622" t="s">
        <v>31</v>
      </c>
      <c r="J622" t="s">
        <v>19</v>
      </c>
      <c r="K622" t="s">
        <v>22</v>
      </c>
      <c r="L622" t="s">
        <v>32</v>
      </c>
      <c r="M622" t="s">
        <v>19</v>
      </c>
      <c r="N622" t="s">
        <v>21</v>
      </c>
      <c r="O622" t="s">
        <v>20</v>
      </c>
      <c r="P622" t="s">
        <v>19</v>
      </c>
      <c r="Q622" t="s">
        <v>40</v>
      </c>
    </row>
    <row r="623" spans="1:17" x14ac:dyDescent="0.35">
      <c r="A623">
        <v>641</v>
      </c>
      <c r="B623">
        <v>66</v>
      </c>
      <c r="C623" t="s">
        <v>27</v>
      </c>
      <c r="D623">
        <v>183</v>
      </c>
      <c r="E623">
        <v>74</v>
      </c>
      <c r="F623" s="3">
        <v>24.362185574909201</v>
      </c>
      <c r="G623" s="3" t="str">
        <f t="shared" si="9"/>
        <v>Normal Weight</v>
      </c>
      <c r="H623" t="s">
        <v>580</v>
      </c>
      <c r="I623" t="s">
        <v>24</v>
      </c>
      <c r="J623" t="s">
        <v>20</v>
      </c>
      <c r="K623" t="s">
        <v>18</v>
      </c>
      <c r="L623" t="s">
        <v>14</v>
      </c>
      <c r="M623" t="s">
        <v>19</v>
      </c>
      <c r="N623" t="s">
        <v>25</v>
      </c>
      <c r="O623" t="s">
        <v>20</v>
      </c>
      <c r="P623" t="s">
        <v>19</v>
      </c>
      <c r="Q623" t="s">
        <v>18</v>
      </c>
    </row>
    <row r="624" spans="1:17" x14ac:dyDescent="0.35">
      <c r="A624">
        <v>644</v>
      </c>
      <c r="B624">
        <v>79</v>
      </c>
      <c r="C624" t="s">
        <v>27</v>
      </c>
      <c r="D624">
        <v>151</v>
      </c>
      <c r="E624">
        <v>91</v>
      </c>
      <c r="F624" s="3">
        <v>30.302818123730699</v>
      </c>
      <c r="G624" s="3" t="str">
        <f t="shared" si="9"/>
        <v>Obese</v>
      </c>
      <c r="H624" t="s">
        <v>583</v>
      </c>
      <c r="I624" t="s">
        <v>24</v>
      </c>
      <c r="J624" t="s">
        <v>20</v>
      </c>
      <c r="K624" t="s">
        <v>40</v>
      </c>
      <c r="L624" t="s">
        <v>32</v>
      </c>
      <c r="M624" t="s">
        <v>19</v>
      </c>
      <c r="N624" t="s">
        <v>21</v>
      </c>
      <c r="O624" t="s">
        <v>19</v>
      </c>
      <c r="P624" t="s">
        <v>20</v>
      </c>
      <c r="Q624" t="s">
        <v>40</v>
      </c>
    </row>
    <row r="625" spans="1:17" x14ac:dyDescent="0.35">
      <c r="A625">
        <v>645</v>
      </c>
      <c r="B625">
        <v>69</v>
      </c>
      <c r="C625" t="s">
        <v>27</v>
      </c>
      <c r="D625">
        <v>151</v>
      </c>
      <c r="E625">
        <v>89</v>
      </c>
      <c r="F625" s="3">
        <v>22.924363288596599</v>
      </c>
      <c r="G625" s="3" t="str">
        <f t="shared" si="9"/>
        <v>Normal Weight</v>
      </c>
      <c r="H625" t="s">
        <v>26</v>
      </c>
      <c r="I625" t="s">
        <v>31</v>
      </c>
      <c r="J625" t="s">
        <v>19</v>
      </c>
      <c r="K625" t="s">
        <v>18</v>
      </c>
      <c r="L625" t="s">
        <v>29</v>
      </c>
      <c r="M625" t="s">
        <v>19</v>
      </c>
      <c r="N625" t="s">
        <v>21</v>
      </c>
      <c r="O625" t="s">
        <v>19</v>
      </c>
      <c r="P625" t="s">
        <v>20</v>
      </c>
      <c r="Q625" t="s">
        <v>18</v>
      </c>
    </row>
    <row r="626" spans="1:17" x14ac:dyDescent="0.35">
      <c r="A626">
        <v>832</v>
      </c>
      <c r="B626">
        <v>61</v>
      </c>
      <c r="C626" t="s">
        <v>27</v>
      </c>
      <c r="D626">
        <v>183</v>
      </c>
      <c r="E626">
        <v>62</v>
      </c>
      <c r="F626" s="3">
        <v>32.024670545877498</v>
      </c>
      <c r="G626" s="3" t="str">
        <f t="shared" si="9"/>
        <v>Obese</v>
      </c>
      <c r="H626" t="s">
        <v>177</v>
      </c>
      <c r="I626" t="s">
        <v>18</v>
      </c>
      <c r="J626" t="s">
        <v>20</v>
      </c>
      <c r="K626" t="s">
        <v>22</v>
      </c>
      <c r="L626" t="s">
        <v>38</v>
      </c>
      <c r="M626" t="s">
        <v>19</v>
      </c>
      <c r="N626" t="s">
        <v>21</v>
      </c>
      <c r="O626" t="s">
        <v>20</v>
      </c>
      <c r="P626" t="s">
        <v>19</v>
      </c>
      <c r="Q626" t="s">
        <v>40</v>
      </c>
    </row>
    <row r="627" spans="1:17" x14ac:dyDescent="0.35">
      <c r="A627">
        <v>647</v>
      </c>
      <c r="B627">
        <v>29</v>
      </c>
      <c r="C627" t="s">
        <v>16</v>
      </c>
      <c r="D627">
        <v>162</v>
      </c>
      <c r="E627">
        <v>62</v>
      </c>
      <c r="F627" s="3">
        <v>20.566645313087399</v>
      </c>
      <c r="G627" s="3" t="str">
        <f t="shared" si="9"/>
        <v>Normal Weight</v>
      </c>
      <c r="H627" t="s">
        <v>585</v>
      </c>
      <c r="I627" t="s">
        <v>18</v>
      </c>
      <c r="J627" t="s">
        <v>20</v>
      </c>
      <c r="K627" t="s">
        <v>18</v>
      </c>
      <c r="L627" t="s">
        <v>29</v>
      </c>
      <c r="M627" t="s">
        <v>20</v>
      </c>
      <c r="N627" t="s">
        <v>25</v>
      </c>
      <c r="O627" t="s">
        <v>19</v>
      </c>
      <c r="P627" t="s">
        <v>20</v>
      </c>
      <c r="Q627" t="s">
        <v>40</v>
      </c>
    </row>
    <row r="628" spans="1:17" x14ac:dyDescent="0.35">
      <c r="A628">
        <v>648</v>
      </c>
      <c r="B628">
        <v>33</v>
      </c>
      <c r="C628" t="s">
        <v>27</v>
      </c>
      <c r="D628">
        <v>180</v>
      </c>
      <c r="E628">
        <v>90</v>
      </c>
      <c r="F628" s="3">
        <v>29.315914535460799</v>
      </c>
      <c r="G628" s="3" t="str">
        <f t="shared" si="9"/>
        <v>Overweight</v>
      </c>
      <c r="H628" t="s">
        <v>586</v>
      </c>
      <c r="I628" t="s">
        <v>18</v>
      </c>
      <c r="J628" t="s">
        <v>19</v>
      </c>
      <c r="K628" t="s">
        <v>18</v>
      </c>
      <c r="L628" t="s">
        <v>29</v>
      </c>
      <c r="M628" t="s">
        <v>20</v>
      </c>
      <c r="N628" t="s">
        <v>25</v>
      </c>
      <c r="O628" t="s">
        <v>20</v>
      </c>
      <c r="P628" t="s">
        <v>20</v>
      </c>
      <c r="Q628" t="s">
        <v>40</v>
      </c>
    </row>
    <row r="629" spans="1:17" x14ac:dyDescent="0.35">
      <c r="A629">
        <v>650</v>
      </c>
      <c r="B629">
        <v>43</v>
      </c>
      <c r="C629" t="s">
        <v>16</v>
      </c>
      <c r="D629">
        <v>188</v>
      </c>
      <c r="E629">
        <v>96</v>
      </c>
      <c r="F629" s="3">
        <v>28.361758536137</v>
      </c>
      <c r="G629" s="3" t="str">
        <f t="shared" si="9"/>
        <v>Overweight</v>
      </c>
      <c r="H629" t="s">
        <v>588</v>
      </c>
      <c r="I629" t="s">
        <v>24</v>
      </c>
      <c r="J629" t="s">
        <v>19</v>
      </c>
      <c r="K629" t="s">
        <v>18</v>
      </c>
      <c r="L629" t="s">
        <v>29</v>
      </c>
      <c r="M629" t="s">
        <v>19</v>
      </c>
      <c r="N629" t="s">
        <v>21</v>
      </c>
      <c r="O629" t="s">
        <v>20</v>
      </c>
      <c r="P629" t="s">
        <v>19</v>
      </c>
      <c r="Q629" t="s">
        <v>40</v>
      </c>
    </row>
    <row r="630" spans="1:17" x14ac:dyDescent="0.35">
      <c r="A630">
        <v>1242</v>
      </c>
      <c r="B630">
        <v>61</v>
      </c>
      <c r="C630" t="s">
        <v>16</v>
      </c>
      <c r="D630">
        <v>159</v>
      </c>
      <c r="E630">
        <v>71</v>
      </c>
      <c r="F630" s="3">
        <v>32.396196559406299</v>
      </c>
      <c r="G630" s="3" t="str">
        <f t="shared" si="9"/>
        <v>Obese</v>
      </c>
      <c r="H630" t="s">
        <v>947</v>
      </c>
      <c r="I630" t="s">
        <v>24</v>
      </c>
      <c r="J630" t="s">
        <v>19</v>
      </c>
      <c r="K630" t="s">
        <v>22</v>
      </c>
      <c r="L630" t="s">
        <v>29</v>
      </c>
      <c r="M630" t="s">
        <v>20</v>
      </c>
      <c r="N630" t="s">
        <v>25</v>
      </c>
      <c r="O630" t="s">
        <v>20</v>
      </c>
      <c r="P630" t="s">
        <v>20</v>
      </c>
      <c r="Q630" t="s">
        <v>40</v>
      </c>
    </row>
    <row r="631" spans="1:17" x14ac:dyDescent="0.35">
      <c r="A631">
        <v>1263</v>
      </c>
      <c r="B631">
        <v>61</v>
      </c>
      <c r="C631" t="s">
        <v>27</v>
      </c>
      <c r="D631">
        <v>159</v>
      </c>
      <c r="E631">
        <v>92</v>
      </c>
      <c r="F631" s="3">
        <v>24.660327157025201</v>
      </c>
      <c r="G631" s="3" t="str">
        <f t="shared" si="9"/>
        <v>Normal Weight</v>
      </c>
      <c r="H631" t="s">
        <v>430</v>
      </c>
      <c r="I631" t="s">
        <v>24</v>
      </c>
      <c r="J631" t="s">
        <v>19</v>
      </c>
      <c r="K631" t="s">
        <v>22</v>
      </c>
      <c r="L631" t="s">
        <v>14</v>
      </c>
      <c r="M631" t="s">
        <v>20</v>
      </c>
      <c r="N631" t="s">
        <v>25</v>
      </c>
      <c r="O631" t="s">
        <v>20</v>
      </c>
      <c r="P631" t="s">
        <v>19</v>
      </c>
      <c r="Q631" t="s">
        <v>40</v>
      </c>
    </row>
    <row r="632" spans="1:17" x14ac:dyDescent="0.35">
      <c r="A632">
        <v>651</v>
      </c>
      <c r="B632">
        <v>65</v>
      </c>
      <c r="C632" t="s">
        <v>27</v>
      </c>
      <c r="D632">
        <v>152</v>
      </c>
      <c r="E632">
        <v>86</v>
      </c>
      <c r="F632" s="3">
        <v>32.849982100051903</v>
      </c>
      <c r="G632" s="3" t="str">
        <f t="shared" si="9"/>
        <v>Obese</v>
      </c>
      <c r="H632" t="s">
        <v>589</v>
      </c>
      <c r="I632" t="s">
        <v>24</v>
      </c>
      <c r="J632" t="s">
        <v>19</v>
      </c>
      <c r="K632" t="s">
        <v>18</v>
      </c>
      <c r="L632" t="s">
        <v>32</v>
      </c>
      <c r="M632" t="s">
        <v>19</v>
      </c>
      <c r="N632" t="s">
        <v>21</v>
      </c>
      <c r="O632" t="s">
        <v>19</v>
      </c>
      <c r="P632" t="s">
        <v>20</v>
      </c>
      <c r="Q632" t="s">
        <v>18</v>
      </c>
    </row>
    <row r="633" spans="1:17" x14ac:dyDescent="0.35">
      <c r="A633">
        <v>653</v>
      </c>
      <c r="B633">
        <v>56</v>
      </c>
      <c r="C633" t="s">
        <v>16</v>
      </c>
      <c r="D633">
        <v>172</v>
      </c>
      <c r="E633">
        <v>94</v>
      </c>
      <c r="F633" s="3">
        <v>25.909123046104298</v>
      </c>
      <c r="G633" s="3" t="str">
        <f t="shared" si="9"/>
        <v>Overweight</v>
      </c>
      <c r="H633" t="s">
        <v>591</v>
      </c>
      <c r="I633" t="s">
        <v>18</v>
      </c>
      <c r="J633" t="s">
        <v>20</v>
      </c>
      <c r="K633" t="s">
        <v>18</v>
      </c>
      <c r="L633" t="s">
        <v>38</v>
      </c>
      <c r="M633" t="s">
        <v>19</v>
      </c>
      <c r="N633" t="s">
        <v>25</v>
      </c>
      <c r="O633" t="s">
        <v>19</v>
      </c>
      <c r="P633" t="s">
        <v>20</v>
      </c>
      <c r="Q633" t="s">
        <v>40</v>
      </c>
    </row>
    <row r="634" spans="1:17" x14ac:dyDescent="0.35">
      <c r="A634">
        <v>1384</v>
      </c>
      <c r="B634">
        <v>61</v>
      </c>
      <c r="C634" t="s">
        <v>27</v>
      </c>
      <c r="D634">
        <v>167</v>
      </c>
      <c r="E634">
        <v>66</v>
      </c>
      <c r="F634" s="3">
        <v>23.223617724846999</v>
      </c>
      <c r="G634" s="3" t="str">
        <f t="shared" si="9"/>
        <v>Normal Weight</v>
      </c>
      <c r="H634" t="s">
        <v>336</v>
      </c>
      <c r="I634" t="s">
        <v>31</v>
      </c>
      <c r="J634" t="s">
        <v>19</v>
      </c>
      <c r="K634" t="s">
        <v>22</v>
      </c>
      <c r="L634" t="s">
        <v>14</v>
      </c>
      <c r="M634" t="s">
        <v>20</v>
      </c>
      <c r="N634" t="s">
        <v>21</v>
      </c>
      <c r="O634" t="s">
        <v>20</v>
      </c>
      <c r="P634" t="s">
        <v>19</v>
      </c>
      <c r="Q634" t="s">
        <v>40</v>
      </c>
    </row>
    <row r="635" spans="1:17" x14ac:dyDescent="0.35">
      <c r="A635">
        <v>654</v>
      </c>
      <c r="B635">
        <v>53</v>
      </c>
      <c r="C635" t="s">
        <v>27</v>
      </c>
      <c r="D635">
        <v>163</v>
      </c>
      <c r="E635">
        <v>71</v>
      </c>
      <c r="F635" s="3">
        <v>26.078510855515699</v>
      </c>
      <c r="G635" s="3" t="str">
        <f t="shared" si="9"/>
        <v>Overweight</v>
      </c>
      <c r="H635" t="s">
        <v>92</v>
      </c>
      <c r="I635" t="s">
        <v>18</v>
      </c>
      <c r="J635" t="s">
        <v>20</v>
      </c>
      <c r="K635" t="s">
        <v>18</v>
      </c>
      <c r="L635" t="s">
        <v>29</v>
      </c>
      <c r="M635" t="s">
        <v>19</v>
      </c>
      <c r="N635" t="s">
        <v>21</v>
      </c>
      <c r="O635" t="s">
        <v>20</v>
      </c>
      <c r="P635" t="s">
        <v>20</v>
      </c>
      <c r="Q635" t="s">
        <v>40</v>
      </c>
    </row>
    <row r="636" spans="1:17" x14ac:dyDescent="0.35">
      <c r="A636">
        <v>1604</v>
      </c>
      <c r="B636">
        <v>61</v>
      </c>
      <c r="C636" t="s">
        <v>16</v>
      </c>
      <c r="D636">
        <v>189</v>
      </c>
      <c r="E636">
        <v>57</v>
      </c>
      <c r="F636" s="3">
        <v>34.260390147889098</v>
      </c>
      <c r="G636" s="3" t="str">
        <f t="shared" si="9"/>
        <v>Obese</v>
      </c>
      <c r="H636" t="s">
        <v>1116</v>
      </c>
      <c r="I636" t="s">
        <v>31</v>
      </c>
      <c r="J636" t="s">
        <v>19</v>
      </c>
      <c r="K636" t="s">
        <v>22</v>
      </c>
      <c r="L636" t="s">
        <v>32</v>
      </c>
      <c r="M636" t="s">
        <v>19</v>
      </c>
      <c r="N636" t="s">
        <v>21</v>
      </c>
      <c r="O636" t="s">
        <v>20</v>
      </c>
      <c r="P636" t="s">
        <v>20</v>
      </c>
      <c r="Q636" t="s">
        <v>40</v>
      </c>
    </row>
    <row r="637" spans="1:17" x14ac:dyDescent="0.35">
      <c r="A637">
        <v>1768</v>
      </c>
      <c r="B637">
        <v>61</v>
      </c>
      <c r="C637" t="s">
        <v>16</v>
      </c>
      <c r="D637">
        <v>187</v>
      </c>
      <c r="E637">
        <v>76</v>
      </c>
      <c r="F637" s="3">
        <v>25.5565399160987</v>
      </c>
      <c r="G637" s="3" t="str">
        <f t="shared" si="9"/>
        <v>Overweight</v>
      </c>
      <c r="H637" t="s">
        <v>1188</v>
      </c>
      <c r="I637" t="s">
        <v>31</v>
      </c>
      <c r="J637" t="s">
        <v>20</v>
      </c>
      <c r="K637" t="s">
        <v>22</v>
      </c>
      <c r="L637" t="s">
        <v>38</v>
      </c>
      <c r="M637" t="s">
        <v>20</v>
      </c>
      <c r="N637" t="s">
        <v>25</v>
      </c>
      <c r="O637" t="s">
        <v>19</v>
      </c>
      <c r="P637" t="s">
        <v>20</v>
      </c>
      <c r="Q637" t="s">
        <v>18</v>
      </c>
    </row>
    <row r="638" spans="1:17" x14ac:dyDescent="0.35">
      <c r="A638">
        <v>1773</v>
      </c>
      <c r="B638">
        <v>61</v>
      </c>
      <c r="C638" t="s">
        <v>16</v>
      </c>
      <c r="D638">
        <v>162</v>
      </c>
      <c r="E638">
        <v>75</v>
      </c>
      <c r="F638" s="3">
        <v>34.365471427538303</v>
      </c>
      <c r="G638" s="3" t="str">
        <f t="shared" si="9"/>
        <v>Obese</v>
      </c>
      <c r="H638" t="s">
        <v>1172</v>
      </c>
      <c r="I638" t="s">
        <v>31</v>
      </c>
      <c r="J638" t="s">
        <v>20</v>
      </c>
      <c r="K638" t="s">
        <v>22</v>
      </c>
      <c r="L638" t="s">
        <v>29</v>
      </c>
      <c r="M638" t="s">
        <v>19</v>
      </c>
      <c r="N638" t="s">
        <v>25</v>
      </c>
      <c r="O638" t="s">
        <v>20</v>
      </c>
      <c r="P638" t="s">
        <v>20</v>
      </c>
      <c r="Q638" t="s">
        <v>40</v>
      </c>
    </row>
    <row r="639" spans="1:17" x14ac:dyDescent="0.35">
      <c r="A639">
        <v>1913</v>
      </c>
      <c r="B639">
        <v>61</v>
      </c>
      <c r="C639" t="s">
        <v>16</v>
      </c>
      <c r="D639">
        <v>155</v>
      </c>
      <c r="E639">
        <v>81</v>
      </c>
      <c r="F639" s="3">
        <v>28.038189683204799</v>
      </c>
      <c r="G639" s="3" t="str">
        <f t="shared" si="9"/>
        <v>Overweight</v>
      </c>
      <c r="H639" t="s">
        <v>1242</v>
      </c>
      <c r="I639" t="s">
        <v>31</v>
      </c>
      <c r="J639" t="s">
        <v>20</v>
      </c>
      <c r="K639" t="s">
        <v>22</v>
      </c>
      <c r="L639" t="s">
        <v>29</v>
      </c>
      <c r="M639" t="s">
        <v>20</v>
      </c>
      <c r="N639" t="s">
        <v>21</v>
      </c>
      <c r="O639" t="s">
        <v>20</v>
      </c>
      <c r="P639" t="s">
        <v>20</v>
      </c>
      <c r="Q639" t="s">
        <v>40</v>
      </c>
    </row>
    <row r="640" spans="1:17" x14ac:dyDescent="0.35">
      <c r="A640">
        <v>1914</v>
      </c>
      <c r="B640">
        <v>61</v>
      </c>
      <c r="C640" t="s">
        <v>27</v>
      </c>
      <c r="D640">
        <v>168</v>
      </c>
      <c r="E640">
        <v>73</v>
      </c>
      <c r="F640" s="3">
        <v>34.306659328606699</v>
      </c>
      <c r="G640" s="3" t="str">
        <f t="shared" si="9"/>
        <v>Obese</v>
      </c>
      <c r="H640" t="s">
        <v>435</v>
      </c>
      <c r="I640" t="s">
        <v>24</v>
      </c>
      <c r="J640" t="s">
        <v>19</v>
      </c>
      <c r="K640" t="s">
        <v>22</v>
      </c>
      <c r="L640" t="s">
        <v>29</v>
      </c>
      <c r="M640" t="s">
        <v>20</v>
      </c>
      <c r="N640" t="s">
        <v>21</v>
      </c>
      <c r="O640" t="s">
        <v>19</v>
      </c>
      <c r="P640" t="s">
        <v>20</v>
      </c>
      <c r="Q640" t="s">
        <v>18</v>
      </c>
    </row>
    <row r="641" spans="1:17" x14ac:dyDescent="0.35">
      <c r="A641">
        <v>655</v>
      </c>
      <c r="B641">
        <v>50</v>
      </c>
      <c r="C641" t="s">
        <v>16</v>
      </c>
      <c r="D641">
        <v>176</v>
      </c>
      <c r="E641">
        <v>69</v>
      </c>
      <c r="F641" s="3">
        <v>19.7699915196322</v>
      </c>
      <c r="G641" s="3" t="str">
        <f t="shared" si="9"/>
        <v>Normal Weight</v>
      </c>
      <c r="H641" t="s">
        <v>239</v>
      </c>
      <c r="I641" t="s">
        <v>24</v>
      </c>
      <c r="J641" t="s">
        <v>20</v>
      </c>
      <c r="K641" t="s">
        <v>18</v>
      </c>
      <c r="L641" t="s">
        <v>38</v>
      </c>
      <c r="M641" t="s">
        <v>19</v>
      </c>
      <c r="N641" t="s">
        <v>21</v>
      </c>
      <c r="O641" t="s">
        <v>20</v>
      </c>
      <c r="P641" t="s">
        <v>19</v>
      </c>
      <c r="Q641" t="s">
        <v>22</v>
      </c>
    </row>
    <row r="642" spans="1:17" x14ac:dyDescent="0.35">
      <c r="A642">
        <v>657</v>
      </c>
      <c r="B642">
        <v>47</v>
      </c>
      <c r="C642" t="s">
        <v>27</v>
      </c>
      <c r="D642">
        <v>188</v>
      </c>
      <c r="E642">
        <v>92</v>
      </c>
      <c r="F642" s="3">
        <v>32.050780436151904</v>
      </c>
      <c r="G642" s="3" t="str">
        <f t="shared" si="9"/>
        <v>Obese</v>
      </c>
      <c r="H642" t="s">
        <v>593</v>
      </c>
      <c r="I642" t="s">
        <v>24</v>
      </c>
      <c r="J642" t="s">
        <v>19</v>
      </c>
      <c r="K642" t="s">
        <v>18</v>
      </c>
      <c r="L642" t="s">
        <v>14</v>
      </c>
      <c r="M642" t="s">
        <v>20</v>
      </c>
      <c r="N642" t="s">
        <v>21</v>
      </c>
      <c r="O642" t="s">
        <v>20</v>
      </c>
      <c r="P642" t="s">
        <v>20</v>
      </c>
      <c r="Q642" t="s">
        <v>40</v>
      </c>
    </row>
    <row r="643" spans="1:17" x14ac:dyDescent="0.35">
      <c r="A643">
        <v>660</v>
      </c>
      <c r="B643">
        <v>75</v>
      </c>
      <c r="C643" t="s">
        <v>16</v>
      </c>
      <c r="D643">
        <v>166</v>
      </c>
      <c r="E643">
        <v>65</v>
      </c>
      <c r="F643" s="3">
        <v>32.340849056626901</v>
      </c>
      <c r="G643" s="3" t="str">
        <f t="shared" ref="G643:G706" si="10">_xlfn.IFS(F643&lt;18.5, "Underweight", F643&lt;=24.9, "Normal Weight", F643&lt;=29.9, "Overweight", TRUE, "Obese")</f>
        <v>Obese</v>
      </c>
      <c r="H643" t="s">
        <v>472</v>
      </c>
      <c r="I643" t="s">
        <v>18</v>
      </c>
      <c r="J643" t="s">
        <v>20</v>
      </c>
      <c r="K643" t="s">
        <v>40</v>
      </c>
      <c r="L643" t="s">
        <v>14</v>
      </c>
      <c r="M643" t="s">
        <v>19</v>
      </c>
      <c r="N643" t="s">
        <v>21</v>
      </c>
      <c r="O643" t="s">
        <v>20</v>
      </c>
      <c r="P643" t="s">
        <v>19</v>
      </c>
      <c r="Q643" t="s">
        <v>22</v>
      </c>
    </row>
    <row r="644" spans="1:17" x14ac:dyDescent="0.35">
      <c r="A644">
        <v>207</v>
      </c>
      <c r="B644">
        <v>60</v>
      </c>
      <c r="C644" t="s">
        <v>16</v>
      </c>
      <c r="D644">
        <v>168</v>
      </c>
      <c r="E644">
        <v>77</v>
      </c>
      <c r="F644" s="3">
        <v>23.881809193116101</v>
      </c>
      <c r="G644" s="3" t="str">
        <f t="shared" si="10"/>
        <v>Normal Weight</v>
      </c>
      <c r="H644" t="s">
        <v>188</v>
      </c>
      <c r="I644" t="s">
        <v>31</v>
      </c>
      <c r="J644" t="s">
        <v>20</v>
      </c>
      <c r="K644" t="s">
        <v>22</v>
      </c>
      <c r="L644" t="s">
        <v>38</v>
      </c>
      <c r="M644" t="s">
        <v>20</v>
      </c>
      <c r="N644" t="s">
        <v>21</v>
      </c>
      <c r="O644" t="s">
        <v>20</v>
      </c>
      <c r="P644" t="s">
        <v>19</v>
      </c>
      <c r="Q644" t="s">
        <v>22</v>
      </c>
    </row>
    <row r="645" spans="1:17" x14ac:dyDescent="0.35">
      <c r="A645">
        <v>662</v>
      </c>
      <c r="B645">
        <v>71</v>
      </c>
      <c r="C645" t="s">
        <v>16</v>
      </c>
      <c r="D645">
        <v>162</v>
      </c>
      <c r="E645">
        <v>81</v>
      </c>
      <c r="F645" s="3">
        <v>22.5124696743597</v>
      </c>
      <c r="G645" s="3" t="str">
        <f t="shared" si="10"/>
        <v>Normal Weight</v>
      </c>
      <c r="H645" t="s">
        <v>597</v>
      </c>
      <c r="I645" t="s">
        <v>18</v>
      </c>
      <c r="J645" t="s">
        <v>20</v>
      </c>
      <c r="K645" t="s">
        <v>40</v>
      </c>
      <c r="L645" t="s">
        <v>38</v>
      </c>
      <c r="M645" t="s">
        <v>19</v>
      </c>
      <c r="N645" t="s">
        <v>21</v>
      </c>
      <c r="O645" t="s">
        <v>19</v>
      </c>
      <c r="P645" t="s">
        <v>20</v>
      </c>
      <c r="Q645" t="s">
        <v>40</v>
      </c>
    </row>
    <row r="646" spans="1:17" x14ac:dyDescent="0.35">
      <c r="A646">
        <v>562</v>
      </c>
      <c r="B646">
        <v>60</v>
      </c>
      <c r="C646" t="s">
        <v>16</v>
      </c>
      <c r="D646">
        <v>153</v>
      </c>
      <c r="E646">
        <v>83</v>
      </c>
      <c r="F646" s="3">
        <v>31.168116192286501</v>
      </c>
      <c r="G646" s="3" t="str">
        <f t="shared" si="10"/>
        <v>Obese</v>
      </c>
      <c r="H646" t="s">
        <v>98</v>
      </c>
      <c r="I646" t="s">
        <v>24</v>
      </c>
      <c r="J646" t="s">
        <v>19</v>
      </c>
      <c r="K646" t="s">
        <v>22</v>
      </c>
      <c r="L646" t="s">
        <v>29</v>
      </c>
      <c r="M646" t="s">
        <v>19</v>
      </c>
      <c r="N646" t="s">
        <v>21</v>
      </c>
      <c r="O646" t="s">
        <v>19</v>
      </c>
      <c r="P646" t="s">
        <v>20</v>
      </c>
      <c r="Q646" t="s">
        <v>18</v>
      </c>
    </row>
    <row r="647" spans="1:17" x14ac:dyDescent="0.35">
      <c r="A647">
        <v>663</v>
      </c>
      <c r="B647">
        <v>22</v>
      </c>
      <c r="C647" t="s">
        <v>27</v>
      </c>
      <c r="D647">
        <v>170</v>
      </c>
      <c r="E647">
        <v>75</v>
      </c>
      <c r="F647" s="3">
        <v>27.584415469932502</v>
      </c>
      <c r="G647" s="3" t="str">
        <f t="shared" si="10"/>
        <v>Overweight</v>
      </c>
      <c r="H647" t="s">
        <v>598</v>
      </c>
      <c r="I647" t="s">
        <v>18</v>
      </c>
      <c r="J647" t="s">
        <v>20</v>
      </c>
      <c r="K647" t="s">
        <v>18</v>
      </c>
      <c r="L647" t="s">
        <v>38</v>
      </c>
      <c r="M647" t="s">
        <v>19</v>
      </c>
      <c r="N647" t="s">
        <v>21</v>
      </c>
      <c r="O647" t="s">
        <v>19</v>
      </c>
      <c r="P647" t="s">
        <v>19</v>
      </c>
      <c r="Q647" t="s">
        <v>22</v>
      </c>
    </row>
    <row r="648" spans="1:17" x14ac:dyDescent="0.35">
      <c r="A648">
        <v>664</v>
      </c>
      <c r="B648">
        <v>53</v>
      </c>
      <c r="C648" t="s">
        <v>27</v>
      </c>
      <c r="D648">
        <v>168</v>
      </c>
      <c r="E648">
        <v>74</v>
      </c>
      <c r="F648" s="3">
        <v>21.676136985491102</v>
      </c>
      <c r="G648" s="3" t="str">
        <f t="shared" si="10"/>
        <v>Normal Weight</v>
      </c>
      <c r="H648" t="s">
        <v>323</v>
      </c>
      <c r="I648" t="s">
        <v>31</v>
      </c>
      <c r="J648" t="s">
        <v>20</v>
      </c>
      <c r="K648" t="s">
        <v>18</v>
      </c>
      <c r="L648" t="s">
        <v>32</v>
      </c>
      <c r="M648" t="s">
        <v>20</v>
      </c>
      <c r="N648" t="s">
        <v>21</v>
      </c>
      <c r="O648" t="s">
        <v>19</v>
      </c>
      <c r="P648" t="s">
        <v>20</v>
      </c>
      <c r="Q648" t="s">
        <v>22</v>
      </c>
    </row>
    <row r="649" spans="1:17" x14ac:dyDescent="0.35">
      <c r="A649">
        <v>824</v>
      </c>
      <c r="B649">
        <v>60</v>
      </c>
      <c r="C649" t="s">
        <v>27</v>
      </c>
      <c r="D649">
        <v>177</v>
      </c>
      <c r="E649">
        <v>58</v>
      </c>
      <c r="F649" s="3">
        <v>22.378016430396599</v>
      </c>
      <c r="G649" s="3" t="str">
        <f t="shared" si="10"/>
        <v>Normal Weight</v>
      </c>
      <c r="H649" t="s">
        <v>703</v>
      </c>
      <c r="I649" t="s">
        <v>24</v>
      </c>
      <c r="J649" t="s">
        <v>20</v>
      </c>
      <c r="K649" t="s">
        <v>22</v>
      </c>
      <c r="L649" t="s">
        <v>29</v>
      </c>
      <c r="M649" t="s">
        <v>19</v>
      </c>
      <c r="N649" t="s">
        <v>25</v>
      </c>
      <c r="O649" t="s">
        <v>20</v>
      </c>
      <c r="P649" t="s">
        <v>19</v>
      </c>
      <c r="Q649" t="s">
        <v>40</v>
      </c>
    </row>
    <row r="650" spans="1:17" x14ac:dyDescent="0.35">
      <c r="A650">
        <v>1125</v>
      </c>
      <c r="B650">
        <v>60</v>
      </c>
      <c r="C650" t="s">
        <v>16</v>
      </c>
      <c r="D650">
        <v>174</v>
      </c>
      <c r="E650">
        <v>56</v>
      </c>
      <c r="F650" s="3">
        <v>25.880495478167902</v>
      </c>
      <c r="G650" s="3" t="str">
        <f t="shared" si="10"/>
        <v>Overweight</v>
      </c>
      <c r="H650" t="s">
        <v>840</v>
      </c>
      <c r="I650" t="s">
        <v>24</v>
      </c>
      <c r="J650" t="s">
        <v>20</v>
      </c>
      <c r="K650" t="s">
        <v>22</v>
      </c>
      <c r="L650" t="s">
        <v>29</v>
      </c>
      <c r="M650" t="s">
        <v>20</v>
      </c>
      <c r="N650" t="s">
        <v>21</v>
      </c>
      <c r="O650" t="s">
        <v>20</v>
      </c>
      <c r="P650" t="s">
        <v>19</v>
      </c>
      <c r="Q650" t="s">
        <v>22</v>
      </c>
    </row>
    <row r="651" spans="1:17" x14ac:dyDescent="0.35">
      <c r="A651">
        <v>666</v>
      </c>
      <c r="B651">
        <v>69</v>
      </c>
      <c r="C651" t="s">
        <v>27</v>
      </c>
      <c r="D651">
        <v>174</v>
      </c>
      <c r="E651">
        <v>61</v>
      </c>
      <c r="F651" s="3">
        <v>33.533488272967297</v>
      </c>
      <c r="G651" s="3" t="str">
        <f t="shared" si="10"/>
        <v>Obese</v>
      </c>
      <c r="H651" t="s">
        <v>600</v>
      </c>
      <c r="I651" t="s">
        <v>31</v>
      </c>
      <c r="J651" t="s">
        <v>20</v>
      </c>
      <c r="K651" t="s">
        <v>18</v>
      </c>
      <c r="L651" t="s">
        <v>14</v>
      </c>
      <c r="M651" t="s">
        <v>19</v>
      </c>
      <c r="N651" t="s">
        <v>21</v>
      </c>
      <c r="O651" t="s">
        <v>20</v>
      </c>
      <c r="P651" t="s">
        <v>20</v>
      </c>
      <c r="Q651" t="s">
        <v>22</v>
      </c>
    </row>
    <row r="652" spans="1:17" x14ac:dyDescent="0.35">
      <c r="A652">
        <v>667</v>
      </c>
      <c r="B652">
        <v>48</v>
      </c>
      <c r="C652" t="s">
        <v>27</v>
      </c>
      <c r="D652">
        <v>171</v>
      </c>
      <c r="E652">
        <v>89</v>
      </c>
      <c r="F652" s="3">
        <v>32.0383738198298</v>
      </c>
      <c r="G652" s="3" t="str">
        <f t="shared" si="10"/>
        <v>Obese</v>
      </c>
      <c r="H652" t="s">
        <v>601</v>
      </c>
      <c r="I652" t="s">
        <v>18</v>
      </c>
      <c r="J652" t="s">
        <v>19</v>
      </c>
      <c r="K652" t="s">
        <v>18</v>
      </c>
      <c r="L652" t="s">
        <v>38</v>
      </c>
      <c r="M652" t="s">
        <v>20</v>
      </c>
      <c r="N652" t="s">
        <v>25</v>
      </c>
      <c r="O652" t="s">
        <v>19</v>
      </c>
      <c r="P652" t="s">
        <v>20</v>
      </c>
      <c r="Q652" t="s">
        <v>18</v>
      </c>
    </row>
    <row r="653" spans="1:17" x14ac:dyDescent="0.35">
      <c r="A653">
        <v>668</v>
      </c>
      <c r="B653">
        <v>27</v>
      </c>
      <c r="C653" t="s">
        <v>16</v>
      </c>
      <c r="D653">
        <v>180</v>
      </c>
      <c r="E653">
        <v>58</v>
      </c>
      <c r="F653" s="3">
        <v>31.0405758797523</v>
      </c>
      <c r="G653" s="3" t="str">
        <f t="shared" si="10"/>
        <v>Obese</v>
      </c>
      <c r="H653" t="s">
        <v>513</v>
      </c>
      <c r="I653" t="s">
        <v>24</v>
      </c>
      <c r="J653" t="s">
        <v>20</v>
      </c>
      <c r="K653" t="s">
        <v>18</v>
      </c>
      <c r="L653" t="s">
        <v>32</v>
      </c>
      <c r="M653" t="s">
        <v>19</v>
      </c>
      <c r="N653" t="s">
        <v>21</v>
      </c>
      <c r="O653" t="s">
        <v>20</v>
      </c>
      <c r="P653" t="s">
        <v>20</v>
      </c>
      <c r="Q653" t="s">
        <v>18</v>
      </c>
    </row>
    <row r="654" spans="1:17" x14ac:dyDescent="0.35">
      <c r="A654">
        <v>1351</v>
      </c>
      <c r="B654">
        <v>60</v>
      </c>
      <c r="C654" t="s">
        <v>16</v>
      </c>
      <c r="D654">
        <v>165</v>
      </c>
      <c r="E654">
        <v>82</v>
      </c>
      <c r="F654" s="3">
        <v>24.707142734698699</v>
      </c>
      <c r="G654" s="3" t="str">
        <f t="shared" si="10"/>
        <v>Normal Weight</v>
      </c>
      <c r="H654" t="s">
        <v>1004</v>
      </c>
      <c r="I654" t="s">
        <v>18</v>
      </c>
      <c r="J654" t="s">
        <v>20</v>
      </c>
      <c r="K654" t="s">
        <v>22</v>
      </c>
      <c r="L654" t="s">
        <v>14</v>
      </c>
      <c r="M654" t="s">
        <v>19</v>
      </c>
      <c r="N654" t="s">
        <v>21</v>
      </c>
      <c r="O654" t="s">
        <v>20</v>
      </c>
      <c r="P654" t="s">
        <v>19</v>
      </c>
      <c r="Q654" t="s">
        <v>18</v>
      </c>
    </row>
    <row r="655" spans="1:17" x14ac:dyDescent="0.35">
      <c r="A655">
        <v>671</v>
      </c>
      <c r="B655">
        <v>75</v>
      </c>
      <c r="C655" t="s">
        <v>27</v>
      </c>
      <c r="D655">
        <v>181</v>
      </c>
      <c r="E655">
        <v>58</v>
      </c>
      <c r="F655" s="3">
        <v>25.7277272524388</v>
      </c>
      <c r="G655" s="3" t="str">
        <f t="shared" si="10"/>
        <v>Overweight</v>
      </c>
      <c r="H655" t="s">
        <v>604</v>
      </c>
      <c r="I655" t="s">
        <v>31</v>
      </c>
      <c r="J655" t="s">
        <v>19</v>
      </c>
      <c r="K655" t="s">
        <v>40</v>
      </c>
      <c r="L655" t="s">
        <v>32</v>
      </c>
      <c r="M655" t="s">
        <v>19</v>
      </c>
      <c r="N655" t="s">
        <v>21</v>
      </c>
      <c r="O655" t="s">
        <v>19</v>
      </c>
      <c r="P655" t="s">
        <v>20</v>
      </c>
      <c r="Q655" t="s">
        <v>18</v>
      </c>
    </row>
    <row r="656" spans="1:17" x14ac:dyDescent="0.35">
      <c r="A656">
        <v>672</v>
      </c>
      <c r="B656">
        <v>49</v>
      </c>
      <c r="C656" t="s">
        <v>27</v>
      </c>
      <c r="D656">
        <v>159</v>
      </c>
      <c r="E656">
        <v>59</v>
      </c>
      <c r="F656" s="3">
        <v>24.1495195343816</v>
      </c>
      <c r="G656" s="3" t="str">
        <f t="shared" si="10"/>
        <v>Normal Weight</v>
      </c>
      <c r="H656" t="s">
        <v>317</v>
      </c>
      <c r="I656" t="s">
        <v>18</v>
      </c>
      <c r="J656" t="s">
        <v>20</v>
      </c>
      <c r="K656" t="s">
        <v>18</v>
      </c>
      <c r="L656" t="s">
        <v>38</v>
      </c>
      <c r="M656" t="s">
        <v>19</v>
      </c>
      <c r="N656" t="s">
        <v>21</v>
      </c>
      <c r="O656" t="s">
        <v>19</v>
      </c>
      <c r="P656" t="s">
        <v>19</v>
      </c>
      <c r="Q656" t="s">
        <v>22</v>
      </c>
    </row>
    <row r="657" spans="1:17" x14ac:dyDescent="0.35">
      <c r="A657">
        <v>1537</v>
      </c>
      <c r="B657">
        <v>60</v>
      </c>
      <c r="C657" t="s">
        <v>16</v>
      </c>
      <c r="D657">
        <v>181</v>
      </c>
      <c r="E657">
        <v>87</v>
      </c>
      <c r="F657" s="3">
        <v>25.278470526862499</v>
      </c>
      <c r="G657" s="3" t="str">
        <f t="shared" si="10"/>
        <v>Overweight</v>
      </c>
      <c r="H657" t="s">
        <v>1084</v>
      </c>
      <c r="I657" t="s">
        <v>18</v>
      </c>
      <c r="J657" t="s">
        <v>19</v>
      </c>
      <c r="K657" t="s">
        <v>22</v>
      </c>
      <c r="L657" t="s">
        <v>14</v>
      </c>
      <c r="M657" t="s">
        <v>20</v>
      </c>
      <c r="N657" t="s">
        <v>21</v>
      </c>
      <c r="O657" t="s">
        <v>19</v>
      </c>
      <c r="P657" t="s">
        <v>20</v>
      </c>
      <c r="Q657" t="s">
        <v>40</v>
      </c>
    </row>
    <row r="658" spans="1:17" x14ac:dyDescent="0.35">
      <c r="A658">
        <v>1602</v>
      </c>
      <c r="B658">
        <v>60</v>
      </c>
      <c r="C658" t="s">
        <v>27</v>
      </c>
      <c r="D658">
        <v>157</v>
      </c>
      <c r="E658">
        <v>87</v>
      </c>
      <c r="F658" s="3">
        <v>19.3734429368855</v>
      </c>
      <c r="G658" s="3" t="str">
        <f t="shared" si="10"/>
        <v>Normal Weight</v>
      </c>
      <c r="H658" t="s">
        <v>197</v>
      </c>
      <c r="I658" t="s">
        <v>31</v>
      </c>
      <c r="J658" t="s">
        <v>19</v>
      </c>
      <c r="K658" t="s">
        <v>22</v>
      </c>
      <c r="L658" t="s">
        <v>32</v>
      </c>
      <c r="M658" t="s">
        <v>20</v>
      </c>
      <c r="N658" t="s">
        <v>25</v>
      </c>
      <c r="O658" t="s">
        <v>19</v>
      </c>
      <c r="P658" t="s">
        <v>19</v>
      </c>
      <c r="Q658" t="s">
        <v>18</v>
      </c>
    </row>
    <row r="659" spans="1:17" x14ac:dyDescent="0.35">
      <c r="A659">
        <v>673</v>
      </c>
      <c r="B659">
        <v>18</v>
      </c>
      <c r="C659" t="s">
        <v>27</v>
      </c>
      <c r="D659">
        <v>159</v>
      </c>
      <c r="E659">
        <v>81</v>
      </c>
      <c r="F659" s="3">
        <v>27.516859956918701</v>
      </c>
      <c r="G659" s="3" t="str">
        <f t="shared" si="10"/>
        <v>Overweight</v>
      </c>
      <c r="H659" t="s">
        <v>605</v>
      </c>
      <c r="I659" t="s">
        <v>18</v>
      </c>
      <c r="J659" t="s">
        <v>19</v>
      </c>
      <c r="K659" t="s">
        <v>18</v>
      </c>
      <c r="L659" t="s">
        <v>32</v>
      </c>
      <c r="M659" t="s">
        <v>19</v>
      </c>
      <c r="N659" t="s">
        <v>21</v>
      </c>
      <c r="O659" t="s">
        <v>20</v>
      </c>
      <c r="P659" t="s">
        <v>19</v>
      </c>
      <c r="Q659" t="s">
        <v>22</v>
      </c>
    </row>
    <row r="660" spans="1:17" x14ac:dyDescent="0.35">
      <c r="A660">
        <v>1722</v>
      </c>
      <c r="B660">
        <v>60</v>
      </c>
      <c r="C660" t="s">
        <v>27</v>
      </c>
      <c r="D660">
        <v>160</v>
      </c>
      <c r="E660">
        <v>87</v>
      </c>
      <c r="F660" s="3">
        <v>22.677819195604599</v>
      </c>
      <c r="G660" s="3" t="str">
        <f t="shared" si="10"/>
        <v>Normal Weight</v>
      </c>
      <c r="H660" t="s">
        <v>1168</v>
      </c>
      <c r="I660" t="s">
        <v>31</v>
      </c>
      <c r="J660" t="s">
        <v>20</v>
      </c>
      <c r="K660" t="s">
        <v>22</v>
      </c>
      <c r="L660" t="s">
        <v>14</v>
      </c>
      <c r="M660" t="s">
        <v>20</v>
      </c>
      <c r="N660" t="s">
        <v>25</v>
      </c>
      <c r="O660" t="s">
        <v>20</v>
      </c>
      <c r="P660" t="s">
        <v>20</v>
      </c>
      <c r="Q660" t="s">
        <v>18</v>
      </c>
    </row>
    <row r="661" spans="1:17" x14ac:dyDescent="0.35">
      <c r="A661">
        <v>674</v>
      </c>
      <c r="B661">
        <v>73</v>
      </c>
      <c r="C661" t="s">
        <v>16</v>
      </c>
      <c r="D661">
        <v>185</v>
      </c>
      <c r="E661">
        <v>83</v>
      </c>
      <c r="F661" s="3">
        <v>20.007328504938599</v>
      </c>
      <c r="G661" s="3" t="str">
        <f t="shared" si="10"/>
        <v>Normal Weight</v>
      </c>
      <c r="H661" t="s">
        <v>606</v>
      </c>
      <c r="I661" t="s">
        <v>31</v>
      </c>
      <c r="J661" t="s">
        <v>20</v>
      </c>
      <c r="K661" t="s">
        <v>40</v>
      </c>
      <c r="L661" t="s">
        <v>32</v>
      </c>
      <c r="M661" t="s">
        <v>20</v>
      </c>
      <c r="N661" t="s">
        <v>25</v>
      </c>
      <c r="O661" t="s">
        <v>20</v>
      </c>
      <c r="P661" t="s">
        <v>20</v>
      </c>
      <c r="Q661" t="s">
        <v>18</v>
      </c>
    </row>
    <row r="662" spans="1:17" x14ac:dyDescent="0.35">
      <c r="A662">
        <v>682</v>
      </c>
      <c r="B662">
        <v>19</v>
      </c>
      <c r="C662" t="s">
        <v>27</v>
      </c>
      <c r="D662">
        <v>171</v>
      </c>
      <c r="E662">
        <v>76</v>
      </c>
      <c r="F662" s="3">
        <v>32.365744930210298</v>
      </c>
      <c r="G662" s="3" t="str">
        <f t="shared" si="10"/>
        <v>Obese</v>
      </c>
      <c r="H662" t="s">
        <v>611</v>
      </c>
      <c r="I662" t="s">
        <v>24</v>
      </c>
      <c r="J662" t="s">
        <v>20</v>
      </c>
      <c r="K662" t="s">
        <v>18</v>
      </c>
      <c r="L662" t="s">
        <v>14</v>
      </c>
      <c r="M662" t="s">
        <v>20</v>
      </c>
      <c r="N662" t="s">
        <v>25</v>
      </c>
      <c r="O662" t="s">
        <v>19</v>
      </c>
      <c r="P662" t="s">
        <v>19</v>
      </c>
      <c r="Q662" t="s">
        <v>22</v>
      </c>
    </row>
    <row r="663" spans="1:17" x14ac:dyDescent="0.35">
      <c r="A663">
        <v>683</v>
      </c>
      <c r="B663">
        <v>66</v>
      </c>
      <c r="C663" t="s">
        <v>16</v>
      </c>
      <c r="D663">
        <v>179</v>
      </c>
      <c r="E663">
        <v>51</v>
      </c>
      <c r="F663" s="3">
        <v>18.788720530791899</v>
      </c>
      <c r="G663" s="3" t="str">
        <f t="shared" si="10"/>
        <v>Normal Weight</v>
      </c>
      <c r="H663" t="s">
        <v>612</v>
      </c>
      <c r="I663" t="s">
        <v>31</v>
      </c>
      <c r="J663" t="s">
        <v>19</v>
      </c>
      <c r="K663" t="s">
        <v>18</v>
      </c>
      <c r="L663" t="s">
        <v>29</v>
      </c>
      <c r="M663" t="s">
        <v>19</v>
      </c>
      <c r="N663" t="s">
        <v>25</v>
      </c>
      <c r="O663" t="s">
        <v>19</v>
      </c>
      <c r="P663" t="s">
        <v>19</v>
      </c>
      <c r="Q663" t="s">
        <v>18</v>
      </c>
    </row>
    <row r="664" spans="1:17" x14ac:dyDescent="0.35">
      <c r="A664">
        <v>1891</v>
      </c>
      <c r="B664">
        <v>60</v>
      </c>
      <c r="C664" t="s">
        <v>27</v>
      </c>
      <c r="D664">
        <v>175</v>
      </c>
      <c r="E664">
        <v>74</v>
      </c>
      <c r="F664" s="3">
        <v>25.368701320981799</v>
      </c>
      <c r="G664" s="3" t="str">
        <f t="shared" si="10"/>
        <v>Overweight</v>
      </c>
      <c r="H664" t="s">
        <v>1234</v>
      </c>
      <c r="I664" t="s">
        <v>18</v>
      </c>
      <c r="J664" t="s">
        <v>20</v>
      </c>
      <c r="K664" t="s">
        <v>22</v>
      </c>
      <c r="L664" t="s">
        <v>29</v>
      </c>
      <c r="M664" t="s">
        <v>19</v>
      </c>
      <c r="N664" t="s">
        <v>21</v>
      </c>
      <c r="O664" t="s">
        <v>19</v>
      </c>
      <c r="P664" t="s">
        <v>19</v>
      </c>
      <c r="Q664" t="s">
        <v>18</v>
      </c>
    </row>
    <row r="665" spans="1:17" x14ac:dyDescent="0.35">
      <c r="A665">
        <v>1904</v>
      </c>
      <c r="B665">
        <v>60</v>
      </c>
      <c r="C665" t="s">
        <v>16</v>
      </c>
      <c r="D665">
        <v>165</v>
      </c>
      <c r="E665">
        <v>94</v>
      </c>
      <c r="F665" s="3">
        <v>28.959176120235199</v>
      </c>
      <c r="G665" s="3" t="str">
        <f t="shared" si="10"/>
        <v>Overweight</v>
      </c>
      <c r="H665" t="s">
        <v>147</v>
      </c>
      <c r="I665" t="s">
        <v>18</v>
      </c>
      <c r="J665" t="s">
        <v>19</v>
      </c>
      <c r="K665" t="s">
        <v>22</v>
      </c>
      <c r="L665" t="s">
        <v>14</v>
      </c>
      <c r="M665" t="s">
        <v>19</v>
      </c>
      <c r="N665" t="s">
        <v>25</v>
      </c>
      <c r="O665" t="s">
        <v>19</v>
      </c>
      <c r="P665" t="s">
        <v>19</v>
      </c>
      <c r="Q665" t="s">
        <v>22</v>
      </c>
    </row>
    <row r="666" spans="1:17" x14ac:dyDescent="0.35">
      <c r="A666">
        <v>684</v>
      </c>
      <c r="B666">
        <v>45</v>
      </c>
      <c r="C666" t="s">
        <v>16</v>
      </c>
      <c r="D666">
        <v>153</v>
      </c>
      <c r="E666">
        <v>80</v>
      </c>
      <c r="F666" s="3">
        <v>19.308576642026001</v>
      </c>
      <c r="G666" s="3" t="str">
        <f t="shared" si="10"/>
        <v>Normal Weight</v>
      </c>
      <c r="H666" t="s">
        <v>613</v>
      </c>
      <c r="I666" t="s">
        <v>24</v>
      </c>
      <c r="J666" t="s">
        <v>20</v>
      </c>
      <c r="K666" t="s">
        <v>18</v>
      </c>
      <c r="L666" t="s">
        <v>38</v>
      </c>
      <c r="M666" t="s">
        <v>19</v>
      </c>
      <c r="N666" t="s">
        <v>25</v>
      </c>
      <c r="O666" t="s">
        <v>20</v>
      </c>
      <c r="P666" t="s">
        <v>20</v>
      </c>
      <c r="Q666" t="s">
        <v>22</v>
      </c>
    </row>
    <row r="667" spans="1:17" x14ac:dyDescent="0.35">
      <c r="A667">
        <v>685</v>
      </c>
      <c r="B667">
        <v>49</v>
      </c>
      <c r="C667" t="s">
        <v>27</v>
      </c>
      <c r="D667">
        <v>162</v>
      </c>
      <c r="E667">
        <v>63</v>
      </c>
      <c r="F667" s="3">
        <v>27.950709565334598</v>
      </c>
      <c r="G667" s="3" t="str">
        <f t="shared" si="10"/>
        <v>Overweight</v>
      </c>
      <c r="H667" t="s">
        <v>614</v>
      </c>
      <c r="I667" t="s">
        <v>31</v>
      </c>
      <c r="J667" t="s">
        <v>19</v>
      </c>
      <c r="K667" t="s">
        <v>18</v>
      </c>
      <c r="L667" t="s">
        <v>29</v>
      </c>
      <c r="M667" t="s">
        <v>20</v>
      </c>
      <c r="N667" t="s">
        <v>21</v>
      </c>
      <c r="O667" t="s">
        <v>19</v>
      </c>
      <c r="P667" t="s">
        <v>20</v>
      </c>
      <c r="Q667" t="s">
        <v>22</v>
      </c>
    </row>
    <row r="668" spans="1:17" x14ac:dyDescent="0.35">
      <c r="A668">
        <v>686</v>
      </c>
      <c r="B668">
        <v>44</v>
      </c>
      <c r="C668" t="s">
        <v>27</v>
      </c>
      <c r="D668">
        <v>172</v>
      </c>
      <c r="E668">
        <v>51</v>
      </c>
      <c r="F668" s="3">
        <v>32.021678808869801</v>
      </c>
      <c r="G668" s="3" t="str">
        <f t="shared" si="10"/>
        <v>Obese</v>
      </c>
      <c r="H668" t="s">
        <v>615</v>
      </c>
      <c r="I668" t="s">
        <v>18</v>
      </c>
      <c r="J668" t="s">
        <v>19</v>
      </c>
      <c r="K668" t="s">
        <v>18</v>
      </c>
      <c r="L668" t="s">
        <v>14</v>
      </c>
      <c r="M668" t="s">
        <v>20</v>
      </c>
      <c r="N668" t="s">
        <v>21</v>
      </c>
      <c r="O668" t="s">
        <v>20</v>
      </c>
      <c r="P668" t="s">
        <v>20</v>
      </c>
      <c r="Q668" t="s">
        <v>40</v>
      </c>
    </row>
    <row r="669" spans="1:17" x14ac:dyDescent="0.35">
      <c r="A669">
        <v>190</v>
      </c>
      <c r="B669">
        <v>59</v>
      </c>
      <c r="C669" t="s">
        <v>27</v>
      </c>
      <c r="D669">
        <v>188</v>
      </c>
      <c r="E669">
        <v>87</v>
      </c>
      <c r="F669" s="3">
        <v>33.017322841034201</v>
      </c>
      <c r="G669" s="3" t="str">
        <f t="shared" si="10"/>
        <v>Obese</v>
      </c>
      <c r="H669" t="s">
        <v>189</v>
      </c>
      <c r="I669" t="s">
        <v>31</v>
      </c>
      <c r="J669" t="s">
        <v>19</v>
      </c>
      <c r="K669" t="s">
        <v>22</v>
      </c>
      <c r="L669" t="s">
        <v>38</v>
      </c>
      <c r="M669" t="s">
        <v>20</v>
      </c>
      <c r="N669" t="s">
        <v>25</v>
      </c>
      <c r="O669" t="s">
        <v>19</v>
      </c>
      <c r="P669" t="s">
        <v>20</v>
      </c>
      <c r="Q669" t="s">
        <v>22</v>
      </c>
    </row>
    <row r="670" spans="1:17" x14ac:dyDescent="0.35">
      <c r="A670">
        <v>218</v>
      </c>
      <c r="B670">
        <v>59</v>
      </c>
      <c r="C670" t="s">
        <v>16</v>
      </c>
      <c r="D670">
        <v>171</v>
      </c>
      <c r="E670">
        <v>50</v>
      </c>
      <c r="F670" s="3">
        <v>19.068116591459599</v>
      </c>
      <c r="G670" s="3" t="str">
        <f t="shared" si="10"/>
        <v>Normal Weight</v>
      </c>
      <c r="H670" t="s">
        <v>234</v>
      </c>
      <c r="I670" t="s">
        <v>31</v>
      </c>
      <c r="J670" t="s">
        <v>20</v>
      </c>
      <c r="K670" t="s">
        <v>22</v>
      </c>
      <c r="L670" t="s">
        <v>29</v>
      </c>
      <c r="M670" t="s">
        <v>20</v>
      </c>
      <c r="N670" t="s">
        <v>25</v>
      </c>
      <c r="O670" t="s">
        <v>20</v>
      </c>
      <c r="P670" t="s">
        <v>20</v>
      </c>
      <c r="Q670" t="s">
        <v>22</v>
      </c>
    </row>
    <row r="671" spans="1:17" x14ac:dyDescent="0.35">
      <c r="A671">
        <v>257</v>
      </c>
      <c r="B671">
        <v>59</v>
      </c>
      <c r="C671" t="s">
        <v>16</v>
      </c>
      <c r="D671">
        <v>154</v>
      </c>
      <c r="E671">
        <v>80</v>
      </c>
      <c r="F671" s="3">
        <v>23.882638365185301</v>
      </c>
      <c r="G671" s="3" t="str">
        <f t="shared" si="10"/>
        <v>Normal Weight</v>
      </c>
      <c r="H671" t="s">
        <v>268</v>
      </c>
      <c r="I671" t="s">
        <v>24</v>
      </c>
      <c r="J671" t="s">
        <v>20</v>
      </c>
      <c r="K671" t="s">
        <v>22</v>
      </c>
      <c r="L671" t="s">
        <v>32</v>
      </c>
      <c r="M671" t="s">
        <v>19</v>
      </c>
      <c r="N671" t="s">
        <v>25</v>
      </c>
      <c r="O671" t="s">
        <v>19</v>
      </c>
      <c r="P671" t="s">
        <v>20</v>
      </c>
      <c r="Q671" t="s">
        <v>18</v>
      </c>
    </row>
    <row r="672" spans="1:17" x14ac:dyDescent="0.35">
      <c r="A672">
        <v>687</v>
      </c>
      <c r="B672">
        <v>37</v>
      </c>
      <c r="C672" t="s">
        <v>16</v>
      </c>
      <c r="D672">
        <v>157</v>
      </c>
      <c r="E672">
        <v>78</v>
      </c>
      <c r="F672" s="3">
        <v>23.8911916943824</v>
      </c>
      <c r="G672" s="3" t="str">
        <f t="shared" si="10"/>
        <v>Normal Weight</v>
      </c>
      <c r="H672" t="s">
        <v>569</v>
      </c>
      <c r="I672" t="s">
        <v>31</v>
      </c>
      <c r="J672" t="s">
        <v>20</v>
      </c>
      <c r="K672" t="s">
        <v>18</v>
      </c>
      <c r="L672" t="s">
        <v>38</v>
      </c>
      <c r="M672" t="s">
        <v>19</v>
      </c>
      <c r="N672" t="s">
        <v>25</v>
      </c>
      <c r="O672" t="s">
        <v>20</v>
      </c>
      <c r="P672" t="s">
        <v>20</v>
      </c>
      <c r="Q672" t="s">
        <v>22</v>
      </c>
    </row>
    <row r="673" spans="1:17" x14ac:dyDescent="0.35">
      <c r="A673">
        <v>490</v>
      </c>
      <c r="B673">
        <v>59</v>
      </c>
      <c r="C673" t="s">
        <v>27</v>
      </c>
      <c r="D673">
        <v>153</v>
      </c>
      <c r="E673">
        <v>85</v>
      </c>
      <c r="F673" s="3">
        <v>21.785041428942701</v>
      </c>
      <c r="G673" s="3" t="str">
        <f t="shared" si="10"/>
        <v>Normal Weight</v>
      </c>
      <c r="H673" t="s">
        <v>457</v>
      </c>
      <c r="I673" t="s">
        <v>31</v>
      </c>
      <c r="J673" t="s">
        <v>19</v>
      </c>
      <c r="K673" t="s">
        <v>22</v>
      </c>
      <c r="L673" t="s">
        <v>38</v>
      </c>
      <c r="M673" t="s">
        <v>20</v>
      </c>
      <c r="N673" t="s">
        <v>21</v>
      </c>
      <c r="O673" t="s">
        <v>19</v>
      </c>
      <c r="P673" t="s">
        <v>20</v>
      </c>
      <c r="Q673" t="s">
        <v>22</v>
      </c>
    </row>
    <row r="674" spans="1:17" x14ac:dyDescent="0.35">
      <c r="A674">
        <v>689</v>
      </c>
      <c r="B674">
        <v>29</v>
      </c>
      <c r="C674" t="s">
        <v>27</v>
      </c>
      <c r="D674">
        <v>161</v>
      </c>
      <c r="E674">
        <v>61</v>
      </c>
      <c r="F674" s="3">
        <v>28.339717208696801</v>
      </c>
      <c r="G674" s="3" t="str">
        <f t="shared" si="10"/>
        <v>Overweight</v>
      </c>
      <c r="H674" t="s">
        <v>617</v>
      </c>
      <c r="I674" t="s">
        <v>18</v>
      </c>
      <c r="J674" t="s">
        <v>20</v>
      </c>
      <c r="K674" t="s">
        <v>18</v>
      </c>
      <c r="L674" t="s">
        <v>32</v>
      </c>
      <c r="M674" t="s">
        <v>20</v>
      </c>
      <c r="N674" t="s">
        <v>21</v>
      </c>
      <c r="O674" t="s">
        <v>19</v>
      </c>
      <c r="P674" t="s">
        <v>20</v>
      </c>
      <c r="Q674" t="s">
        <v>18</v>
      </c>
    </row>
    <row r="675" spans="1:17" x14ac:dyDescent="0.35">
      <c r="A675">
        <v>691</v>
      </c>
      <c r="B675">
        <v>52</v>
      </c>
      <c r="C675" t="s">
        <v>16</v>
      </c>
      <c r="D675">
        <v>163</v>
      </c>
      <c r="E675">
        <v>77</v>
      </c>
      <c r="F675" s="3">
        <v>18.939038040281702</v>
      </c>
      <c r="G675" s="3" t="str">
        <f t="shared" si="10"/>
        <v>Normal Weight</v>
      </c>
      <c r="H675" t="s">
        <v>618</v>
      </c>
      <c r="I675" t="s">
        <v>31</v>
      </c>
      <c r="J675" t="s">
        <v>19</v>
      </c>
      <c r="K675" t="s">
        <v>18</v>
      </c>
      <c r="L675" t="s">
        <v>32</v>
      </c>
      <c r="M675" t="s">
        <v>19</v>
      </c>
      <c r="N675" t="s">
        <v>21</v>
      </c>
      <c r="O675" t="s">
        <v>19</v>
      </c>
      <c r="P675" t="s">
        <v>20</v>
      </c>
      <c r="Q675" t="s">
        <v>18</v>
      </c>
    </row>
    <row r="676" spans="1:17" x14ac:dyDescent="0.35">
      <c r="A676">
        <v>558</v>
      </c>
      <c r="B676">
        <v>59</v>
      </c>
      <c r="C676" t="s">
        <v>27</v>
      </c>
      <c r="D676">
        <v>163</v>
      </c>
      <c r="E676">
        <v>71</v>
      </c>
      <c r="F676" s="3">
        <v>30.175739664718801</v>
      </c>
      <c r="G676" s="3" t="str">
        <f t="shared" si="10"/>
        <v>Obese</v>
      </c>
      <c r="H676" t="s">
        <v>513</v>
      </c>
      <c r="I676" t="s">
        <v>18</v>
      </c>
      <c r="J676" t="s">
        <v>19</v>
      </c>
      <c r="K676" t="s">
        <v>22</v>
      </c>
      <c r="L676" t="s">
        <v>32</v>
      </c>
      <c r="M676" t="s">
        <v>20</v>
      </c>
      <c r="N676" t="s">
        <v>25</v>
      </c>
      <c r="O676" t="s">
        <v>20</v>
      </c>
      <c r="P676" t="s">
        <v>19</v>
      </c>
      <c r="Q676" t="s">
        <v>22</v>
      </c>
    </row>
    <row r="677" spans="1:17" x14ac:dyDescent="0.35">
      <c r="A677">
        <v>588</v>
      </c>
      <c r="B677">
        <v>59</v>
      </c>
      <c r="C677" t="s">
        <v>16</v>
      </c>
      <c r="D677">
        <v>151</v>
      </c>
      <c r="E677">
        <v>65</v>
      </c>
      <c r="F677" s="3">
        <v>32.165066843836897</v>
      </c>
      <c r="G677" s="3" t="str">
        <f t="shared" si="10"/>
        <v>Obese</v>
      </c>
      <c r="H677" t="s">
        <v>258</v>
      </c>
      <c r="I677" t="s">
        <v>18</v>
      </c>
      <c r="J677" t="s">
        <v>20</v>
      </c>
      <c r="K677" t="s">
        <v>22</v>
      </c>
      <c r="L677" t="s">
        <v>38</v>
      </c>
      <c r="M677" t="s">
        <v>20</v>
      </c>
      <c r="N677" t="s">
        <v>25</v>
      </c>
      <c r="O677" t="s">
        <v>19</v>
      </c>
      <c r="P677" t="s">
        <v>20</v>
      </c>
      <c r="Q677" t="s">
        <v>40</v>
      </c>
    </row>
    <row r="678" spans="1:17" x14ac:dyDescent="0.35">
      <c r="A678">
        <v>814</v>
      </c>
      <c r="B678">
        <v>59</v>
      </c>
      <c r="C678" t="s">
        <v>16</v>
      </c>
      <c r="D678">
        <v>166</v>
      </c>
      <c r="E678">
        <v>82</v>
      </c>
      <c r="F678" s="3">
        <v>33.551435906895101</v>
      </c>
      <c r="G678" s="3" t="str">
        <f t="shared" si="10"/>
        <v>Obese</v>
      </c>
      <c r="H678" t="s">
        <v>697</v>
      </c>
      <c r="I678" t="s">
        <v>24</v>
      </c>
      <c r="J678" t="s">
        <v>20</v>
      </c>
      <c r="K678" t="s">
        <v>22</v>
      </c>
      <c r="L678" t="s">
        <v>38</v>
      </c>
      <c r="M678" t="s">
        <v>20</v>
      </c>
      <c r="N678" t="s">
        <v>21</v>
      </c>
      <c r="O678" t="s">
        <v>20</v>
      </c>
      <c r="P678" t="s">
        <v>19</v>
      </c>
      <c r="Q678" t="s">
        <v>22</v>
      </c>
    </row>
    <row r="679" spans="1:17" x14ac:dyDescent="0.35">
      <c r="A679">
        <v>840</v>
      </c>
      <c r="B679">
        <v>59</v>
      </c>
      <c r="C679" t="s">
        <v>27</v>
      </c>
      <c r="D679">
        <v>156</v>
      </c>
      <c r="E679">
        <v>68</v>
      </c>
      <c r="F679" s="3">
        <v>31.619319661690898</v>
      </c>
      <c r="G679" s="3" t="str">
        <f t="shared" si="10"/>
        <v>Obese</v>
      </c>
      <c r="H679" t="s">
        <v>424</v>
      </c>
      <c r="I679" t="s">
        <v>24</v>
      </c>
      <c r="J679" t="s">
        <v>19</v>
      </c>
      <c r="K679" t="s">
        <v>22</v>
      </c>
      <c r="L679" t="s">
        <v>14</v>
      </c>
      <c r="M679" t="s">
        <v>19</v>
      </c>
      <c r="N679" t="s">
        <v>25</v>
      </c>
      <c r="O679" t="s">
        <v>19</v>
      </c>
      <c r="P679" t="s">
        <v>20</v>
      </c>
      <c r="Q679" t="s">
        <v>22</v>
      </c>
    </row>
    <row r="680" spans="1:17" x14ac:dyDescent="0.35">
      <c r="A680">
        <v>1104</v>
      </c>
      <c r="B680">
        <v>59</v>
      </c>
      <c r="C680" t="s">
        <v>16</v>
      </c>
      <c r="D680">
        <v>170</v>
      </c>
      <c r="E680">
        <v>62</v>
      </c>
      <c r="F680" s="3">
        <v>32.227035437852798</v>
      </c>
      <c r="G680" s="3" t="str">
        <f t="shared" si="10"/>
        <v>Obese</v>
      </c>
      <c r="H680" t="s">
        <v>261</v>
      </c>
      <c r="I680" t="s">
        <v>18</v>
      </c>
      <c r="J680" t="s">
        <v>20</v>
      </c>
      <c r="K680" t="s">
        <v>22</v>
      </c>
      <c r="L680" t="s">
        <v>32</v>
      </c>
      <c r="M680" t="s">
        <v>20</v>
      </c>
      <c r="N680" t="s">
        <v>25</v>
      </c>
      <c r="O680" t="s">
        <v>20</v>
      </c>
      <c r="P680" t="s">
        <v>20</v>
      </c>
      <c r="Q680" t="s">
        <v>18</v>
      </c>
    </row>
    <row r="681" spans="1:17" x14ac:dyDescent="0.35">
      <c r="A681">
        <v>694</v>
      </c>
      <c r="B681">
        <v>50</v>
      </c>
      <c r="C681" t="s">
        <v>16</v>
      </c>
      <c r="D681">
        <v>183</v>
      </c>
      <c r="E681">
        <v>73</v>
      </c>
      <c r="F681" s="3">
        <v>28.0824739844183</v>
      </c>
      <c r="G681" s="3" t="str">
        <f t="shared" si="10"/>
        <v>Overweight</v>
      </c>
      <c r="H681" t="s">
        <v>620</v>
      </c>
      <c r="I681" t="s">
        <v>24</v>
      </c>
      <c r="J681" t="s">
        <v>19</v>
      </c>
      <c r="K681" t="s">
        <v>18</v>
      </c>
      <c r="L681" t="s">
        <v>38</v>
      </c>
      <c r="M681" t="s">
        <v>19</v>
      </c>
      <c r="N681" t="s">
        <v>25</v>
      </c>
      <c r="O681" t="s">
        <v>20</v>
      </c>
      <c r="P681" t="s">
        <v>19</v>
      </c>
      <c r="Q681" t="s">
        <v>22</v>
      </c>
    </row>
    <row r="682" spans="1:17" x14ac:dyDescent="0.35">
      <c r="A682">
        <v>1265</v>
      </c>
      <c r="B682">
        <v>59</v>
      </c>
      <c r="C682" t="s">
        <v>27</v>
      </c>
      <c r="D682">
        <v>171</v>
      </c>
      <c r="E682">
        <v>81</v>
      </c>
      <c r="F682" s="3">
        <v>31.674482833344602</v>
      </c>
      <c r="G682" s="3" t="str">
        <f t="shared" si="10"/>
        <v>Obese</v>
      </c>
      <c r="H682" t="s">
        <v>959</v>
      </c>
      <c r="I682" t="s">
        <v>18</v>
      </c>
      <c r="J682" t="s">
        <v>19</v>
      </c>
      <c r="K682" t="s">
        <v>22</v>
      </c>
      <c r="L682" t="s">
        <v>14</v>
      </c>
      <c r="M682" t="s">
        <v>19</v>
      </c>
      <c r="N682" t="s">
        <v>25</v>
      </c>
      <c r="O682" t="s">
        <v>19</v>
      </c>
      <c r="P682" t="s">
        <v>20</v>
      </c>
      <c r="Q682" t="s">
        <v>22</v>
      </c>
    </row>
    <row r="683" spans="1:17" x14ac:dyDescent="0.35">
      <c r="A683">
        <v>695</v>
      </c>
      <c r="B683">
        <v>78</v>
      </c>
      <c r="C683" t="s">
        <v>16</v>
      </c>
      <c r="D683">
        <v>160</v>
      </c>
      <c r="E683">
        <v>70</v>
      </c>
      <c r="F683" s="3">
        <v>30.737788128365001</v>
      </c>
      <c r="G683" s="3" t="str">
        <f t="shared" si="10"/>
        <v>Obese</v>
      </c>
      <c r="H683" t="s">
        <v>542</v>
      </c>
      <c r="I683" t="s">
        <v>18</v>
      </c>
      <c r="J683" t="s">
        <v>19</v>
      </c>
      <c r="K683" t="s">
        <v>40</v>
      </c>
      <c r="L683" t="s">
        <v>29</v>
      </c>
      <c r="M683" t="s">
        <v>20</v>
      </c>
      <c r="N683" t="s">
        <v>25</v>
      </c>
      <c r="O683" t="s">
        <v>20</v>
      </c>
      <c r="P683" t="s">
        <v>20</v>
      </c>
      <c r="Q683" t="s">
        <v>40</v>
      </c>
    </row>
    <row r="684" spans="1:17" x14ac:dyDescent="0.35">
      <c r="A684">
        <v>1454</v>
      </c>
      <c r="B684">
        <v>59</v>
      </c>
      <c r="C684" t="s">
        <v>27</v>
      </c>
      <c r="D684">
        <v>166</v>
      </c>
      <c r="E684">
        <v>71</v>
      </c>
      <c r="F684" s="3">
        <v>34.021388097433302</v>
      </c>
      <c r="G684" s="3" t="str">
        <f t="shared" si="10"/>
        <v>Obese</v>
      </c>
      <c r="H684" t="s">
        <v>1051</v>
      </c>
      <c r="I684" t="s">
        <v>31</v>
      </c>
      <c r="J684" t="s">
        <v>19</v>
      </c>
      <c r="K684" t="s">
        <v>22</v>
      </c>
      <c r="L684" t="s">
        <v>29</v>
      </c>
      <c r="M684" t="s">
        <v>19</v>
      </c>
      <c r="N684" t="s">
        <v>21</v>
      </c>
      <c r="O684" t="s">
        <v>20</v>
      </c>
      <c r="P684" t="s">
        <v>19</v>
      </c>
      <c r="Q684" t="s">
        <v>22</v>
      </c>
    </row>
    <row r="685" spans="1:17" x14ac:dyDescent="0.35">
      <c r="A685">
        <v>1547</v>
      </c>
      <c r="B685">
        <v>59</v>
      </c>
      <c r="C685" t="s">
        <v>16</v>
      </c>
      <c r="D685">
        <v>151</v>
      </c>
      <c r="E685">
        <v>86</v>
      </c>
      <c r="F685" s="3">
        <v>26.328477467434599</v>
      </c>
      <c r="G685" s="3" t="str">
        <f t="shared" si="10"/>
        <v>Overweight</v>
      </c>
      <c r="H685" t="s">
        <v>559</v>
      </c>
      <c r="I685" t="s">
        <v>24</v>
      </c>
      <c r="J685" t="s">
        <v>20</v>
      </c>
      <c r="K685" t="s">
        <v>22</v>
      </c>
      <c r="L685" t="s">
        <v>38</v>
      </c>
      <c r="M685" t="s">
        <v>19</v>
      </c>
      <c r="N685" t="s">
        <v>21</v>
      </c>
      <c r="O685" t="s">
        <v>19</v>
      </c>
      <c r="P685" t="s">
        <v>20</v>
      </c>
      <c r="Q685" t="s">
        <v>18</v>
      </c>
    </row>
    <row r="686" spans="1:17" x14ac:dyDescent="0.35">
      <c r="A686">
        <v>696</v>
      </c>
      <c r="B686">
        <v>68</v>
      </c>
      <c r="C686" t="s">
        <v>16</v>
      </c>
      <c r="D686">
        <v>161</v>
      </c>
      <c r="E686">
        <v>59</v>
      </c>
      <c r="F686" s="3">
        <v>29.641308819773599</v>
      </c>
      <c r="G686" s="3" t="str">
        <f t="shared" si="10"/>
        <v>Overweight</v>
      </c>
      <c r="H686" t="s">
        <v>621</v>
      </c>
      <c r="I686" t="s">
        <v>18</v>
      </c>
      <c r="J686" t="s">
        <v>19</v>
      </c>
      <c r="K686" t="s">
        <v>18</v>
      </c>
      <c r="L686" t="s">
        <v>32</v>
      </c>
      <c r="M686" t="s">
        <v>19</v>
      </c>
      <c r="N686" t="s">
        <v>25</v>
      </c>
      <c r="O686" t="s">
        <v>20</v>
      </c>
      <c r="P686" t="s">
        <v>19</v>
      </c>
      <c r="Q686" t="s">
        <v>18</v>
      </c>
    </row>
    <row r="687" spans="1:17" x14ac:dyDescent="0.35">
      <c r="A687">
        <v>697</v>
      </c>
      <c r="B687">
        <v>60</v>
      </c>
      <c r="C687" t="s">
        <v>27</v>
      </c>
      <c r="D687">
        <v>164</v>
      </c>
      <c r="E687">
        <v>95</v>
      </c>
      <c r="F687" s="3">
        <v>21.897052804942199</v>
      </c>
      <c r="G687" s="3" t="str">
        <f t="shared" si="10"/>
        <v>Normal Weight</v>
      </c>
      <c r="H687" t="s">
        <v>573</v>
      </c>
      <c r="I687" t="s">
        <v>31</v>
      </c>
      <c r="J687" t="s">
        <v>20</v>
      </c>
      <c r="K687" t="s">
        <v>18</v>
      </c>
      <c r="L687" t="s">
        <v>38</v>
      </c>
      <c r="M687" t="s">
        <v>19</v>
      </c>
      <c r="N687" t="s">
        <v>25</v>
      </c>
      <c r="O687" t="s">
        <v>19</v>
      </c>
      <c r="P687" t="s">
        <v>19</v>
      </c>
      <c r="Q687" t="s">
        <v>18</v>
      </c>
    </row>
    <row r="688" spans="1:17" x14ac:dyDescent="0.35">
      <c r="A688">
        <v>698</v>
      </c>
      <c r="B688">
        <v>54</v>
      </c>
      <c r="C688" t="s">
        <v>27</v>
      </c>
      <c r="D688">
        <v>180</v>
      </c>
      <c r="E688">
        <v>63</v>
      </c>
      <c r="F688" s="3">
        <v>24.315937274565201</v>
      </c>
      <c r="G688" s="3" t="str">
        <f t="shared" si="10"/>
        <v>Normal Weight</v>
      </c>
      <c r="H688" t="s">
        <v>622</v>
      </c>
      <c r="I688" t="s">
        <v>31</v>
      </c>
      <c r="J688" t="s">
        <v>20</v>
      </c>
      <c r="K688" t="s">
        <v>18</v>
      </c>
      <c r="L688" t="s">
        <v>14</v>
      </c>
      <c r="M688" t="s">
        <v>19</v>
      </c>
      <c r="N688" t="s">
        <v>25</v>
      </c>
      <c r="O688" t="s">
        <v>20</v>
      </c>
      <c r="P688" t="s">
        <v>20</v>
      </c>
      <c r="Q688" t="s">
        <v>40</v>
      </c>
    </row>
    <row r="689" spans="1:17" x14ac:dyDescent="0.35">
      <c r="A689">
        <v>1906</v>
      </c>
      <c r="B689">
        <v>59</v>
      </c>
      <c r="C689" t="s">
        <v>27</v>
      </c>
      <c r="D689">
        <v>153</v>
      </c>
      <c r="E689">
        <v>89</v>
      </c>
      <c r="F689" s="3">
        <v>33.498592215789103</v>
      </c>
      <c r="G689" s="3" t="str">
        <f t="shared" si="10"/>
        <v>Obese</v>
      </c>
      <c r="H689" t="s">
        <v>1026</v>
      </c>
      <c r="I689" t="s">
        <v>24</v>
      </c>
      <c r="J689" t="s">
        <v>19</v>
      </c>
      <c r="K689" t="s">
        <v>22</v>
      </c>
      <c r="L689" t="s">
        <v>14</v>
      </c>
      <c r="M689" t="s">
        <v>19</v>
      </c>
      <c r="N689" t="s">
        <v>21</v>
      </c>
      <c r="O689" t="s">
        <v>20</v>
      </c>
      <c r="P689" t="s">
        <v>20</v>
      </c>
      <c r="Q689" t="s">
        <v>18</v>
      </c>
    </row>
    <row r="690" spans="1:17" x14ac:dyDescent="0.35">
      <c r="A690">
        <v>700</v>
      </c>
      <c r="B690">
        <v>20</v>
      </c>
      <c r="C690" t="s">
        <v>16</v>
      </c>
      <c r="D690">
        <v>175</v>
      </c>
      <c r="E690">
        <v>67</v>
      </c>
      <c r="F690" s="3">
        <v>20.642640721395001</v>
      </c>
      <c r="G690" s="3" t="str">
        <f t="shared" si="10"/>
        <v>Normal Weight</v>
      </c>
      <c r="H690" t="s">
        <v>624</v>
      </c>
      <c r="I690" t="s">
        <v>31</v>
      </c>
      <c r="J690" t="s">
        <v>19</v>
      </c>
      <c r="K690" t="s">
        <v>18</v>
      </c>
      <c r="L690" t="s">
        <v>38</v>
      </c>
      <c r="M690" t="s">
        <v>20</v>
      </c>
      <c r="N690" t="s">
        <v>25</v>
      </c>
      <c r="O690" t="s">
        <v>20</v>
      </c>
      <c r="P690" t="s">
        <v>19</v>
      </c>
      <c r="Q690" t="s">
        <v>18</v>
      </c>
    </row>
    <row r="691" spans="1:17" x14ac:dyDescent="0.35">
      <c r="A691">
        <v>128</v>
      </c>
      <c r="B691">
        <v>58</v>
      </c>
      <c r="C691" t="s">
        <v>16</v>
      </c>
      <c r="D691">
        <v>177</v>
      </c>
      <c r="E691">
        <v>75</v>
      </c>
      <c r="F691" s="3">
        <v>22.457029211408699</v>
      </c>
      <c r="G691" s="3" t="str">
        <f t="shared" si="10"/>
        <v>Normal Weight</v>
      </c>
      <c r="H691" t="s">
        <v>152</v>
      </c>
      <c r="I691" t="s">
        <v>31</v>
      </c>
      <c r="J691" t="s">
        <v>20</v>
      </c>
      <c r="K691" t="s">
        <v>22</v>
      </c>
      <c r="L691" t="s">
        <v>29</v>
      </c>
      <c r="M691" t="s">
        <v>19</v>
      </c>
      <c r="N691" t="s">
        <v>21</v>
      </c>
      <c r="O691" t="s">
        <v>19</v>
      </c>
      <c r="P691" t="s">
        <v>19</v>
      </c>
      <c r="Q691" t="s">
        <v>18</v>
      </c>
    </row>
    <row r="692" spans="1:17" x14ac:dyDescent="0.35">
      <c r="A692">
        <v>153</v>
      </c>
      <c r="B692">
        <v>58</v>
      </c>
      <c r="C692" t="s">
        <v>16</v>
      </c>
      <c r="D692">
        <v>167</v>
      </c>
      <c r="E692">
        <v>87</v>
      </c>
      <c r="F692" s="3">
        <v>31.148833087748802</v>
      </c>
      <c r="G692" s="3" t="str">
        <f t="shared" si="10"/>
        <v>Obese</v>
      </c>
      <c r="H692" t="s">
        <v>175</v>
      </c>
      <c r="I692" t="s">
        <v>31</v>
      </c>
      <c r="J692" t="s">
        <v>20</v>
      </c>
      <c r="K692" t="s">
        <v>22</v>
      </c>
      <c r="L692" t="s">
        <v>38</v>
      </c>
      <c r="M692" t="s">
        <v>20</v>
      </c>
      <c r="N692" t="s">
        <v>21</v>
      </c>
      <c r="O692" t="s">
        <v>20</v>
      </c>
      <c r="P692" t="s">
        <v>19</v>
      </c>
      <c r="Q692" t="s">
        <v>40</v>
      </c>
    </row>
    <row r="693" spans="1:17" x14ac:dyDescent="0.35">
      <c r="A693">
        <v>246</v>
      </c>
      <c r="B693">
        <v>58</v>
      </c>
      <c r="C693" t="s">
        <v>16</v>
      </c>
      <c r="D693">
        <v>157</v>
      </c>
      <c r="E693">
        <v>94</v>
      </c>
      <c r="F693" s="3">
        <v>34.718623512652499</v>
      </c>
      <c r="G693" s="3" t="str">
        <f t="shared" si="10"/>
        <v>Obese</v>
      </c>
      <c r="H693" t="s">
        <v>258</v>
      </c>
      <c r="I693" t="s">
        <v>18</v>
      </c>
      <c r="J693" t="s">
        <v>19</v>
      </c>
      <c r="K693" t="s">
        <v>22</v>
      </c>
      <c r="L693" t="s">
        <v>38</v>
      </c>
      <c r="M693" t="s">
        <v>20</v>
      </c>
      <c r="N693" t="s">
        <v>25</v>
      </c>
      <c r="O693" t="s">
        <v>19</v>
      </c>
      <c r="P693" t="s">
        <v>19</v>
      </c>
      <c r="Q693" t="s">
        <v>22</v>
      </c>
    </row>
    <row r="694" spans="1:17" x14ac:dyDescent="0.35">
      <c r="A694">
        <v>704</v>
      </c>
      <c r="B694">
        <v>27</v>
      </c>
      <c r="C694" t="s">
        <v>27</v>
      </c>
      <c r="D694">
        <v>187</v>
      </c>
      <c r="E694">
        <v>61</v>
      </c>
      <c r="F694" s="3">
        <v>28.867727439565801</v>
      </c>
      <c r="G694" s="3" t="str">
        <f t="shared" si="10"/>
        <v>Overweight</v>
      </c>
      <c r="H694" t="s">
        <v>627</v>
      </c>
      <c r="I694" t="s">
        <v>31</v>
      </c>
      <c r="J694" t="s">
        <v>20</v>
      </c>
      <c r="K694" t="s">
        <v>18</v>
      </c>
      <c r="L694" t="s">
        <v>29</v>
      </c>
      <c r="M694" t="s">
        <v>20</v>
      </c>
      <c r="N694" t="s">
        <v>25</v>
      </c>
      <c r="O694" t="s">
        <v>19</v>
      </c>
      <c r="P694" t="s">
        <v>19</v>
      </c>
      <c r="Q694" t="s">
        <v>18</v>
      </c>
    </row>
    <row r="695" spans="1:17" x14ac:dyDescent="0.35">
      <c r="A695">
        <v>340</v>
      </c>
      <c r="B695">
        <v>58</v>
      </c>
      <c r="C695" t="s">
        <v>16</v>
      </c>
      <c r="D695">
        <v>160</v>
      </c>
      <c r="E695">
        <v>88</v>
      </c>
      <c r="F695" s="3">
        <v>20.718151551597501</v>
      </c>
      <c r="G695" s="3" t="str">
        <f t="shared" si="10"/>
        <v>Normal Weight</v>
      </c>
      <c r="H695" t="s">
        <v>344</v>
      </c>
      <c r="I695" t="s">
        <v>24</v>
      </c>
      <c r="J695" t="s">
        <v>20</v>
      </c>
      <c r="K695" t="s">
        <v>22</v>
      </c>
      <c r="L695" t="s">
        <v>29</v>
      </c>
      <c r="M695" t="s">
        <v>20</v>
      </c>
      <c r="N695" t="s">
        <v>25</v>
      </c>
      <c r="O695" t="s">
        <v>19</v>
      </c>
      <c r="P695" t="s">
        <v>19</v>
      </c>
      <c r="Q695" t="s">
        <v>22</v>
      </c>
    </row>
    <row r="696" spans="1:17" x14ac:dyDescent="0.35">
      <c r="A696">
        <v>377</v>
      </c>
      <c r="B696">
        <v>58</v>
      </c>
      <c r="C696" t="s">
        <v>16</v>
      </c>
      <c r="D696">
        <v>188</v>
      </c>
      <c r="E696">
        <v>52</v>
      </c>
      <c r="F696" s="3">
        <v>19.934955834222801</v>
      </c>
      <c r="G696" s="3" t="str">
        <f t="shared" si="10"/>
        <v>Normal Weight</v>
      </c>
      <c r="H696" t="s">
        <v>377</v>
      </c>
      <c r="I696" t="s">
        <v>18</v>
      </c>
      <c r="J696" t="s">
        <v>19</v>
      </c>
      <c r="K696" t="s">
        <v>22</v>
      </c>
      <c r="L696" t="s">
        <v>29</v>
      </c>
      <c r="M696" t="s">
        <v>20</v>
      </c>
      <c r="N696" t="s">
        <v>21</v>
      </c>
      <c r="O696" t="s">
        <v>19</v>
      </c>
      <c r="P696" t="s">
        <v>19</v>
      </c>
      <c r="Q696" t="s">
        <v>18</v>
      </c>
    </row>
    <row r="697" spans="1:17" x14ac:dyDescent="0.35">
      <c r="A697">
        <v>705</v>
      </c>
      <c r="B697">
        <v>60</v>
      </c>
      <c r="C697" t="s">
        <v>27</v>
      </c>
      <c r="D697">
        <v>166</v>
      </c>
      <c r="E697">
        <v>71</v>
      </c>
      <c r="F697" s="3">
        <v>21.537671835455701</v>
      </c>
      <c r="G697" s="3" t="str">
        <f t="shared" si="10"/>
        <v>Normal Weight</v>
      </c>
      <c r="H697" t="s">
        <v>433</v>
      </c>
      <c r="I697" t="s">
        <v>18</v>
      </c>
      <c r="J697" t="s">
        <v>19</v>
      </c>
      <c r="K697" t="s">
        <v>18</v>
      </c>
      <c r="L697" t="s">
        <v>29</v>
      </c>
      <c r="M697" t="s">
        <v>20</v>
      </c>
      <c r="N697" t="s">
        <v>25</v>
      </c>
      <c r="O697" t="s">
        <v>19</v>
      </c>
      <c r="P697" t="s">
        <v>20</v>
      </c>
      <c r="Q697" t="s">
        <v>40</v>
      </c>
    </row>
    <row r="698" spans="1:17" x14ac:dyDescent="0.35">
      <c r="A698">
        <v>470</v>
      </c>
      <c r="B698">
        <v>58</v>
      </c>
      <c r="C698" t="s">
        <v>27</v>
      </c>
      <c r="D698">
        <v>175</v>
      </c>
      <c r="E698">
        <v>75</v>
      </c>
      <c r="F698" s="3">
        <v>28.0129923341938</v>
      </c>
      <c r="G698" s="3" t="str">
        <f t="shared" si="10"/>
        <v>Overweight</v>
      </c>
      <c r="H698" t="s">
        <v>443</v>
      </c>
      <c r="I698" t="s">
        <v>18</v>
      </c>
      <c r="J698" t="s">
        <v>19</v>
      </c>
      <c r="K698" t="s">
        <v>22</v>
      </c>
      <c r="L698" t="s">
        <v>38</v>
      </c>
      <c r="M698" t="s">
        <v>19</v>
      </c>
      <c r="N698" t="s">
        <v>25</v>
      </c>
      <c r="O698" t="s">
        <v>20</v>
      </c>
      <c r="P698" t="s">
        <v>19</v>
      </c>
      <c r="Q698" t="s">
        <v>40</v>
      </c>
    </row>
    <row r="699" spans="1:17" x14ac:dyDescent="0.35">
      <c r="A699">
        <v>706</v>
      </c>
      <c r="B699">
        <v>61</v>
      </c>
      <c r="C699" t="s">
        <v>27</v>
      </c>
      <c r="D699">
        <v>172</v>
      </c>
      <c r="E699">
        <v>55</v>
      </c>
      <c r="F699" s="3">
        <v>20.243230699907301</v>
      </c>
      <c r="G699" s="3" t="str">
        <f t="shared" si="10"/>
        <v>Normal Weight</v>
      </c>
      <c r="H699" t="s">
        <v>628</v>
      </c>
      <c r="I699" t="s">
        <v>18</v>
      </c>
      <c r="J699" t="s">
        <v>19</v>
      </c>
      <c r="K699" t="s">
        <v>18</v>
      </c>
      <c r="L699" t="s">
        <v>38</v>
      </c>
      <c r="M699" t="s">
        <v>20</v>
      </c>
      <c r="N699" t="s">
        <v>21</v>
      </c>
      <c r="O699" t="s">
        <v>20</v>
      </c>
      <c r="P699" t="s">
        <v>19</v>
      </c>
      <c r="Q699" t="s">
        <v>18</v>
      </c>
    </row>
    <row r="700" spans="1:17" x14ac:dyDescent="0.35">
      <c r="A700">
        <v>707</v>
      </c>
      <c r="B700">
        <v>46</v>
      </c>
      <c r="C700" t="s">
        <v>27</v>
      </c>
      <c r="D700">
        <v>173</v>
      </c>
      <c r="E700">
        <v>85</v>
      </c>
      <c r="F700" s="3">
        <v>31.912041030356502</v>
      </c>
      <c r="G700" s="3" t="str">
        <f t="shared" si="10"/>
        <v>Obese</v>
      </c>
      <c r="H700" t="s">
        <v>467</v>
      </c>
      <c r="I700" t="s">
        <v>24</v>
      </c>
      <c r="J700" t="s">
        <v>20</v>
      </c>
      <c r="K700" t="s">
        <v>18</v>
      </c>
      <c r="L700" t="s">
        <v>14</v>
      </c>
      <c r="M700" t="s">
        <v>19</v>
      </c>
      <c r="N700" t="s">
        <v>25</v>
      </c>
      <c r="O700" t="s">
        <v>20</v>
      </c>
      <c r="P700" t="s">
        <v>19</v>
      </c>
      <c r="Q700" t="s">
        <v>18</v>
      </c>
    </row>
    <row r="701" spans="1:17" x14ac:dyDescent="0.35">
      <c r="A701">
        <v>785</v>
      </c>
      <c r="B701">
        <v>58</v>
      </c>
      <c r="C701" t="s">
        <v>27</v>
      </c>
      <c r="D701">
        <v>185</v>
      </c>
      <c r="E701">
        <v>57</v>
      </c>
      <c r="F701" s="3">
        <v>33.201069097396598</v>
      </c>
      <c r="G701" s="3" t="str">
        <f t="shared" si="10"/>
        <v>Obese</v>
      </c>
      <c r="H701" t="s">
        <v>384</v>
      </c>
      <c r="I701" t="s">
        <v>31</v>
      </c>
      <c r="J701" t="s">
        <v>20</v>
      </c>
      <c r="K701" t="s">
        <v>22</v>
      </c>
      <c r="L701" t="s">
        <v>14</v>
      </c>
      <c r="M701" t="s">
        <v>19</v>
      </c>
      <c r="N701" t="s">
        <v>25</v>
      </c>
      <c r="O701" t="s">
        <v>20</v>
      </c>
      <c r="P701" t="s">
        <v>19</v>
      </c>
      <c r="Q701" t="s">
        <v>22</v>
      </c>
    </row>
    <row r="702" spans="1:17" x14ac:dyDescent="0.35">
      <c r="A702">
        <v>888</v>
      </c>
      <c r="B702">
        <v>58</v>
      </c>
      <c r="C702" t="s">
        <v>16</v>
      </c>
      <c r="D702">
        <v>160</v>
      </c>
      <c r="E702">
        <v>95</v>
      </c>
      <c r="F702" s="3">
        <v>18.7750805848939</v>
      </c>
      <c r="G702" s="3" t="str">
        <f t="shared" si="10"/>
        <v>Normal Weight</v>
      </c>
      <c r="H702" t="s">
        <v>556</v>
      </c>
      <c r="I702" t="s">
        <v>18</v>
      </c>
      <c r="J702" t="s">
        <v>20</v>
      </c>
      <c r="K702" t="s">
        <v>22</v>
      </c>
      <c r="L702" t="s">
        <v>32</v>
      </c>
      <c r="M702" t="s">
        <v>20</v>
      </c>
      <c r="N702" t="s">
        <v>25</v>
      </c>
      <c r="O702" t="s">
        <v>20</v>
      </c>
      <c r="P702" t="s">
        <v>19</v>
      </c>
      <c r="Q702" t="s">
        <v>22</v>
      </c>
    </row>
    <row r="703" spans="1:17" x14ac:dyDescent="0.35">
      <c r="A703">
        <v>708</v>
      </c>
      <c r="B703">
        <v>30</v>
      </c>
      <c r="C703" t="s">
        <v>16</v>
      </c>
      <c r="D703">
        <v>157</v>
      </c>
      <c r="E703">
        <v>94</v>
      </c>
      <c r="F703" s="3">
        <v>28.049481859939899</v>
      </c>
      <c r="G703" s="3" t="str">
        <f t="shared" si="10"/>
        <v>Overweight</v>
      </c>
      <c r="H703" t="s">
        <v>629</v>
      </c>
      <c r="I703" t="s">
        <v>24</v>
      </c>
      <c r="J703" t="s">
        <v>20</v>
      </c>
      <c r="K703" t="s">
        <v>18</v>
      </c>
      <c r="L703" t="s">
        <v>29</v>
      </c>
      <c r="M703" t="s">
        <v>20</v>
      </c>
      <c r="N703" t="s">
        <v>25</v>
      </c>
      <c r="O703" t="s">
        <v>19</v>
      </c>
      <c r="P703" t="s">
        <v>19</v>
      </c>
      <c r="Q703" t="s">
        <v>22</v>
      </c>
    </row>
    <row r="704" spans="1:17" x14ac:dyDescent="0.35">
      <c r="A704">
        <v>709</v>
      </c>
      <c r="B704">
        <v>29</v>
      </c>
      <c r="C704" t="s">
        <v>16</v>
      </c>
      <c r="D704">
        <v>155</v>
      </c>
      <c r="E704">
        <v>85</v>
      </c>
      <c r="F704" s="3">
        <v>28.701702846726299</v>
      </c>
      <c r="G704" s="3" t="str">
        <f t="shared" si="10"/>
        <v>Overweight</v>
      </c>
      <c r="H704" t="s">
        <v>540</v>
      </c>
      <c r="I704" t="s">
        <v>24</v>
      </c>
      <c r="J704" t="s">
        <v>20</v>
      </c>
      <c r="K704" t="s">
        <v>18</v>
      </c>
      <c r="L704" t="s">
        <v>29</v>
      </c>
      <c r="M704" t="s">
        <v>20</v>
      </c>
      <c r="N704" t="s">
        <v>25</v>
      </c>
      <c r="O704" t="s">
        <v>19</v>
      </c>
      <c r="P704" t="s">
        <v>19</v>
      </c>
      <c r="Q704" t="s">
        <v>22</v>
      </c>
    </row>
    <row r="705" spans="1:17" x14ac:dyDescent="0.35">
      <c r="A705">
        <v>1012</v>
      </c>
      <c r="B705">
        <v>58</v>
      </c>
      <c r="C705" t="s">
        <v>16</v>
      </c>
      <c r="D705">
        <v>178</v>
      </c>
      <c r="E705">
        <v>75</v>
      </c>
      <c r="F705" s="3">
        <v>19.942377329872802</v>
      </c>
      <c r="G705" s="3" t="str">
        <f t="shared" si="10"/>
        <v>Normal Weight</v>
      </c>
      <c r="H705" t="s">
        <v>809</v>
      </c>
      <c r="I705" t="s">
        <v>24</v>
      </c>
      <c r="J705" t="s">
        <v>20</v>
      </c>
      <c r="K705" t="s">
        <v>22</v>
      </c>
      <c r="L705" t="s">
        <v>29</v>
      </c>
      <c r="M705" t="s">
        <v>20</v>
      </c>
      <c r="N705" t="s">
        <v>25</v>
      </c>
      <c r="O705" t="s">
        <v>20</v>
      </c>
      <c r="P705" t="s">
        <v>20</v>
      </c>
      <c r="Q705" t="s">
        <v>18</v>
      </c>
    </row>
    <row r="706" spans="1:17" x14ac:dyDescent="0.35">
      <c r="A706">
        <v>711</v>
      </c>
      <c r="B706">
        <v>63</v>
      </c>
      <c r="C706" t="s">
        <v>16</v>
      </c>
      <c r="D706">
        <v>178</v>
      </c>
      <c r="E706">
        <v>63</v>
      </c>
      <c r="F706" s="3">
        <v>30.104074257585399</v>
      </c>
      <c r="G706" s="3" t="str">
        <f t="shared" si="10"/>
        <v>Obese</v>
      </c>
      <c r="H706" t="s">
        <v>630</v>
      </c>
      <c r="I706" t="s">
        <v>18</v>
      </c>
      <c r="J706" t="s">
        <v>19</v>
      </c>
      <c r="K706" t="s">
        <v>18</v>
      </c>
      <c r="L706" t="s">
        <v>32</v>
      </c>
      <c r="M706" t="s">
        <v>20</v>
      </c>
      <c r="N706" t="s">
        <v>25</v>
      </c>
      <c r="O706" t="s">
        <v>19</v>
      </c>
      <c r="P706" t="s">
        <v>19</v>
      </c>
      <c r="Q706" t="s">
        <v>22</v>
      </c>
    </row>
    <row r="707" spans="1:17" x14ac:dyDescent="0.35">
      <c r="A707">
        <v>1251</v>
      </c>
      <c r="B707">
        <v>58</v>
      </c>
      <c r="C707" t="s">
        <v>27</v>
      </c>
      <c r="D707">
        <v>169</v>
      </c>
      <c r="E707">
        <v>71</v>
      </c>
      <c r="F707" s="3">
        <v>22.766194850064</v>
      </c>
      <c r="G707" s="3" t="str">
        <f t="shared" ref="G707:G770" si="11">_xlfn.IFS(F707&lt;18.5, "Underweight", F707&lt;=24.9, "Normal Weight", F707&lt;=29.9, "Overweight", TRUE, "Obese")</f>
        <v>Normal Weight</v>
      </c>
      <c r="H707" t="s">
        <v>952</v>
      </c>
      <c r="I707" t="s">
        <v>18</v>
      </c>
      <c r="J707" t="s">
        <v>19</v>
      </c>
      <c r="K707" t="s">
        <v>22</v>
      </c>
      <c r="L707" t="s">
        <v>29</v>
      </c>
      <c r="M707" t="s">
        <v>19</v>
      </c>
      <c r="N707" t="s">
        <v>21</v>
      </c>
      <c r="O707" t="s">
        <v>19</v>
      </c>
      <c r="P707" t="s">
        <v>19</v>
      </c>
      <c r="Q707" t="s">
        <v>40</v>
      </c>
    </row>
    <row r="708" spans="1:17" x14ac:dyDescent="0.35">
      <c r="A708">
        <v>1266</v>
      </c>
      <c r="B708">
        <v>58</v>
      </c>
      <c r="C708" t="s">
        <v>16</v>
      </c>
      <c r="D708">
        <v>175</v>
      </c>
      <c r="E708">
        <v>79</v>
      </c>
      <c r="F708" s="3">
        <v>30.1692674175344</v>
      </c>
      <c r="G708" s="3" t="str">
        <f t="shared" si="11"/>
        <v>Obese</v>
      </c>
      <c r="H708" t="s">
        <v>960</v>
      </c>
      <c r="I708" t="s">
        <v>18</v>
      </c>
      <c r="J708" t="s">
        <v>19</v>
      </c>
      <c r="K708" t="s">
        <v>22</v>
      </c>
      <c r="L708" t="s">
        <v>38</v>
      </c>
      <c r="M708" t="s">
        <v>20</v>
      </c>
      <c r="N708" t="s">
        <v>25</v>
      </c>
      <c r="O708" t="s">
        <v>20</v>
      </c>
      <c r="P708" t="s">
        <v>19</v>
      </c>
      <c r="Q708" t="s">
        <v>40</v>
      </c>
    </row>
    <row r="709" spans="1:17" x14ac:dyDescent="0.35">
      <c r="A709">
        <v>714</v>
      </c>
      <c r="B709">
        <v>68</v>
      </c>
      <c r="C709" t="s">
        <v>16</v>
      </c>
      <c r="D709">
        <v>150</v>
      </c>
      <c r="E709">
        <v>74</v>
      </c>
      <c r="F709" s="3">
        <v>30.834090506317299</v>
      </c>
      <c r="G709" s="3" t="str">
        <f t="shared" si="11"/>
        <v>Obese</v>
      </c>
      <c r="H709" t="s">
        <v>631</v>
      </c>
      <c r="I709" t="s">
        <v>24</v>
      </c>
      <c r="J709" t="s">
        <v>19</v>
      </c>
      <c r="K709" t="s">
        <v>18</v>
      </c>
      <c r="L709" t="s">
        <v>38</v>
      </c>
      <c r="M709" t="s">
        <v>20</v>
      </c>
      <c r="N709" t="s">
        <v>21</v>
      </c>
      <c r="O709" t="s">
        <v>20</v>
      </c>
      <c r="P709" t="s">
        <v>20</v>
      </c>
      <c r="Q709" t="s">
        <v>18</v>
      </c>
    </row>
    <row r="710" spans="1:17" x14ac:dyDescent="0.35">
      <c r="A710">
        <v>1558</v>
      </c>
      <c r="B710">
        <v>58</v>
      </c>
      <c r="C710" t="s">
        <v>27</v>
      </c>
      <c r="D710">
        <v>153</v>
      </c>
      <c r="E710">
        <v>63</v>
      </c>
      <c r="F710" s="3">
        <v>31.684855405237201</v>
      </c>
      <c r="G710" s="3" t="str">
        <f t="shared" si="11"/>
        <v>Obese</v>
      </c>
      <c r="H710" t="s">
        <v>978</v>
      </c>
      <c r="I710" t="s">
        <v>31</v>
      </c>
      <c r="J710" t="s">
        <v>20</v>
      </c>
      <c r="K710" t="s">
        <v>22</v>
      </c>
      <c r="L710" t="s">
        <v>29</v>
      </c>
      <c r="M710" t="s">
        <v>19</v>
      </c>
      <c r="N710" t="s">
        <v>25</v>
      </c>
      <c r="O710" t="s">
        <v>20</v>
      </c>
      <c r="P710" t="s">
        <v>20</v>
      </c>
      <c r="Q710" t="s">
        <v>40</v>
      </c>
    </row>
    <row r="711" spans="1:17" x14ac:dyDescent="0.35">
      <c r="A711">
        <v>715</v>
      </c>
      <c r="B711">
        <v>67</v>
      </c>
      <c r="C711" t="s">
        <v>27</v>
      </c>
      <c r="D711">
        <v>168</v>
      </c>
      <c r="E711">
        <v>81</v>
      </c>
      <c r="F711" s="3">
        <v>32.539070495814499</v>
      </c>
      <c r="G711" s="3" t="str">
        <f t="shared" si="11"/>
        <v>Obese</v>
      </c>
      <c r="H711" t="s">
        <v>632</v>
      </c>
      <c r="I711" t="s">
        <v>18</v>
      </c>
      <c r="J711" t="s">
        <v>19</v>
      </c>
      <c r="K711" t="s">
        <v>18</v>
      </c>
      <c r="L711" t="s">
        <v>32</v>
      </c>
      <c r="M711" t="s">
        <v>19</v>
      </c>
      <c r="N711" t="s">
        <v>21</v>
      </c>
      <c r="O711" t="s">
        <v>19</v>
      </c>
      <c r="P711" t="s">
        <v>19</v>
      </c>
      <c r="Q711" t="s">
        <v>18</v>
      </c>
    </row>
    <row r="712" spans="1:17" x14ac:dyDescent="0.35">
      <c r="A712">
        <v>716</v>
      </c>
      <c r="B712">
        <v>52</v>
      </c>
      <c r="C712" t="s">
        <v>27</v>
      </c>
      <c r="D712">
        <v>158</v>
      </c>
      <c r="E712">
        <v>82</v>
      </c>
      <c r="F712" s="3">
        <v>23.221228200562098</v>
      </c>
      <c r="G712" s="3" t="str">
        <f t="shared" si="11"/>
        <v>Normal Weight</v>
      </c>
      <c r="H712" t="s">
        <v>633</v>
      </c>
      <c r="I712" t="s">
        <v>18</v>
      </c>
      <c r="J712" t="s">
        <v>20</v>
      </c>
      <c r="K712" t="s">
        <v>18</v>
      </c>
      <c r="L712" t="s">
        <v>32</v>
      </c>
      <c r="M712" t="s">
        <v>19</v>
      </c>
      <c r="N712" t="s">
        <v>25</v>
      </c>
      <c r="O712" t="s">
        <v>19</v>
      </c>
      <c r="P712" t="s">
        <v>20</v>
      </c>
      <c r="Q712" t="s">
        <v>18</v>
      </c>
    </row>
    <row r="713" spans="1:17" x14ac:dyDescent="0.35">
      <c r="A713">
        <v>1813</v>
      </c>
      <c r="B713">
        <v>58</v>
      </c>
      <c r="C713" t="s">
        <v>27</v>
      </c>
      <c r="D713">
        <v>179</v>
      </c>
      <c r="E713">
        <v>55</v>
      </c>
      <c r="F713" s="3">
        <v>33.041409502632497</v>
      </c>
      <c r="G713" s="3" t="str">
        <f t="shared" si="11"/>
        <v>Obese</v>
      </c>
      <c r="H713" t="s">
        <v>683</v>
      </c>
      <c r="I713" t="s">
        <v>18</v>
      </c>
      <c r="J713" t="s">
        <v>20</v>
      </c>
      <c r="K713" t="s">
        <v>22</v>
      </c>
      <c r="L713" t="s">
        <v>14</v>
      </c>
      <c r="M713" t="s">
        <v>20</v>
      </c>
      <c r="N713" t="s">
        <v>21</v>
      </c>
      <c r="O713" t="s">
        <v>19</v>
      </c>
      <c r="P713" t="s">
        <v>20</v>
      </c>
      <c r="Q713" t="s">
        <v>18</v>
      </c>
    </row>
    <row r="714" spans="1:17" x14ac:dyDescent="0.35">
      <c r="A714">
        <v>717</v>
      </c>
      <c r="B714">
        <v>40</v>
      </c>
      <c r="C714" t="s">
        <v>27</v>
      </c>
      <c r="D714">
        <v>176</v>
      </c>
      <c r="E714">
        <v>94</v>
      </c>
      <c r="F714" s="3">
        <v>29.067380020888599</v>
      </c>
      <c r="G714" s="3" t="str">
        <f t="shared" si="11"/>
        <v>Overweight</v>
      </c>
      <c r="H714" t="s">
        <v>37</v>
      </c>
      <c r="I714" t="s">
        <v>18</v>
      </c>
      <c r="J714" t="s">
        <v>19</v>
      </c>
      <c r="K714" t="s">
        <v>18</v>
      </c>
      <c r="L714" t="s">
        <v>38</v>
      </c>
      <c r="M714" t="s">
        <v>20</v>
      </c>
      <c r="N714" t="s">
        <v>25</v>
      </c>
      <c r="O714" t="s">
        <v>19</v>
      </c>
      <c r="P714" t="s">
        <v>19</v>
      </c>
      <c r="Q714" t="s">
        <v>40</v>
      </c>
    </row>
    <row r="715" spans="1:17" x14ac:dyDescent="0.35">
      <c r="A715">
        <v>718</v>
      </c>
      <c r="B715">
        <v>34</v>
      </c>
      <c r="C715" t="s">
        <v>27</v>
      </c>
      <c r="D715">
        <v>183</v>
      </c>
      <c r="E715">
        <v>85</v>
      </c>
      <c r="F715" s="3">
        <v>23.68367405331</v>
      </c>
      <c r="G715" s="3" t="str">
        <f t="shared" si="11"/>
        <v>Normal Weight</v>
      </c>
      <c r="H715" t="s">
        <v>563</v>
      </c>
      <c r="I715" t="s">
        <v>18</v>
      </c>
      <c r="J715" t="s">
        <v>20</v>
      </c>
      <c r="K715" t="s">
        <v>18</v>
      </c>
      <c r="L715" t="s">
        <v>32</v>
      </c>
      <c r="M715" t="s">
        <v>19</v>
      </c>
      <c r="N715" t="s">
        <v>21</v>
      </c>
      <c r="O715" t="s">
        <v>20</v>
      </c>
      <c r="P715" t="s">
        <v>19</v>
      </c>
      <c r="Q715" t="s">
        <v>22</v>
      </c>
    </row>
    <row r="716" spans="1:17" x14ac:dyDescent="0.35">
      <c r="A716">
        <v>719</v>
      </c>
      <c r="B716">
        <v>43</v>
      </c>
      <c r="C716" t="s">
        <v>16</v>
      </c>
      <c r="D716">
        <v>153</v>
      </c>
      <c r="E716">
        <v>69</v>
      </c>
      <c r="F716" s="3">
        <v>34.306522596960399</v>
      </c>
      <c r="G716" s="3" t="str">
        <f t="shared" si="11"/>
        <v>Obese</v>
      </c>
      <c r="H716" t="s">
        <v>634</v>
      </c>
      <c r="I716" t="s">
        <v>18</v>
      </c>
      <c r="J716" t="s">
        <v>20</v>
      </c>
      <c r="K716" t="s">
        <v>18</v>
      </c>
      <c r="L716" t="s">
        <v>29</v>
      </c>
      <c r="M716" t="s">
        <v>20</v>
      </c>
      <c r="N716" t="s">
        <v>25</v>
      </c>
      <c r="O716" t="s">
        <v>20</v>
      </c>
      <c r="P716" t="s">
        <v>20</v>
      </c>
      <c r="Q716" t="s">
        <v>18</v>
      </c>
    </row>
    <row r="717" spans="1:17" x14ac:dyDescent="0.35">
      <c r="A717">
        <v>726</v>
      </c>
      <c r="B717">
        <v>51</v>
      </c>
      <c r="C717" t="s">
        <v>27</v>
      </c>
      <c r="D717">
        <v>161</v>
      </c>
      <c r="E717">
        <v>65</v>
      </c>
      <c r="F717" s="3">
        <v>26.657118382255</v>
      </c>
      <c r="G717" s="3" t="str">
        <f t="shared" si="11"/>
        <v>Overweight</v>
      </c>
      <c r="H717" t="s">
        <v>471</v>
      </c>
      <c r="I717" t="s">
        <v>18</v>
      </c>
      <c r="J717" t="s">
        <v>20</v>
      </c>
      <c r="K717" t="s">
        <v>18</v>
      </c>
      <c r="L717" t="s">
        <v>29</v>
      </c>
      <c r="M717" t="s">
        <v>19</v>
      </c>
      <c r="N717" t="s">
        <v>25</v>
      </c>
      <c r="O717" t="s">
        <v>19</v>
      </c>
      <c r="P717" t="s">
        <v>20</v>
      </c>
      <c r="Q717" t="s">
        <v>18</v>
      </c>
    </row>
    <row r="718" spans="1:17" x14ac:dyDescent="0.35">
      <c r="A718">
        <v>169</v>
      </c>
      <c r="B718">
        <v>57</v>
      </c>
      <c r="C718" t="s">
        <v>16</v>
      </c>
      <c r="D718">
        <v>184</v>
      </c>
      <c r="E718">
        <v>53</v>
      </c>
      <c r="F718" s="3">
        <v>33.561213206729697</v>
      </c>
      <c r="G718" s="3" t="str">
        <f t="shared" si="11"/>
        <v>Obese</v>
      </c>
      <c r="H718" t="s">
        <v>191</v>
      </c>
      <c r="I718" t="s">
        <v>18</v>
      </c>
      <c r="J718" t="s">
        <v>20</v>
      </c>
      <c r="K718" t="s">
        <v>22</v>
      </c>
      <c r="L718" t="s">
        <v>38</v>
      </c>
      <c r="M718" t="s">
        <v>19</v>
      </c>
      <c r="N718" t="s">
        <v>25</v>
      </c>
      <c r="O718" t="s">
        <v>20</v>
      </c>
      <c r="P718" t="s">
        <v>19</v>
      </c>
      <c r="Q718" t="s">
        <v>22</v>
      </c>
    </row>
    <row r="719" spans="1:17" x14ac:dyDescent="0.35">
      <c r="A719">
        <v>727</v>
      </c>
      <c r="B719">
        <v>68</v>
      </c>
      <c r="C719" t="s">
        <v>27</v>
      </c>
      <c r="D719">
        <v>186</v>
      </c>
      <c r="E719">
        <v>54</v>
      </c>
      <c r="F719" s="3">
        <v>33.594776674948399</v>
      </c>
      <c r="G719" s="3" t="str">
        <f t="shared" si="11"/>
        <v>Obese</v>
      </c>
      <c r="H719" t="s">
        <v>639</v>
      </c>
      <c r="I719" t="s">
        <v>18</v>
      </c>
      <c r="J719" t="s">
        <v>19</v>
      </c>
      <c r="K719" t="s">
        <v>18</v>
      </c>
      <c r="L719" t="s">
        <v>29</v>
      </c>
      <c r="M719" t="s">
        <v>19</v>
      </c>
      <c r="N719" t="s">
        <v>25</v>
      </c>
      <c r="O719" t="s">
        <v>19</v>
      </c>
      <c r="P719" t="s">
        <v>20</v>
      </c>
      <c r="Q719" t="s">
        <v>18</v>
      </c>
    </row>
    <row r="720" spans="1:17" x14ac:dyDescent="0.35">
      <c r="A720">
        <v>345</v>
      </c>
      <c r="B720">
        <v>57</v>
      </c>
      <c r="C720" t="s">
        <v>16</v>
      </c>
      <c r="D720">
        <v>161</v>
      </c>
      <c r="E720">
        <v>59</v>
      </c>
      <c r="F720" s="3">
        <v>31.427774792700401</v>
      </c>
      <c r="G720" s="3" t="str">
        <f t="shared" si="11"/>
        <v>Obese</v>
      </c>
      <c r="H720" t="s">
        <v>347</v>
      </c>
      <c r="I720" t="s">
        <v>18</v>
      </c>
      <c r="J720" t="s">
        <v>19</v>
      </c>
      <c r="K720" t="s">
        <v>22</v>
      </c>
      <c r="L720" t="s">
        <v>14</v>
      </c>
      <c r="M720" t="s">
        <v>19</v>
      </c>
      <c r="N720" t="s">
        <v>25</v>
      </c>
      <c r="O720" t="s">
        <v>20</v>
      </c>
      <c r="P720" t="s">
        <v>19</v>
      </c>
      <c r="Q720" t="s">
        <v>18</v>
      </c>
    </row>
    <row r="721" spans="1:17" x14ac:dyDescent="0.35">
      <c r="A721">
        <v>728</v>
      </c>
      <c r="B721">
        <v>58</v>
      </c>
      <c r="C721" t="s">
        <v>16</v>
      </c>
      <c r="D721">
        <v>166</v>
      </c>
      <c r="E721">
        <v>53</v>
      </c>
      <c r="F721" s="3">
        <v>21.993287140441499</v>
      </c>
      <c r="G721" s="3" t="str">
        <f t="shared" si="11"/>
        <v>Normal Weight</v>
      </c>
      <c r="H721" t="s">
        <v>600</v>
      </c>
      <c r="I721" t="s">
        <v>18</v>
      </c>
      <c r="J721" t="s">
        <v>19</v>
      </c>
      <c r="K721" t="s">
        <v>18</v>
      </c>
      <c r="L721" t="s">
        <v>29</v>
      </c>
      <c r="M721" t="s">
        <v>20</v>
      </c>
      <c r="N721" t="s">
        <v>25</v>
      </c>
      <c r="O721" t="s">
        <v>20</v>
      </c>
      <c r="P721" t="s">
        <v>20</v>
      </c>
      <c r="Q721" t="s">
        <v>18</v>
      </c>
    </row>
    <row r="722" spans="1:17" x14ac:dyDescent="0.35">
      <c r="A722">
        <v>495</v>
      </c>
      <c r="B722">
        <v>57</v>
      </c>
      <c r="C722" t="s">
        <v>16</v>
      </c>
      <c r="D722">
        <v>171</v>
      </c>
      <c r="E722">
        <v>86</v>
      </c>
      <c r="F722" s="3">
        <v>23.280511731680502</v>
      </c>
      <c r="G722" s="3" t="str">
        <f t="shared" si="11"/>
        <v>Normal Weight</v>
      </c>
      <c r="H722" t="s">
        <v>460</v>
      </c>
      <c r="I722" t="s">
        <v>31</v>
      </c>
      <c r="J722" t="s">
        <v>19</v>
      </c>
      <c r="K722" t="s">
        <v>22</v>
      </c>
      <c r="L722" t="s">
        <v>29</v>
      </c>
      <c r="M722" t="s">
        <v>19</v>
      </c>
      <c r="N722" t="s">
        <v>21</v>
      </c>
      <c r="O722" t="s">
        <v>20</v>
      </c>
      <c r="P722" t="s">
        <v>19</v>
      </c>
      <c r="Q722" t="s">
        <v>40</v>
      </c>
    </row>
    <row r="723" spans="1:17" x14ac:dyDescent="0.35">
      <c r="A723">
        <v>509</v>
      </c>
      <c r="B723">
        <v>57</v>
      </c>
      <c r="C723" t="s">
        <v>16</v>
      </c>
      <c r="D723">
        <v>162</v>
      </c>
      <c r="E723">
        <v>95</v>
      </c>
      <c r="F723" s="3">
        <v>22.902110065658199</v>
      </c>
      <c r="G723" s="3" t="str">
        <f t="shared" si="11"/>
        <v>Normal Weight</v>
      </c>
      <c r="H723" t="s">
        <v>471</v>
      </c>
      <c r="I723" t="s">
        <v>24</v>
      </c>
      <c r="J723" t="s">
        <v>19</v>
      </c>
      <c r="K723" t="s">
        <v>22</v>
      </c>
      <c r="L723" t="s">
        <v>38</v>
      </c>
      <c r="M723" t="s">
        <v>20</v>
      </c>
      <c r="N723" t="s">
        <v>25</v>
      </c>
      <c r="O723" t="s">
        <v>19</v>
      </c>
      <c r="P723" t="s">
        <v>19</v>
      </c>
      <c r="Q723" t="s">
        <v>22</v>
      </c>
    </row>
    <row r="724" spans="1:17" x14ac:dyDescent="0.35">
      <c r="A724">
        <v>582</v>
      </c>
      <c r="B724">
        <v>57</v>
      </c>
      <c r="C724" t="s">
        <v>27</v>
      </c>
      <c r="D724">
        <v>171</v>
      </c>
      <c r="E724">
        <v>51</v>
      </c>
      <c r="F724" s="3">
        <v>32.972604771325202</v>
      </c>
      <c r="G724" s="3" t="str">
        <f t="shared" si="11"/>
        <v>Obese</v>
      </c>
      <c r="H724" t="s">
        <v>348</v>
      </c>
      <c r="I724" t="s">
        <v>18</v>
      </c>
      <c r="J724" t="s">
        <v>20</v>
      </c>
      <c r="K724" t="s">
        <v>22</v>
      </c>
      <c r="L724" t="s">
        <v>38</v>
      </c>
      <c r="M724" t="s">
        <v>19</v>
      </c>
      <c r="N724" t="s">
        <v>21</v>
      </c>
      <c r="O724" t="s">
        <v>20</v>
      </c>
      <c r="P724" t="s">
        <v>19</v>
      </c>
      <c r="Q724" t="s">
        <v>18</v>
      </c>
    </row>
    <row r="725" spans="1:17" x14ac:dyDescent="0.35">
      <c r="A725">
        <v>732</v>
      </c>
      <c r="B725">
        <v>70</v>
      </c>
      <c r="C725" t="s">
        <v>27</v>
      </c>
      <c r="D725">
        <v>182</v>
      </c>
      <c r="E725">
        <v>88</v>
      </c>
      <c r="F725" s="3">
        <v>33.544454354299198</v>
      </c>
      <c r="G725" s="3" t="str">
        <f t="shared" si="11"/>
        <v>Obese</v>
      </c>
      <c r="H725" t="s">
        <v>642</v>
      </c>
      <c r="I725" t="s">
        <v>24</v>
      </c>
      <c r="J725" t="s">
        <v>20</v>
      </c>
      <c r="K725" t="s">
        <v>40</v>
      </c>
      <c r="L725" t="s">
        <v>32</v>
      </c>
      <c r="M725" t="s">
        <v>20</v>
      </c>
      <c r="N725" t="s">
        <v>21</v>
      </c>
      <c r="O725" t="s">
        <v>19</v>
      </c>
      <c r="P725" t="s">
        <v>20</v>
      </c>
      <c r="Q725" t="s">
        <v>40</v>
      </c>
    </row>
    <row r="726" spans="1:17" x14ac:dyDescent="0.35">
      <c r="A726">
        <v>703</v>
      </c>
      <c r="B726">
        <v>57</v>
      </c>
      <c r="C726" t="s">
        <v>16</v>
      </c>
      <c r="D726">
        <v>171</v>
      </c>
      <c r="E726">
        <v>83</v>
      </c>
      <c r="F726" s="3">
        <v>34.3850876337087</v>
      </c>
      <c r="G726" s="3" t="str">
        <f t="shared" si="11"/>
        <v>Obese</v>
      </c>
      <c r="H726" t="s">
        <v>337</v>
      </c>
      <c r="I726" t="s">
        <v>18</v>
      </c>
      <c r="J726" t="s">
        <v>19</v>
      </c>
      <c r="K726" t="s">
        <v>22</v>
      </c>
      <c r="L726" t="s">
        <v>38</v>
      </c>
      <c r="M726" t="s">
        <v>20</v>
      </c>
      <c r="N726" t="s">
        <v>25</v>
      </c>
      <c r="O726" t="s">
        <v>19</v>
      </c>
      <c r="P726" t="s">
        <v>20</v>
      </c>
      <c r="Q726" t="s">
        <v>22</v>
      </c>
    </row>
    <row r="727" spans="1:17" x14ac:dyDescent="0.35">
      <c r="A727">
        <v>839</v>
      </c>
      <c r="B727">
        <v>57</v>
      </c>
      <c r="C727" t="s">
        <v>16</v>
      </c>
      <c r="D727">
        <v>182</v>
      </c>
      <c r="E727">
        <v>92</v>
      </c>
      <c r="F727" s="3">
        <v>26.7974460810821</v>
      </c>
      <c r="G727" s="3" t="str">
        <f t="shared" si="11"/>
        <v>Overweight</v>
      </c>
      <c r="H727" t="s">
        <v>714</v>
      </c>
      <c r="I727" t="s">
        <v>24</v>
      </c>
      <c r="J727" t="s">
        <v>20</v>
      </c>
      <c r="K727" t="s">
        <v>22</v>
      </c>
      <c r="L727" t="s">
        <v>32</v>
      </c>
      <c r="M727" t="s">
        <v>19</v>
      </c>
      <c r="N727" t="s">
        <v>25</v>
      </c>
      <c r="O727" t="s">
        <v>20</v>
      </c>
      <c r="P727" t="s">
        <v>19</v>
      </c>
      <c r="Q727" t="s">
        <v>22</v>
      </c>
    </row>
    <row r="728" spans="1:17" x14ac:dyDescent="0.35">
      <c r="A728">
        <v>733</v>
      </c>
      <c r="B728">
        <v>67</v>
      </c>
      <c r="C728" t="s">
        <v>27</v>
      </c>
      <c r="D728">
        <v>176</v>
      </c>
      <c r="E728">
        <v>80</v>
      </c>
      <c r="F728" s="3">
        <v>20.919140193137299</v>
      </c>
      <c r="G728" s="3" t="str">
        <f t="shared" si="11"/>
        <v>Normal Weight</v>
      </c>
      <c r="H728" t="s">
        <v>643</v>
      </c>
      <c r="I728" t="s">
        <v>24</v>
      </c>
      <c r="J728" t="s">
        <v>19</v>
      </c>
      <c r="K728" t="s">
        <v>18</v>
      </c>
      <c r="L728" t="s">
        <v>29</v>
      </c>
      <c r="M728" t="s">
        <v>20</v>
      </c>
      <c r="N728" t="s">
        <v>25</v>
      </c>
      <c r="O728" t="s">
        <v>19</v>
      </c>
      <c r="P728" t="s">
        <v>19</v>
      </c>
      <c r="Q728" t="s">
        <v>40</v>
      </c>
    </row>
    <row r="729" spans="1:17" x14ac:dyDescent="0.35">
      <c r="A729">
        <v>734</v>
      </c>
      <c r="B729">
        <v>62</v>
      </c>
      <c r="C729" t="s">
        <v>27</v>
      </c>
      <c r="D729">
        <v>174</v>
      </c>
      <c r="E729">
        <v>63</v>
      </c>
      <c r="F729" s="3">
        <v>29.157810234880099</v>
      </c>
      <c r="G729" s="3" t="str">
        <f t="shared" si="11"/>
        <v>Overweight</v>
      </c>
      <c r="H729" t="s">
        <v>644</v>
      </c>
      <c r="I729" t="s">
        <v>18</v>
      </c>
      <c r="J729" t="s">
        <v>19</v>
      </c>
      <c r="K729" t="s">
        <v>18</v>
      </c>
      <c r="L729" t="s">
        <v>14</v>
      </c>
      <c r="M729" t="s">
        <v>20</v>
      </c>
      <c r="N729" t="s">
        <v>25</v>
      </c>
      <c r="O729" t="s">
        <v>19</v>
      </c>
      <c r="P729" t="s">
        <v>19</v>
      </c>
      <c r="Q729" t="s">
        <v>18</v>
      </c>
    </row>
    <row r="730" spans="1:17" x14ac:dyDescent="0.35">
      <c r="A730">
        <v>1261</v>
      </c>
      <c r="B730">
        <v>57</v>
      </c>
      <c r="C730" t="s">
        <v>27</v>
      </c>
      <c r="D730">
        <v>151</v>
      </c>
      <c r="E730">
        <v>72</v>
      </c>
      <c r="F730" s="3">
        <v>21.031312559419899</v>
      </c>
      <c r="G730" s="3" t="str">
        <f t="shared" si="11"/>
        <v>Normal Weight</v>
      </c>
      <c r="H730" t="s">
        <v>737</v>
      </c>
      <c r="I730" t="s">
        <v>24</v>
      </c>
      <c r="J730" t="s">
        <v>20</v>
      </c>
      <c r="K730" t="s">
        <v>22</v>
      </c>
      <c r="L730" t="s">
        <v>38</v>
      </c>
      <c r="M730" t="s">
        <v>20</v>
      </c>
      <c r="N730" t="s">
        <v>25</v>
      </c>
      <c r="O730" t="s">
        <v>20</v>
      </c>
      <c r="P730" t="s">
        <v>20</v>
      </c>
      <c r="Q730" t="s">
        <v>22</v>
      </c>
    </row>
    <row r="731" spans="1:17" x14ac:dyDescent="0.35">
      <c r="A731">
        <v>1301</v>
      </c>
      <c r="B731">
        <v>57</v>
      </c>
      <c r="C731" t="s">
        <v>16</v>
      </c>
      <c r="D731">
        <v>170</v>
      </c>
      <c r="E731">
        <v>72</v>
      </c>
      <c r="F731" s="3">
        <v>28.723112781646901</v>
      </c>
      <c r="G731" s="3" t="str">
        <f t="shared" si="11"/>
        <v>Overweight</v>
      </c>
      <c r="H731" t="s">
        <v>983</v>
      </c>
      <c r="I731" t="s">
        <v>31</v>
      </c>
      <c r="J731" t="s">
        <v>20</v>
      </c>
      <c r="K731" t="s">
        <v>22</v>
      </c>
      <c r="L731" t="s">
        <v>38</v>
      </c>
      <c r="M731" t="s">
        <v>19</v>
      </c>
      <c r="N731" t="s">
        <v>21</v>
      </c>
      <c r="O731" t="s">
        <v>20</v>
      </c>
      <c r="P731" t="s">
        <v>19</v>
      </c>
      <c r="Q731" t="s">
        <v>18</v>
      </c>
    </row>
    <row r="732" spans="1:17" x14ac:dyDescent="0.35">
      <c r="A732">
        <v>1364</v>
      </c>
      <c r="B732">
        <v>57</v>
      </c>
      <c r="C732" t="s">
        <v>16</v>
      </c>
      <c r="D732">
        <v>176</v>
      </c>
      <c r="E732">
        <v>90</v>
      </c>
      <c r="F732" s="3">
        <v>18.9834408112064</v>
      </c>
      <c r="G732" s="3" t="str">
        <f t="shared" si="11"/>
        <v>Normal Weight</v>
      </c>
      <c r="H732" t="s">
        <v>1011</v>
      </c>
      <c r="I732" t="s">
        <v>24</v>
      </c>
      <c r="J732" t="s">
        <v>19</v>
      </c>
      <c r="K732" t="s">
        <v>22</v>
      </c>
      <c r="L732" t="s">
        <v>29</v>
      </c>
      <c r="M732" t="s">
        <v>20</v>
      </c>
      <c r="N732" t="s">
        <v>25</v>
      </c>
      <c r="O732" t="s">
        <v>19</v>
      </c>
      <c r="P732" t="s">
        <v>19</v>
      </c>
      <c r="Q732" t="s">
        <v>40</v>
      </c>
    </row>
    <row r="733" spans="1:17" x14ac:dyDescent="0.35">
      <c r="A733">
        <v>738</v>
      </c>
      <c r="B733">
        <v>53</v>
      </c>
      <c r="C733" t="s">
        <v>16</v>
      </c>
      <c r="D733">
        <v>170</v>
      </c>
      <c r="E733">
        <v>66</v>
      </c>
      <c r="F733" s="3">
        <v>28.295796228494002</v>
      </c>
      <c r="G733" s="3" t="str">
        <f t="shared" si="11"/>
        <v>Overweight</v>
      </c>
      <c r="H733" t="s">
        <v>121</v>
      </c>
      <c r="I733" t="s">
        <v>31</v>
      </c>
      <c r="J733" t="s">
        <v>19</v>
      </c>
      <c r="K733" t="s">
        <v>18</v>
      </c>
      <c r="L733" t="s">
        <v>14</v>
      </c>
      <c r="M733" t="s">
        <v>20</v>
      </c>
      <c r="N733" t="s">
        <v>25</v>
      </c>
      <c r="O733" t="s">
        <v>19</v>
      </c>
      <c r="P733" t="s">
        <v>19</v>
      </c>
      <c r="Q733" t="s">
        <v>18</v>
      </c>
    </row>
    <row r="734" spans="1:17" x14ac:dyDescent="0.35">
      <c r="A734">
        <v>740</v>
      </c>
      <c r="B734">
        <v>38</v>
      </c>
      <c r="C734" t="s">
        <v>16</v>
      </c>
      <c r="D734">
        <v>186</v>
      </c>
      <c r="E734">
        <v>72</v>
      </c>
      <c r="F734" s="3">
        <v>23.606132511361999</v>
      </c>
      <c r="G734" s="3" t="str">
        <f t="shared" si="11"/>
        <v>Normal Weight</v>
      </c>
      <c r="H734" t="s">
        <v>236</v>
      </c>
      <c r="I734" t="s">
        <v>18</v>
      </c>
      <c r="J734" t="s">
        <v>19</v>
      </c>
      <c r="K734" t="s">
        <v>18</v>
      </c>
      <c r="L734" t="s">
        <v>14</v>
      </c>
      <c r="M734" t="s">
        <v>20</v>
      </c>
      <c r="N734" t="s">
        <v>21</v>
      </c>
      <c r="O734" t="s">
        <v>20</v>
      </c>
      <c r="P734" t="s">
        <v>20</v>
      </c>
      <c r="Q734" t="s">
        <v>40</v>
      </c>
    </row>
    <row r="735" spans="1:17" x14ac:dyDescent="0.35">
      <c r="A735">
        <v>741</v>
      </c>
      <c r="B735">
        <v>78</v>
      </c>
      <c r="C735" t="s">
        <v>27</v>
      </c>
      <c r="D735">
        <v>182</v>
      </c>
      <c r="E735">
        <v>63</v>
      </c>
      <c r="F735" s="3">
        <v>25.891532330306099</v>
      </c>
      <c r="G735" s="3" t="str">
        <f t="shared" si="11"/>
        <v>Overweight</v>
      </c>
      <c r="H735" t="s">
        <v>648</v>
      </c>
      <c r="I735" t="s">
        <v>18</v>
      </c>
      <c r="J735" t="s">
        <v>20</v>
      </c>
      <c r="K735" t="s">
        <v>40</v>
      </c>
      <c r="L735" t="s">
        <v>29</v>
      </c>
      <c r="M735" t="s">
        <v>20</v>
      </c>
      <c r="N735" t="s">
        <v>21</v>
      </c>
      <c r="O735" t="s">
        <v>20</v>
      </c>
      <c r="P735" t="s">
        <v>19</v>
      </c>
      <c r="Q735" t="s">
        <v>22</v>
      </c>
    </row>
    <row r="736" spans="1:17" x14ac:dyDescent="0.35">
      <c r="A736">
        <v>1443</v>
      </c>
      <c r="B736">
        <v>57</v>
      </c>
      <c r="C736" t="s">
        <v>16</v>
      </c>
      <c r="D736">
        <v>165</v>
      </c>
      <c r="E736">
        <v>88</v>
      </c>
      <c r="F736" s="3">
        <v>25.769951381976298</v>
      </c>
      <c r="G736" s="3" t="str">
        <f t="shared" si="11"/>
        <v>Overweight</v>
      </c>
      <c r="H736" t="s">
        <v>788</v>
      </c>
      <c r="I736" t="s">
        <v>24</v>
      </c>
      <c r="J736" t="s">
        <v>19</v>
      </c>
      <c r="K736" t="s">
        <v>22</v>
      </c>
      <c r="L736" t="s">
        <v>38</v>
      </c>
      <c r="M736" t="s">
        <v>19</v>
      </c>
      <c r="N736" t="s">
        <v>25</v>
      </c>
      <c r="O736" t="s">
        <v>19</v>
      </c>
      <c r="P736" t="s">
        <v>20</v>
      </c>
      <c r="Q736" t="s">
        <v>18</v>
      </c>
    </row>
    <row r="737" spans="1:17" x14ac:dyDescent="0.35">
      <c r="A737">
        <v>742</v>
      </c>
      <c r="B737">
        <v>74</v>
      </c>
      <c r="C737" t="s">
        <v>16</v>
      </c>
      <c r="D737">
        <v>173</v>
      </c>
      <c r="E737">
        <v>56</v>
      </c>
      <c r="F737" s="3">
        <v>25.190282659451899</v>
      </c>
      <c r="G737" s="3" t="str">
        <f t="shared" si="11"/>
        <v>Overweight</v>
      </c>
      <c r="H737" t="s">
        <v>649</v>
      </c>
      <c r="I737" t="s">
        <v>18</v>
      </c>
      <c r="J737" t="s">
        <v>19</v>
      </c>
      <c r="K737" t="s">
        <v>40</v>
      </c>
      <c r="L737" t="s">
        <v>14</v>
      </c>
      <c r="M737" t="s">
        <v>20</v>
      </c>
      <c r="N737" t="s">
        <v>25</v>
      </c>
      <c r="O737" t="s">
        <v>19</v>
      </c>
      <c r="P737" t="s">
        <v>19</v>
      </c>
      <c r="Q737" t="s">
        <v>22</v>
      </c>
    </row>
    <row r="738" spans="1:17" x14ac:dyDescent="0.35">
      <c r="A738">
        <v>743</v>
      </c>
      <c r="B738">
        <v>53</v>
      </c>
      <c r="C738" t="s">
        <v>16</v>
      </c>
      <c r="D738">
        <v>160</v>
      </c>
      <c r="E738">
        <v>95</v>
      </c>
      <c r="F738" s="3">
        <v>34.737476155447403</v>
      </c>
      <c r="G738" s="3" t="str">
        <f t="shared" si="11"/>
        <v>Obese</v>
      </c>
      <c r="H738" t="s">
        <v>650</v>
      </c>
      <c r="I738" t="s">
        <v>18</v>
      </c>
      <c r="J738" t="s">
        <v>20</v>
      </c>
      <c r="K738" t="s">
        <v>18</v>
      </c>
      <c r="L738" t="s">
        <v>29</v>
      </c>
      <c r="M738" t="s">
        <v>19</v>
      </c>
      <c r="N738" t="s">
        <v>21</v>
      </c>
      <c r="O738" t="s">
        <v>20</v>
      </c>
      <c r="P738" t="s">
        <v>19</v>
      </c>
      <c r="Q738" t="s">
        <v>40</v>
      </c>
    </row>
    <row r="739" spans="1:17" x14ac:dyDescent="0.35">
      <c r="A739">
        <v>744</v>
      </c>
      <c r="B739">
        <v>27</v>
      </c>
      <c r="C739" t="s">
        <v>16</v>
      </c>
      <c r="D739">
        <v>166</v>
      </c>
      <c r="E739">
        <v>81</v>
      </c>
      <c r="F739" s="3">
        <v>23.322107786199901</v>
      </c>
      <c r="G739" s="3" t="str">
        <f t="shared" si="11"/>
        <v>Normal Weight</v>
      </c>
      <c r="H739" t="s">
        <v>651</v>
      </c>
      <c r="I739" t="s">
        <v>24</v>
      </c>
      <c r="J739" t="s">
        <v>19</v>
      </c>
      <c r="K739" t="s">
        <v>18</v>
      </c>
      <c r="L739" t="s">
        <v>14</v>
      </c>
      <c r="M739" t="s">
        <v>20</v>
      </c>
      <c r="N739" t="s">
        <v>21</v>
      </c>
      <c r="O739" t="s">
        <v>19</v>
      </c>
      <c r="P739" t="s">
        <v>19</v>
      </c>
      <c r="Q739" t="s">
        <v>40</v>
      </c>
    </row>
    <row r="740" spans="1:17" x14ac:dyDescent="0.35">
      <c r="A740">
        <v>745</v>
      </c>
      <c r="B740">
        <v>54</v>
      </c>
      <c r="C740" t="s">
        <v>27</v>
      </c>
      <c r="D740">
        <v>153</v>
      </c>
      <c r="E740">
        <v>64</v>
      </c>
      <c r="F740" s="3">
        <v>23.3644844327216</v>
      </c>
      <c r="G740" s="3" t="str">
        <f t="shared" si="11"/>
        <v>Normal Weight</v>
      </c>
      <c r="H740" t="s">
        <v>161</v>
      </c>
      <c r="I740" t="s">
        <v>18</v>
      </c>
      <c r="J740" t="s">
        <v>19</v>
      </c>
      <c r="K740" t="s">
        <v>18</v>
      </c>
      <c r="L740" t="s">
        <v>29</v>
      </c>
      <c r="M740" t="s">
        <v>19</v>
      </c>
      <c r="N740" t="s">
        <v>25</v>
      </c>
      <c r="O740" t="s">
        <v>20</v>
      </c>
      <c r="P740" t="s">
        <v>19</v>
      </c>
      <c r="Q740" t="s">
        <v>40</v>
      </c>
    </row>
    <row r="741" spans="1:17" x14ac:dyDescent="0.35">
      <c r="A741">
        <v>746</v>
      </c>
      <c r="B741">
        <v>26</v>
      </c>
      <c r="C741" t="s">
        <v>27</v>
      </c>
      <c r="D741">
        <v>174</v>
      </c>
      <c r="E741">
        <v>93</v>
      </c>
      <c r="F741" s="3">
        <v>24.350045445671999</v>
      </c>
      <c r="G741" s="3" t="str">
        <f t="shared" si="11"/>
        <v>Normal Weight</v>
      </c>
      <c r="H741" t="s">
        <v>652</v>
      </c>
      <c r="I741" t="s">
        <v>18</v>
      </c>
      <c r="J741" t="s">
        <v>20</v>
      </c>
      <c r="K741" t="s">
        <v>18</v>
      </c>
      <c r="L741" t="s">
        <v>14</v>
      </c>
      <c r="M741" t="s">
        <v>20</v>
      </c>
      <c r="N741" t="s">
        <v>25</v>
      </c>
      <c r="O741" t="s">
        <v>20</v>
      </c>
      <c r="P741" t="s">
        <v>19</v>
      </c>
      <c r="Q741" t="s">
        <v>40</v>
      </c>
    </row>
    <row r="742" spans="1:17" x14ac:dyDescent="0.35">
      <c r="A742">
        <v>1576</v>
      </c>
      <c r="B742">
        <v>57</v>
      </c>
      <c r="C742" t="s">
        <v>27</v>
      </c>
      <c r="D742">
        <v>181</v>
      </c>
      <c r="E742">
        <v>57</v>
      </c>
      <c r="F742" s="3">
        <v>33.376915286524898</v>
      </c>
      <c r="G742" s="3" t="str">
        <f t="shared" si="11"/>
        <v>Obese</v>
      </c>
      <c r="H742" t="s">
        <v>760</v>
      </c>
      <c r="I742" t="s">
        <v>24</v>
      </c>
      <c r="J742" t="s">
        <v>20</v>
      </c>
      <c r="K742" t="s">
        <v>22</v>
      </c>
      <c r="L742" t="s">
        <v>14</v>
      </c>
      <c r="M742" t="s">
        <v>19</v>
      </c>
      <c r="N742" t="s">
        <v>21</v>
      </c>
      <c r="O742" t="s">
        <v>19</v>
      </c>
      <c r="P742" t="s">
        <v>20</v>
      </c>
      <c r="Q742" t="s">
        <v>18</v>
      </c>
    </row>
    <row r="743" spans="1:17" x14ac:dyDescent="0.35">
      <c r="A743">
        <v>1635</v>
      </c>
      <c r="B743">
        <v>57</v>
      </c>
      <c r="C743" t="s">
        <v>27</v>
      </c>
      <c r="D743">
        <v>171</v>
      </c>
      <c r="E743">
        <v>54</v>
      </c>
      <c r="F743" s="3">
        <v>25.990320745289601</v>
      </c>
      <c r="G743" s="3" t="str">
        <f t="shared" si="11"/>
        <v>Overweight</v>
      </c>
      <c r="H743" t="s">
        <v>662</v>
      </c>
      <c r="I743" t="s">
        <v>18</v>
      </c>
      <c r="J743" t="s">
        <v>20</v>
      </c>
      <c r="K743" t="s">
        <v>22</v>
      </c>
      <c r="L743" t="s">
        <v>38</v>
      </c>
      <c r="M743" t="s">
        <v>19</v>
      </c>
      <c r="N743" t="s">
        <v>21</v>
      </c>
      <c r="O743" t="s">
        <v>20</v>
      </c>
      <c r="P743" t="s">
        <v>20</v>
      </c>
      <c r="Q743" t="s">
        <v>22</v>
      </c>
    </row>
    <row r="744" spans="1:17" x14ac:dyDescent="0.35">
      <c r="A744">
        <v>1656</v>
      </c>
      <c r="B744">
        <v>57</v>
      </c>
      <c r="C744" t="s">
        <v>16</v>
      </c>
      <c r="D744">
        <v>170</v>
      </c>
      <c r="E744">
        <v>67</v>
      </c>
      <c r="F744" s="3">
        <v>31.107577178551502</v>
      </c>
      <c r="G744" s="3" t="str">
        <f t="shared" si="11"/>
        <v>Obese</v>
      </c>
      <c r="H744" t="s">
        <v>795</v>
      </c>
      <c r="I744" t="s">
        <v>24</v>
      </c>
      <c r="J744" t="s">
        <v>19</v>
      </c>
      <c r="K744" t="s">
        <v>22</v>
      </c>
      <c r="L744" t="s">
        <v>32</v>
      </c>
      <c r="M744" t="s">
        <v>19</v>
      </c>
      <c r="N744" t="s">
        <v>25</v>
      </c>
      <c r="O744" t="s">
        <v>20</v>
      </c>
      <c r="P744" t="s">
        <v>20</v>
      </c>
      <c r="Q744" t="s">
        <v>40</v>
      </c>
    </row>
    <row r="745" spans="1:17" x14ac:dyDescent="0.35">
      <c r="A745">
        <v>748</v>
      </c>
      <c r="B745">
        <v>52</v>
      </c>
      <c r="C745" t="s">
        <v>27</v>
      </c>
      <c r="D745">
        <v>158</v>
      </c>
      <c r="E745">
        <v>90</v>
      </c>
      <c r="F745" s="3">
        <v>22.6633252803517</v>
      </c>
      <c r="G745" s="3" t="str">
        <f t="shared" si="11"/>
        <v>Normal Weight</v>
      </c>
      <c r="H745" t="s">
        <v>654</v>
      </c>
      <c r="I745" t="s">
        <v>24</v>
      </c>
      <c r="J745" t="s">
        <v>20</v>
      </c>
      <c r="K745" t="s">
        <v>18</v>
      </c>
      <c r="L745" t="s">
        <v>29</v>
      </c>
      <c r="M745" t="s">
        <v>19</v>
      </c>
      <c r="N745" t="s">
        <v>21</v>
      </c>
      <c r="O745" t="s">
        <v>20</v>
      </c>
      <c r="P745" t="s">
        <v>19</v>
      </c>
      <c r="Q745" t="s">
        <v>22</v>
      </c>
    </row>
    <row r="746" spans="1:17" x14ac:dyDescent="0.35">
      <c r="A746">
        <v>750</v>
      </c>
      <c r="B746">
        <v>52</v>
      </c>
      <c r="C746" t="s">
        <v>16</v>
      </c>
      <c r="D746">
        <v>169</v>
      </c>
      <c r="E746">
        <v>93</v>
      </c>
      <c r="F746" s="3">
        <v>22.8838118202933</v>
      </c>
      <c r="G746" s="3" t="str">
        <f t="shared" si="11"/>
        <v>Normal Weight</v>
      </c>
      <c r="H746" t="s">
        <v>655</v>
      </c>
      <c r="I746" t="s">
        <v>31</v>
      </c>
      <c r="J746" t="s">
        <v>20</v>
      </c>
      <c r="K746" t="s">
        <v>18</v>
      </c>
      <c r="L746" t="s">
        <v>29</v>
      </c>
      <c r="M746" t="s">
        <v>20</v>
      </c>
      <c r="N746" t="s">
        <v>25</v>
      </c>
      <c r="O746" t="s">
        <v>20</v>
      </c>
      <c r="P746" t="s">
        <v>19</v>
      </c>
      <c r="Q746" t="s">
        <v>18</v>
      </c>
    </row>
    <row r="747" spans="1:17" x14ac:dyDescent="0.35">
      <c r="A747">
        <v>751</v>
      </c>
      <c r="B747">
        <v>65</v>
      </c>
      <c r="C747" t="s">
        <v>27</v>
      </c>
      <c r="D747">
        <v>168</v>
      </c>
      <c r="E747">
        <v>83</v>
      </c>
      <c r="F747" s="3">
        <v>33.2809595707432</v>
      </c>
      <c r="G747" s="3" t="str">
        <f t="shared" si="11"/>
        <v>Obese</v>
      </c>
      <c r="H747" t="s">
        <v>656</v>
      </c>
      <c r="I747" t="s">
        <v>31</v>
      </c>
      <c r="J747" t="s">
        <v>19</v>
      </c>
      <c r="K747" t="s">
        <v>18</v>
      </c>
      <c r="L747" t="s">
        <v>29</v>
      </c>
      <c r="M747" t="s">
        <v>20</v>
      </c>
      <c r="N747" t="s">
        <v>21</v>
      </c>
      <c r="O747" t="s">
        <v>19</v>
      </c>
      <c r="P747" t="s">
        <v>20</v>
      </c>
      <c r="Q747" t="s">
        <v>18</v>
      </c>
    </row>
    <row r="748" spans="1:17" x14ac:dyDescent="0.35">
      <c r="A748">
        <v>752</v>
      </c>
      <c r="B748">
        <v>53</v>
      </c>
      <c r="C748" t="s">
        <v>27</v>
      </c>
      <c r="D748">
        <v>168</v>
      </c>
      <c r="E748">
        <v>54</v>
      </c>
      <c r="F748" s="3">
        <v>20.2073385501686</v>
      </c>
      <c r="G748" s="3" t="str">
        <f t="shared" si="11"/>
        <v>Normal Weight</v>
      </c>
      <c r="H748" t="s">
        <v>657</v>
      </c>
      <c r="I748" t="s">
        <v>18</v>
      </c>
      <c r="J748" t="s">
        <v>20</v>
      </c>
      <c r="K748" t="s">
        <v>18</v>
      </c>
      <c r="L748" t="s">
        <v>29</v>
      </c>
      <c r="M748" t="s">
        <v>19</v>
      </c>
      <c r="N748" t="s">
        <v>21</v>
      </c>
      <c r="O748" t="s">
        <v>19</v>
      </c>
      <c r="P748" t="s">
        <v>19</v>
      </c>
      <c r="Q748" t="s">
        <v>18</v>
      </c>
    </row>
    <row r="749" spans="1:17" x14ac:dyDescent="0.35">
      <c r="A749">
        <v>1899</v>
      </c>
      <c r="B749">
        <v>57</v>
      </c>
      <c r="C749" t="s">
        <v>27</v>
      </c>
      <c r="D749">
        <v>187</v>
      </c>
      <c r="E749">
        <v>86</v>
      </c>
      <c r="F749" s="3">
        <v>18.820120552700502</v>
      </c>
      <c r="G749" s="3" t="str">
        <f t="shared" si="11"/>
        <v>Normal Weight</v>
      </c>
      <c r="H749" t="s">
        <v>968</v>
      </c>
      <c r="I749" t="s">
        <v>24</v>
      </c>
      <c r="J749" t="s">
        <v>20</v>
      </c>
      <c r="K749" t="s">
        <v>22</v>
      </c>
      <c r="L749" t="s">
        <v>14</v>
      </c>
      <c r="M749" t="s">
        <v>19</v>
      </c>
      <c r="N749" t="s">
        <v>21</v>
      </c>
      <c r="O749" t="s">
        <v>19</v>
      </c>
      <c r="P749" t="s">
        <v>19</v>
      </c>
      <c r="Q749" t="s">
        <v>40</v>
      </c>
    </row>
    <row r="750" spans="1:17" x14ac:dyDescent="0.35">
      <c r="A750">
        <v>1905</v>
      </c>
      <c r="B750">
        <v>57</v>
      </c>
      <c r="C750" t="s">
        <v>16</v>
      </c>
      <c r="D750">
        <v>188</v>
      </c>
      <c r="E750">
        <v>73</v>
      </c>
      <c r="F750" s="3">
        <v>19.686460835721299</v>
      </c>
      <c r="G750" s="3" t="str">
        <f t="shared" si="11"/>
        <v>Normal Weight</v>
      </c>
      <c r="H750" t="s">
        <v>70</v>
      </c>
      <c r="I750" t="s">
        <v>18</v>
      </c>
      <c r="J750" t="s">
        <v>20</v>
      </c>
      <c r="K750" t="s">
        <v>22</v>
      </c>
      <c r="L750" t="s">
        <v>14</v>
      </c>
      <c r="M750" t="s">
        <v>19</v>
      </c>
      <c r="N750" t="s">
        <v>25</v>
      </c>
      <c r="O750" t="s">
        <v>20</v>
      </c>
      <c r="P750" t="s">
        <v>20</v>
      </c>
      <c r="Q750" t="s">
        <v>40</v>
      </c>
    </row>
    <row r="751" spans="1:17" x14ac:dyDescent="0.35">
      <c r="A751">
        <v>754</v>
      </c>
      <c r="B751">
        <v>66</v>
      </c>
      <c r="C751" t="s">
        <v>16</v>
      </c>
      <c r="D751">
        <v>186</v>
      </c>
      <c r="E751">
        <v>76</v>
      </c>
      <c r="F751" s="3">
        <v>33.465261054231</v>
      </c>
      <c r="G751" s="3" t="str">
        <f t="shared" si="11"/>
        <v>Obese</v>
      </c>
      <c r="H751" t="s">
        <v>658</v>
      </c>
      <c r="I751" t="s">
        <v>18</v>
      </c>
      <c r="J751" t="s">
        <v>20</v>
      </c>
      <c r="K751" t="s">
        <v>18</v>
      </c>
      <c r="L751" t="s">
        <v>14</v>
      </c>
      <c r="M751" t="s">
        <v>20</v>
      </c>
      <c r="N751" t="s">
        <v>21</v>
      </c>
      <c r="O751" t="s">
        <v>20</v>
      </c>
      <c r="P751" t="s">
        <v>20</v>
      </c>
      <c r="Q751" t="s">
        <v>22</v>
      </c>
    </row>
    <row r="752" spans="1:17" x14ac:dyDescent="0.35">
      <c r="A752">
        <v>755</v>
      </c>
      <c r="B752">
        <v>56</v>
      </c>
      <c r="C752" t="s">
        <v>27</v>
      </c>
      <c r="D752">
        <v>166</v>
      </c>
      <c r="E752">
        <v>72</v>
      </c>
      <c r="F752" s="3">
        <v>21.284365733570699</v>
      </c>
      <c r="G752" s="3" t="str">
        <f t="shared" si="11"/>
        <v>Normal Weight</v>
      </c>
      <c r="H752" t="s">
        <v>659</v>
      </c>
      <c r="I752" t="s">
        <v>31</v>
      </c>
      <c r="J752" t="s">
        <v>20</v>
      </c>
      <c r="K752" t="s">
        <v>18</v>
      </c>
      <c r="L752" t="s">
        <v>32</v>
      </c>
      <c r="M752" t="s">
        <v>20</v>
      </c>
      <c r="N752" t="s">
        <v>25</v>
      </c>
      <c r="O752" t="s">
        <v>20</v>
      </c>
      <c r="P752" t="s">
        <v>19</v>
      </c>
      <c r="Q752" t="s">
        <v>22</v>
      </c>
    </row>
    <row r="753" spans="1:17" x14ac:dyDescent="0.35">
      <c r="A753">
        <v>151</v>
      </c>
      <c r="B753">
        <v>56</v>
      </c>
      <c r="C753" t="s">
        <v>16</v>
      </c>
      <c r="D753">
        <v>184</v>
      </c>
      <c r="E753">
        <v>70</v>
      </c>
      <c r="F753" s="3">
        <v>24.5521722906634</v>
      </c>
      <c r="G753" s="3" t="str">
        <f t="shared" si="11"/>
        <v>Normal Weight</v>
      </c>
      <c r="H753" t="s">
        <v>108</v>
      </c>
      <c r="I753" t="s">
        <v>31</v>
      </c>
      <c r="J753" t="s">
        <v>20</v>
      </c>
      <c r="K753" t="s">
        <v>22</v>
      </c>
      <c r="L753" t="s">
        <v>32</v>
      </c>
      <c r="M753" t="s">
        <v>19</v>
      </c>
      <c r="N753" t="s">
        <v>25</v>
      </c>
      <c r="O753" t="s">
        <v>19</v>
      </c>
      <c r="P753" t="s">
        <v>20</v>
      </c>
      <c r="Q753" t="s">
        <v>18</v>
      </c>
    </row>
    <row r="754" spans="1:17" x14ac:dyDescent="0.35">
      <c r="A754">
        <v>760</v>
      </c>
      <c r="B754">
        <v>49</v>
      </c>
      <c r="C754" t="s">
        <v>16</v>
      </c>
      <c r="D754">
        <v>167</v>
      </c>
      <c r="E754">
        <v>82</v>
      </c>
      <c r="F754" s="3">
        <v>23.476183352913601</v>
      </c>
      <c r="G754" s="3" t="str">
        <f t="shared" si="11"/>
        <v>Normal Weight</v>
      </c>
      <c r="H754" t="s">
        <v>663</v>
      </c>
      <c r="I754" t="s">
        <v>31</v>
      </c>
      <c r="J754" t="s">
        <v>19</v>
      </c>
      <c r="K754" t="s">
        <v>18</v>
      </c>
      <c r="L754" t="s">
        <v>32</v>
      </c>
      <c r="M754" t="s">
        <v>20</v>
      </c>
      <c r="N754" t="s">
        <v>21</v>
      </c>
      <c r="O754" t="s">
        <v>20</v>
      </c>
      <c r="P754" t="s">
        <v>19</v>
      </c>
      <c r="Q754" t="s">
        <v>22</v>
      </c>
    </row>
    <row r="755" spans="1:17" x14ac:dyDescent="0.35">
      <c r="A755">
        <v>195</v>
      </c>
      <c r="B755">
        <v>56</v>
      </c>
      <c r="C755" t="s">
        <v>27</v>
      </c>
      <c r="D755">
        <v>167</v>
      </c>
      <c r="E755">
        <v>51</v>
      </c>
      <c r="F755" s="3">
        <v>23.609913233235599</v>
      </c>
      <c r="G755" s="3" t="str">
        <f t="shared" si="11"/>
        <v>Normal Weight</v>
      </c>
      <c r="H755" t="s">
        <v>213</v>
      </c>
      <c r="I755" t="s">
        <v>18</v>
      </c>
      <c r="J755" t="s">
        <v>20</v>
      </c>
      <c r="K755" t="s">
        <v>22</v>
      </c>
      <c r="L755" t="s">
        <v>32</v>
      </c>
      <c r="M755" t="s">
        <v>19</v>
      </c>
      <c r="N755" t="s">
        <v>21</v>
      </c>
      <c r="O755" t="s">
        <v>20</v>
      </c>
      <c r="P755" t="s">
        <v>19</v>
      </c>
      <c r="Q755" t="s">
        <v>40</v>
      </c>
    </row>
    <row r="756" spans="1:17" x14ac:dyDescent="0.35">
      <c r="A756">
        <v>204</v>
      </c>
      <c r="B756">
        <v>56</v>
      </c>
      <c r="C756" t="s">
        <v>16</v>
      </c>
      <c r="D756">
        <v>185</v>
      </c>
      <c r="E756">
        <v>75</v>
      </c>
      <c r="F756" s="3">
        <v>22.225527610485301</v>
      </c>
      <c r="G756" s="3" t="str">
        <f t="shared" si="11"/>
        <v>Normal Weight</v>
      </c>
      <c r="H756" t="s">
        <v>221</v>
      </c>
      <c r="I756" t="s">
        <v>24</v>
      </c>
      <c r="J756" t="s">
        <v>20</v>
      </c>
      <c r="K756" t="s">
        <v>22</v>
      </c>
      <c r="L756" t="s">
        <v>29</v>
      </c>
      <c r="M756" t="s">
        <v>20</v>
      </c>
      <c r="N756" t="s">
        <v>25</v>
      </c>
      <c r="O756" t="s">
        <v>19</v>
      </c>
      <c r="P756" t="s">
        <v>20</v>
      </c>
      <c r="Q756" t="s">
        <v>18</v>
      </c>
    </row>
    <row r="757" spans="1:17" x14ac:dyDescent="0.35">
      <c r="A757">
        <v>236</v>
      </c>
      <c r="B757">
        <v>56</v>
      </c>
      <c r="C757" t="s">
        <v>16</v>
      </c>
      <c r="D757">
        <v>182</v>
      </c>
      <c r="E757">
        <v>96</v>
      </c>
      <c r="F757" s="3">
        <v>30.0633388970287</v>
      </c>
      <c r="G757" s="3" t="str">
        <f t="shared" si="11"/>
        <v>Obese</v>
      </c>
      <c r="H757" t="s">
        <v>191</v>
      </c>
      <c r="I757" t="s">
        <v>24</v>
      </c>
      <c r="J757" t="s">
        <v>19</v>
      </c>
      <c r="K757" t="s">
        <v>22</v>
      </c>
      <c r="L757" t="s">
        <v>38</v>
      </c>
      <c r="M757" t="s">
        <v>20</v>
      </c>
      <c r="N757" t="s">
        <v>25</v>
      </c>
      <c r="O757" t="s">
        <v>19</v>
      </c>
      <c r="P757" t="s">
        <v>20</v>
      </c>
      <c r="Q757" t="s">
        <v>22</v>
      </c>
    </row>
    <row r="758" spans="1:17" x14ac:dyDescent="0.35">
      <c r="A758">
        <v>248</v>
      </c>
      <c r="B758">
        <v>56</v>
      </c>
      <c r="C758" t="s">
        <v>27</v>
      </c>
      <c r="D758">
        <v>171</v>
      </c>
      <c r="E758">
        <v>84</v>
      </c>
      <c r="F758" s="3">
        <v>30.3416566035927</v>
      </c>
      <c r="G758" s="3" t="str">
        <f t="shared" si="11"/>
        <v>Obese</v>
      </c>
      <c r="H758" t="s">
        <v>260</v>
      </c>
      <c r="I758" t="s">
        <v>24</v>
      </c>
      <c r="J758" t="s">
        <v>20</v>
      </c>
      <c r="K758" t="s">
        <v>22</v>
      </c>
      <c r="L758" t="s">
        <v>32</v>
      </c>
      <c r="M758" t="s">
        <v>20</v>
      </c>
      <c r="N758" t="s">
        <v>25</v>
      </c>
      <c r="O758" t="s">
        <v>19</v>
      </c>
      <c r="P758" t="s">
        <v>19</v>
      </c>
      <c r="Q758" t="s">
        <v>22</v>
      </c>
    </row>
    <row r="759" spans="1:17" x14ac:dyDescent="0.35">
      <c r="A759">
        <v>761</v>
      </c>
      <c r="B759">
        <v>54</v>
      </c>
      <c r="C759" t="s">
        <v>16</v>
      </c>
      <c r="D759">
        <v>163</v>
      </c>
      <c r="E759">
        <v>80</v>
      </c>
      <c r="F759" s="3">
        <v>21.606991661132199</v>
      </c>
      <c r="G759" s="3" t="str">
        <f t="shared" si="11"/>
        <v>Normal Weight</v>
      </c>
      <c r="H759" t="s">
        <v>664</v>
      </c>
      <c r="I759" t="s">
        <v>18</v>
      </c>
      <c r="J759" t="s">
        <v>20</v>
      </c>
      <c r="K759" t="s">
        <v>18</v>
      </c>
      <c r="L759" t="s">
        <v>32</v>
      </c>
      <c r="M759" t="s">
        <v>20</v>
      </c>
      <c r="N759" t="s">
        <v>25</v>
      </c>
      <c r="O759" t="s">
        <v>19</v>
      </c>
      <c r="P759" t="s">
        <v>20</v>
      </c>
      <c r="Q759" t="s">
        <v>18</v>
      </c>
    </row>
    <row r="760" spans="1:17" x14ac:dyDescent="0.35">
      <c r="A760">
        <v>343</v>
      </c>
      <c r="B760">
        <v>56</v>
      </c>
      <c r="C760" t="s">
        <v>16</v>
      </c>
      <c r="D760">
        <v>189</v>
      </c>
      <c r="E760">
        <v>84</v>
      </c>
      <c r="F760" s="3">
        <v>25.5678047093859</v>
      </c>
      <c r="G760" s="3" t="str">
        <f t="shared" si="11"/>
        <v>Overweight</v>
      </c>
      <c r="H760" t="s">
        <v>260</v>
      </c>
      <c r="I760" t="s">
        <v>18</v>
      </c>
      <c r="J760" t="s">
        <v>20</v>
      </c>
      <c r="K760" t="s">
        <v>22</v>
      </c>
      <c r="L760" t="s">
        <v>38</v>
      </c>
      <c r="M760" t="s">
        <v>19</v>
      </c>
      <c r="N760" t="s">
        <v>25</v>
      </c>
      <c r="O760" t="s">
        <v>20</v>
      </c>
      <c r="P760" t="s">
        <v>20</v>
      </c>
      <c r="Q760" t="s">
        <v>18</v>
      </c>
    </row>
    <row r="761" spans="1:17" x14ac:dyDescent="0.35">
      <c r="A761">
        <v>763</v>
      </c>
      <c r="B761">
        <v>66</v>
      </c>
      <c r="C761" t="s">
        <v>27</v>
      </c>
      <c r="D761">
        <v>156</v>
      </c>
      <c r="E761">
        <v>66</v>
      </c>
      <c r="F761" s="3">
        <v>20.0347872528341</v>
      </c>
      <c r="G761" s="3" t="str">
        <f t="shared" si="11"/>
        <v>Normal Weight</v>
      </c>
      <c r="H761" t="s">
        <v>665</v>
      </c>
      <c r="I761" t="s">
        <v>24</v>
      </c>
      <c r="J761" t="s">
        <v>19</v>
      </c>
      <c r="K761" t="s">
        <v>18</v>
      </c>
      <c r="L761" t="s">
        <v>29</v>
      </c>
      <c r="M761" t="s">
        <v>19</v>
      </c>
      <c r="N761" t="s">
        <v>25</v>
      </c>
      <c r="O761" t="s">
        <v>19</v>
      </c>
      <c r="P761" t="s">
        <v>19</v>
      </c>
      <c r="Q761" t="s">
        <v>40</v>
      </c>
    </row>
    <row r="762" spans="1:17" x14ac:dyDescent="0.35">
      <c r="A762">
        <v>767</v>
      </c>
      <c r="B762">
        <v>42</v>
      </c>
      <c r="C762" t="s">
        <v>16</v>
      </c>
      <c r="D762">
        <v>162</v>
      </c>
      <c r="E762">
        <v>72</v>
      </c>
      <c r="F762" s="3">
        <v>31.6270432082501</v>
      </c>
      <c r="G762" s="3" t="str">
        <f t="shared" si="11"/>
        <v>Obese</v>
      </c>
      <c r="H762" t="s">
        <v>46</v>
      </c>
      <c r="I762" t="s">
        <v>24</v>
      </c>
      <c r="J762" t="s">
        <v>19</v>
      </c>
      <c r="K762" t="s">
        <v>18</v>
      </c>
      <c r="L762" t="s">
        <v>29</v>
      </c>
      <c r="M762" t="s">
        <v>19</v>
      </c>
      <c r="N762" t="s">
        <v>21</v>
      </c>
      <c r="O762" t="s">
        <v>20</v>
      </c>
      <c r="P762" t="s">
        <v>20</v>
      </c>
      <c r="Q762" t="s">
        <v>22</v>
      </c>
    </row>
    <row r="763" spans="1:17" x14ac:dyDescent="0.35">
      <c r="A763">
        <v>769</v>
      </c>
      <c r="B763">
        <v>58</v>
      </c>
      <c r="C763" t="s">
        <v>16</v>
      </c>
      <c r="D763">
        <v>180</v>
      </c>
      <c r="E763">
        <v>89</v>
      </c>
      <c r="F763" s="3">
        <v>20.650287147343501</v>
      </c>
      <c r="G763" s="3" t="str">
        <f t="shared" si="11"/>
        <v>Normal Weight</v>
      </c>
      <c r="H763" t="s">
        <v>669</v>
      </c>
      <c r="I763" t="s">
        <v>18</v>
      </c>
      <c r="J763" t="s">
        <v>19</v>
      </c>
      <c r="K763" t="s">
        <v>18</v>
      </c>
      <c r="L763" t="s">
        <v>14</v>
      </c>
      <c r="M763" t="s">
        <v>20</v>
      </c>
      <c r="N763" t="s">
        <v>21</v>
      </c>
      <c r="O763" t="s">
        <v>20</v>
      </c>
      <c r="P763" t="s">
        <v>20</v>
      </c>
      <c r="Q763" t="s">
        <v>22</v>
      </c>
    </row>
    <row r="764" spans="1:17" x14ac:dyDescent="0.35">
      <c r="A764">
        <v>770</v>
      </c>
      <c r="B764">
        <v>47</v>
      </c>
      <c r="C764" t="s">
        <v>16</v>
      </c>
      <c r="D764">
        <v>151</v>
      </c>
      <c r="E764">
        <v>62</v>
      </c>
      <c r="F764" s="3">
        <v>29.116577667035902</v>
      </c>
      <c r="G764" s="3" t="str">
        <f t="shared" si="11"/>
        <v>Overweight</v>
      </c>
      <c r="H764" t="s">
        <v>670</v>
      </c>
      <c r="I764" t="s">
        <v>18</v>
      </c>
      <c r="J764" t="s">
        <v>20</v>
      </c>
      <c r="K764" t="s">
        <v>18</v>
      </c>
      <c r="L764" t="s">
        <v>14</v>
      </c>
      <c r="M764" t="s">
        <v>20</v>
      </c>
      <c r="N764" t="s">
        <v>25</v>
      </c>
      <c r="O764" t="s">
        <v>20</v>
      </c>
      <c r="P764" t="s">
        <v>19</v>
      </c>
      <c r="Q764" t="s">
        <v>18</v>
      </c>
    </row>
    <row r="765" spans="1:17" x14ac:dyDescent="0.35">
      <c r="A765">
        <v>771</v>
      </c>
      <c r="B765">
        <v>34</v>
      </c>
      <c r="C765" t="s">
        <v>16</v>
      </c>
      <c r="D765">
        <v>165</v>
      </c>
      <c r="E765">
        <v>69</v>
      </c>
      <c r="F765" s="3">
        <v>21.753519202473001</v>
      </c>
      <c r="G765" s="3" t="str">
        <f t="shared" si="11"/>
        <v>Normal Weight</v>
      </c>
      <c r="H765" t="s">
        <v>671</v>
      </c>
      <c r="I765" t="s">
        <v>31</v>
      </c>
      <c r="J765" t="s">
        <v>20</v>
      </c>
      <c r="K765" t="s">
        <v>18</v>
      </c>
      <c r="L765" t="s">
        <v>32</v>
      </c>
      <c r="M765" t="s">
        <v>19</v>
      </c>
      <c r="N765" t="s">
        <v>21</v>
      </c>
      <c r="O765" t="s">
        <v>20</v>
      </c>
      <c r="P765" t="s">
        <v>19</v>
      </c>
      <c r="Q765" t="s">
        <v>22</v>
      </c>
    </row>
    <row r="766" spans="1:17" x14ac:dyDescent="0.35">
      <c r="A766">
        <v>773</v>
      </c>
      <c r="B766">
        <v>79</v>
      </c>
      <c r="C766" t="s">
        <v>16</v>
      </c>
      <c r="D766">
        <v>158</v>
      </c>
      <c r="E766">
        <v>54</v>
      </c>
      <c r="F766" s="3">
        <v>21.253001540391999</v>
      </c>
      <c r="G766" s="3" t="str">
        <f t="shared" si="11"/>
        <v>Normal Weight</v>
      </c>
      <c r="H766" t="s">
        <v>673</v>
      </c>
      <c r="I766" t="s">
        <v>24</v>
      </c>
      <c r="J766" t="s">
        <v>19</v>
      </c>
      <c r="K766" t="s">
        <v>40</v>
      </c>
      <c r="L766" t="s">
        <v>14</v>
      </c>
      <c r="M766" t="s">
        <v>19</v>
      </c>
      <c r="N766" t="s">
        <v>21</v>
      </c>
      <c r="O766" t="s">
        <v>19</v>
      </c>
      <c r="P766" t="s">
        <v>20</v>
      </c>
      <c r="Q766" t="s">
        <v>40</v>
      </c>
    </row>
    <row r="767" spans="1:17" x14ac:dyDescent="0.35">
      <c r="A767">
        <v>816</v>
      </c>
      <c r="B767">
        <v>56</v>
      </c>
      <c r="C767" t="s">
        <v>27</v>
      </c>
      <c r="D767">
        <v>173</v>
      </c>
      <c r="E767">
        <v>84</v>
      </c>
      <c r="F767" s="3">
        <v>30.397401904814799</v>
      </c>
      <c r="G767" s="3" t="str">
        <f t="shared" si="11"/>
        <v>Obese</v>
      </c>
      <c r="H767" t="s">
        <v>699</v>
      </c>
      <c r="I767" t="s">
        <v>24</v>
      </c>
      <c r="J767" t="s">
        <v>19</v>
      </c>
      <c r="K767" t="s">
        <v>22</v>
      </c>
      <c r="L767" t="s">
        <v>14</v>
      </c>
      <c r="M767" t="s">
        <v>20</v>
      </c>
      <c r="N767" t="s">
        <v>21</v>
      </c>
      <c r="O767" t="s">
        <v>20</v>
      </c>
      <c r="P767" t="s">
        <v>20</v>
      </c>
      <c r="Q767" t="s">
        <v>18</v>
      </c>
    </row>
    <row r="768" spans="1:17" x14ac:dyDescent="0.35">
      <c r="A768">
        <v>775</v>
      </c>
      <c r="B768">
        <v>65</v>
      </c>
      <c r="C768" t="s">
        <v>16</v>
      </c>
      <c r="D768">
        <v>160</v>
      </c>
      <c r="E768">
        <v>78</v>
      </c>
      <c r="F768" s="3">
        <v>32.054275670807101</v>
      </c>
      <c r="G768" s="3" t="str">
        <f t="shared" si="11"/>
        <v>Obese</v>
      </c>
      <c r="H768" t="s">
        <v>675</v>
      </c>
      <c r="I768" t="s">
        <v>31</v>
      </c>
      <c r="J768" t="s">
        <v>20</v>
      </c>
      <c r="K768" t="s">
        <v>18</v>
      </c>
      <c r="L768" t="s">
        <v>29</v>
      </c>
      <c r="M768" t="s">
        <v>20</v>
      </c>
      <c r="N768" t="s">
        <v>21</v>
      </c>
      <c r="O768" t="s">
        <v>19</v>
      </c>
      <c r="P768" t="s">
        <v>19</v>
      </c>
      <c r="Q768" t="s">
        <v>18</v>
      </c>
    </row>
    <row r="769" spans="1:17" x14ac:dyDescent="0.35">
      <c r="A769">
        <v>875</v>
      </c>
      <c r="B769">
        <v>56</v>
      </c>
      <c r="C769" t="s">
        <v>16</v>
      </c>
      <c r="D769">
        <v>169</v>
      </c>
      <c r="E769">
        <v>50</v>
      </c>
      <c r="F769" s="3">
        <v>34.937704135236501</v>
      </c>
      <c r="G769" s="3" t="str">
        <f t="shared" si="11"/>
        <v>Obese</v>
      </c>
      <c r="H769" t="s">
        <v>597</v>
      </c>
      <c r="I769" t="s">
        <v>24</v>
      </c>
      <c r="J769" t="s">
        <v>20</v>
      </c>
      <c r="K769" t="s">
        <v>22</v>
      </c>
      <c r="L769" t="s">
        <v>32</v>
      </c>
      <c r="M769" t="s">
        <v>19</v>
      </c>
      <c r="N769" t="s">
        <v>21</v>
      </c>
      <c r="O769" t="s">
        <v>19</v>
      </c>
      <c r="P769" t="s">
        <v>20</v>
      </c>
      <c r="Q769" t="s">
        <v>22</v>
      </c>
    </row>
    <row r="770" spans="1:17" x14ac:dyDescent="0.35">
      <c r="A770">
        <v>889</v>
      </c>
      <c r="B770">
        <v>56</v>
      </c>
      <c r="C770" t="s">
        <v>16</v>
      </c>
      <c r="D770">
        <v>162</v>
      </c>
      <c r="E770">
        <v>61</v>
      </c>
      <c r="F770" s="3">
        <v>32.913315360045999</v>
      </c>
      <c r="G770" s="3" t="str">
        <f t="shared" si="11"/>
        <v>Obese</v>
      </c>
      <c r="H770" t="s">
        <v>739</v>
      </c>
      <c r="I770" t="s">
        <v>31</v>
      </c>
      <c r="J770" t="s">
        <v>20</v>
      </c>
      <c r="K770" t="s">
        <v>22</v>
      </c>
      <c r="L770" t="s">
        <v>38</v>
      </c>
      <c r="M770" t="s">
        <v>20</v>
      </c>
      <c r="N770" t="s">
        <v>25</v>
      </c>
      <c r="O770" t="s">
        <v>20</v>
      </c>
      <c r="P770" t="s">
        <v>19</v>
      </c>
      <c r="Q770" t="s">
        <v>40</v>
      </c>
    </row>
    <row r="771" spans="1:17" x14ac:dyDescent="0.35">
      <c r="A771">
        <v>1053</v>
      </c>
      <c r="B771">
        <v>56</v>
      </c>
      <c r="C771" t="s">
        <v>16</v>
      </c>
      <c r="D771">
        <v>177</v>
      </c>
      <c r="E771">
        <v>93</v>
      </c>
      <c r="F771" s="3">
        <v>28.842742922848601</v>
      </c>
      <c r="G771" s="3" t="str">
        <f t="shared" ref="G771:G834" si="12">_xlfn.IFS(F771&lt;18.5, "Underweight", F771&lt;=24.9, "Normal Weight", F771&lt;=29.9, "Overweight", TRUE, "Obese")</f>
        <v>Overweight</v>
      </c>
      <c r="H771" t="s">
        <v>835</v>
      </c>
      <c r="I771" t="s">
        <v>18</v>
      </c>
      <c r="J771" t="s">
        <v>19</v>
      </c>
      <c r="K771" t="s">
        <v>22</v>
      </c>
      <c r="L771" t="s">
        <v>38</v>
      </c>
      <c r="M771" t="s">
        <v>20</v>
      </c>
      <c r="N771" t="s">
        <v>21</v>
      </c>
      <c r="O771" t="s">
        <v>19</v>
      </c>
      <c r="P771" t="s">
        <v>20</v>
      </c>
      <c r="Q771" t="s">
        <v>22</v>
      </c>
    </row>
    <row r="772" spans="1:17" x14ac:dyDescent="0.35">
      <c r="A772">
        <v>1082</v>
      </c>
      <c r="B772">
        <v>56</v>
      </c>
      <c r="C772" t="s">
        <v>16</v>
      </c>
      <c r="D772">
        <v>187</v>
      </c>
      <c r="E772">
        <v>54</v>
      </c>
      <c r="F772" s="3">
        <v>32.915687570252302</v>
      </c>
      <c r="G772" s="3" t="str">
        <f t="shared" si="12"/>
        <v>Obese</v>
      </c>
      <c r="H772" t="s">
        <v>643</v>
      </c>
      <c r="I772" t="s">
        <v>31</v>
      </c>
      <c r="J772" t="s">
        <v>19</v>
      </c>
      <c r="K772" t="s">
        <v>22</v>
      </c>
      <c r="L772" t="s">
        <v>32</v>
      </c>
      <c r="M772" t="s">
        <v>20</v>
      </c>
      <c r="N772" t="s">
        <v>25</v>
      </c>
      <c r="O772" t="s">
        <v>20</v>
      </c>
      <c r="P772" t="s">
        <v>19</v>
      </c>
      <c r="Q772" t="s">
        <v>18</v>
      </c>
    </row>
    <row r="773" spans="1:17" x14ac:dyDescent="0.35">
      <c r="A773">
        <v>1235</v>
      </c>
      <c r="B773">
        <v>56</v>
      </c>
      <c r="C773" t="s">
        <v>16</v>
      </c>
      <c r="D773">
        <v>178</v>
      </c>
      <c r="E773">
        <v>83</v>
      </c>
      <c r="F773" s="3">
        <v>30.0076216844136</v>
      </c>
      <c r="G773" s="3" t="str">
        <f t="shared" si="12"/>
        <v>Obese</v>
      </c>
      <c r="H773" t="s">
        <v>718</v>
      </c>
      <c r="I773" t="s">
        <v>18</v>
      </c>
      <c r="J773" t="s">
        <v>19</v>
      </c>
      <c r="K773" t="s">
        <v>22</v>
      </c>
      <c r="L773" t="s">
        <v>29</v>
      </c>
      <c r="M773" t="s">
        <v>20</v>
      </c>
      <c r="N773" t="s">
        <v>21</v>
      </c>
      <c r="O773" t="s">
        <v>19</v>
      </c>
      <c r="P773" t="s">
        <v>19</v>
      </c>
      <c r="Q773" t="s">
        <v>40</v>
      </c>
    </row>
    <row r="774" spans="1:17" x14ac:dyDescent="0.35">
      <c r="A774">
        <v>1238</v>
      </c>
      <c r="B774">
        <v>56</v>
      </c>
      <c r="C774" t="s">
        <v>27</v>
      </c>
      <c r="D774">
        <v>159</v>
      </c>
      <c r="E774">
        <v>65</v>
      </c>
      <c r="F774" s="3">
        <v>33.9684393445852</v>
      </c>
      <c r="G774" s="3" t="str">
        <f t="shared" si="12"/>
        <v>Obese</v>
      </c>
      <c r="H774" t="s">
        <v>69</v>
      </c>
      <c r="I774" t="s">
        <v>18</v>
      </c>
      <c r="J774" t="s">
        <v>19</v>
      </c>
      <c r="K774" t="s">
        <v>22</v>
      </c>
      <c r="L774" t="s">
        <v>29</v>
      </c>
      <c r="M774" t="s">
        <v>20</v>
      </c>
      <c r="N774" t="s">
        <v>21</v>
      </c>
      <c r="O774" t="s">
        <v>19</v>
      </c>
      <c r="P774" t="s">
        <v>19</v>
      </c>
      <c r="Q774" t="s">
        <v>22</v>
      </c>
    </row>
    <row r="775" spans="1:17" x14ac:dyDescent="0.35">
      <c r="A775">
        <v>1424</v>
      </c>
      <c r="B775">
        <v>56</v>
      </c>
      <c r="C775" t="s">
        <v>27</v>
      </c>
      <c r="D775">
        <v>174</v>
      </c>
      <c r="E775">
        <v>89</v>
      </c>
      <c r="F775" s="3">
        <v>33.182300502457103</v>
      </c>
      <c r="G775" s="3" t="str">
        <f t="shared" si="12"/>
        <v>Obese</v>
      </c>
      <c r="H775" t="s">
        <v>869</v>
      </c>
      <c r="I775" t="s">
        <v>24</v>
      </c>
      <c r="J775" t="s">
        <v>19</v>
      </c>
      <c r="K775" t="s">
        <v>22</v>
      </c>
      <c r="L775" t="s">
        <v>29</v>
      </c>
      <c r="M775" t="s">
        <v>19</v>
      </c>
      <c r="N775" t="s">
        <v>25</v>
      </c>
      <c r="O775" t="s">
        <v>19</v>
      </c>
      <c r="P775" t="s">
        <v>20</v>
      </c>
      <c r="Q775" t="s">
        <v>40</v>
      </c>
    </row>
    <row r="776" spans="1:17" x14ac:dyDescent="0.35">
      <c r="A776">
        <v>1446</v>
      </c>
      <c r="B776">
        <v>56</v>
      </c>
      <c r="C776" t="s">
        <v>27</v>
      </c>
      <c r="D776">
        <v>171</v>
      </c>
      <c r="E776">
        <v>55</v>
      </c>
      <c r="F776" s="3">
        <v>33.0602796572351</v>
      </c>
      <c r="G776" s="3" t="str">
        <f t="shared" si="12"/>
        <v>Obese</v>
      </c>
      <c r="H776" t="s">
        <v>1047</v>
      </c>
      <c r="I776" t="s">
        <v>31</v>
      </c>
      <c r="J776" t="s">
        <v>20</v>
      </c>
      <c r="K776" t="s">
        <v>22</v>
      </c>
      <c r="L776" t="s">
        <v>38</v>
      </c>
      <c r="M776" t="s">
        <v>20</v>
      </c>
      <c r="N776" t="s">
        <v>21</v>
      </c>
      <c r="O776" t="s">
        <v>20</v>
      </c>
      <c r="P776" t="s">
        <v>20</v>
      </c>
      <c r="Q776" t="s">
        <v>40</v>
      </c>
    </row>
    <row r="777" spans="1:17" x14ac:dyDescent="0.35">
      <c r="A777">
        <v>1462</v>
      </c>
      <c r="B777">
        <v>56</v>
      </c>
      <c r="C777" t="s">
        <v>27</v>
      </c>
      <c r="D777">
        <v>171</v>
      </c>
      <c r="E777">
        <v>74</v>
      </c>
      <c r="F777" s="3">
        <v>33.604367324200602</v>
      </c>
      <c r="G777" s="3" t="str">
        <f t="shared" si="12"/>
        <v>Obese</v>
      </c>
      <c r="H777" t="s">
        <v>1056</v>
      </c>
      <c r="I777" t="s">
        <v>31</v>
      </c>
      <c r="J777" t="s">
        <v>20</v>
      </c>
      <c r="K777" t="s">
        <v>22</v>
      </c>
      <c r="L777" t="s">
        <v>14</v>
      </c>
      <c r="M777" t="s">
        <v>20</v>
      </c>
      <c r="N777" t="s">
        <v>25</v>
      </c>
      <c r="O777" t="s">
        <v>19</v>
      </c>
      <c r="P777" t="s">
        <v>20</v>
      </c>
      <c r="Q777" t="s">
        <v>18</v>
      </c>
    </row>
    <row r="778" spans="1:17" x14ac:dyDescent="0.35">
      <c r="A778">
        <v>1677</v>
      </c>
      <c r="B778">
        <v>56</v>
      </c>
      <c r="C778" t="s">
        <v>16</v>
      </c>
      <c r="D778">
        <v>161</v>
      </c>
      <c r="E778">
        <v>99</v>
      </c>
      <c r="F778" s="3">
        <v>29.485126464378499</v>
      </c>
      <c r="G778" s="3" t="str">
        <f t="shared" si="12"/>
        <v>Overweight</v>
      </c>
      <c r="H778" t="s">
        <v>267</v>
      </c>
      <c r="I778" t="s">
        <v>31</v>
      </c>
      <c r="J778" t="s">
        <v>19</v>
      </c>
      <c r="K778" t="s">
        <v>22</v>
      </c>
      <c r="L778" t="s">
        <v>32</v>
      </c>
      <c r="M778" t="s">
        <v>20</v>
      </c>
      <c r="N778" t="s">
        <v>21</v>
      </c>
      <c r="O778" t="s">
        <v>20</v>
      </c>
      <c r="P778" t="s">
        <v>20</v>
      </c>
      <c r="Q778" t="s">
        <v>40</v>
      </c>
    </row>
    <row r="779" spans="1:17" x14ac:dyDescent="0.35">
      <c r="A779">
        <v>1793</v>
      </c>
      <c r="B779">
        <v>56</v>
      </c>
      <c r="C779" t="s">
        <v>27</v>
      </c>
      <c r="D779">
        <v>165</v>
      </c>
      <c r="E779">
        <v>65</v>
      </c>
      <c r="F779" s="3">
        <v>34.881730172752597</v>
      </c>
      <c r="G779" s="3" t="str">
        <f t="shared" si="12"/>
        <v>Obese</v>
      </c>
      <c r="H779" t="s">
        <v>1196</v>
      </c>
      <c r="I779" t="s">
        <v>24</v>
      </c>
      <c r="J779" t="s">
        <v>20</v>
      </c>
      <c r="K779" t="s">
        <v>22</v>
      </c>
      <c r="L779" t="s">
        <v>38</v>
      </c>
      <c r="M779" t="s">
        <v>19</v>
      </c>
      <c r="N779" t="s">
        <v>25</v>
      </c>
      <c r="O779" t="s">
        <v>20</v>
      </c>
      <c r="P779" t="s">
        <v>19</v>
      </c>
      <c r="Q779" t="s">
        <v>18</v>
      </c>
    </row>
    <row r="780" spans="1:17" x14ac:dyDescent="0.35">
      <c r="A780">
        <v>776</v>
      </c>
      <c r="B780">
        <v>42</v>
      </c>
      <c r="C780" t="s">
        <v>27</v>
      </c>
      <c r="D780">
        <v>171</v>
      </c>
      <c r="E780">
        <v>55</v>
      </c>
      <c r="F780" s="3">
        <v>24.342065278859</v>
      </c>
      <c r="G780" s="3" t="str">
        <f t="shared" si="12"/>
        <v>Normal Weight</v>
      </c>
      <c r="H780" t="s">
        <v>676</v>
      </c>
      <c r="I780" t="s">
        <v>24</v>
      </c>
      <c r="J780" t="s">
        <v>20</v>
      </c>
      <c r="K780" t="s">
        <v>18</v>
      </c>
      <c r="L780" t="s">
        <v>32</v>
      </c>
      <c r="M780" t="s">
        <v>20</v>
      </c>
      <c r="N780" t="s">
        <v>25</v>
      </c>
      <c r="O780" t="s">
        <v>20</v>
      </c>
      <c r="P780" t="s">
        <v>20</v>
      </c>
      <c r="Q780" t="s">
        <v>22</v>
      </c>
    </row>
    <row r="781" spans="1:17" x14ac:dyDescent="0.35">
      <c r="A781">
        <v>1908</v>
      </c>
      <c r="B781">
        <v>56</v>
      </c>
      <c r="C781" t="s">
        <v>16</v>
      </c>
      <c r="D781">
        <v>181</v>
      </c>
      <c r="E781">
        <v>82</v>
      </c>
      <c r="F781" s="3">
        <v>19.7822549034634</v>
      </c>
      <c r="G781" s="3" t="str">
        <f t="shared" si="12"/>
        <v>Normal Weight</v>
      </c>
      <c r="H781" t="s">
        <v>153</v>
      </c>
      <c r="I781" t="s">
        <v>18</v>
      </c>
      <c r="J781" t="s">
        <v>20</v>
      </c>
      <c r="K781" t="s">
        <v>22</v>
      </c>
      <c r="L781" t="s">
        <v>32</v>
      </c>
      <c r="M781" t="s">
        <v>19</v>
      </c>
      <c r="N781" t="s">
        <v>25</v>
      </c>
      <c r="O781" t="s">
        <v>20</v>
      </c>
      <c r="P781" t="s">
        <v>19</v>
      </c>
      <c r="Q781" t="s">
        <v>18</v>
      </c>
    </row>
    <row r="782" spans="1:17" x14ac:dyDescent="0.35">
      <c r="A782">
        <v>1986</v>
      </c>
      <c r="B782">
        <v>56</v>
      </c>
      <c r="C782" t="s">
        <v>27</v>
      </c>
      <c r="D782">
        <v>178</v>
      </c>
      <c r="E782">
        <v>56</v>
      </c>
      <c r="F782" s="3">
        <v>32.808010491518502</v>
      </c>
      <c r="G782" s="3" t="str">
        <f t="shared" si="12"/>
        <v>Obese</v>
      </c>
      <c r="H782" t="s">
        <v>351</v>
      </c>
      <c r="I782" t="s">
        <v>18</v>
      </c>
      <c r="J782" t="s">
        <v>19</v>
      </c>
      <c r="K782" t="s">
        <v>22</v>
      </c>
      <c r="L782" t="s">
        <v>32</v>
      </c>
      <c r="M782" t="s">
        <v>20</v>
      </c>
      <c r="N782" t="s">
        <v>21</v>
      </c>
      <c r="O782" t="s">
        <v>19</v>
      </c>
      <c r="P782" t="s">
        <v>20</v>
      </c>
      <c r="Q782" t="s">
        <v>18</v>
      </c>
    </row>
    <row r="783" spans="1:17" x14ac:dyDescent="0.35">
      <c r="A783">
        <v>777</v>
      </c>
      <c r="B783">
        <v>39</v>
      </c>
      <c r="C783" t="s">
        <v>27</v>
      </c>
      <c r="D783">
        <v>182</v>
      </c>
      <c r="E783">
        <v>74</v>
      </c>
      <c r="F783" s="3">
        <v>29.321042660901899</v>
      </c>
      <c r="G783" s="3" t="str">
        <f t="shared" si="12"/>
        <v>Overweight</v>
      </c>
      <c r="H783" t="s">
        <v>477</v>
      </c>
      <c r="I783" t="s">
        <v>18</v>
      </c>
      <c r="J783" t="s">
        <v>19</v>
      </c>
      <c r="K783" t="s">
        <v>18</v>
      </c>
      <c r="L783" t="s">
        <v>14</v>
      </c>
      <c r="M783" t="s">
        <v>19</v>
      </c>
      <c r="N783" t="s">
        <v>25</v>
      </c>
      <c r="O783" t="s">
        <v>20</v>
      </c>
      <c r="P783" t="s">
        <v>19</v>
      </c>
      <c r="Q783" t="s">
        <v>18</v>
      </c>
    </row>
    <row r="784" spans="1:17" x14ac:dyDescent="0.35">
      <c r="A784">
        <v>27</v>
      </c>
      <c r="B784">
        <v>55</v>
      </c>
      <c r="C784" t="s">
        <v>16</v>
      </c>
      <c r="D784">
        <v>165</v>
      </c>
      <c r="E784">
        <v>88</v>
      </c>
      <c r="F784" s="3">
        <v>29.444626706815999</v>
      </c>
      <c r="G784" s="3" t="str">
        <f t="shared" si="12"/>
        <v>Overweight</v>
      </c>
      <c r="H784" t="s">
        <v>56</v>
      </c>
      <c r="I784" t="s">
        <v>31</v>
      </c>
      <c r="J784" t="s">
        <v>20</v>
      </c>
      <c r="K784" t="s">
        <v>22</v>
      </c>
      <c r="L784" t="s">
        <v>32</v>
      </c>
      <c r="M784" t="s">
        <v>20</v>
      </c>
      <c r="N784" t="s">
        <v>25</v>
      </c>
      <c r="O784" t="s">
        <v>19</v>
      </c>
      <c r="P784" t="s">
        <v>19</v>
      </c>
      <c r="Q784" t="s">
        <v>18</v>
      </c>
    </row>
    <row r="785" spans="1:17" x14ac:dyDescent="0.35">
      <c r="A785">
        <v>310</v>
      </c>
      <c r="B785">
        <v>55</v>
      </c>
      <c r="C785" t="s">
        <v>16</v>
      </c>
      <c r="D785">
        <v>175</v>
      </c>
      <c r="E785">
        <v>86</v>
      </c>
      <c r="F785" s="3">
        <v>26.9581515277027</v>
      </c>
      <c r="G785" s="3" t="str">
        <f t="shared" si="12"/>
        <v>Overweight</v>
      </c>
      <c r="H785" t="s">
        <v>316</v>
      </c>
      <c r="I785" t="s">
        <v>31</v>
      </c>
      <c r="J785" t="s">
        <v>20</v>
      </c>
      <c r="K785" t="s">
        <v>22</v>
      </c>
      <c r="L785" t="s">
        <v>29</v>
      </c>
      <c r="M785" t="s">
        <v>20</v>
      </c>
      <c r="N785" t="s">
        <v>21</v>
      </c>
      <c r="O785" t="s">
        <v>19</v>
      </c>
      <c r="P785" t="s">
        <v>20</v>
      </c>
      <c r="Q785" t="s">
        <v>18</v>
      </c>
    </row>
    <row r="786" spans="1:17" x14ac:dyDescent="0.35">
      <c r="A786">
        <v>782</v>
      </c>
      <c r="B786">
        <v>53</v>
      </c>
      <c r="C786" t="s">
        <v>27</v>
      </c>
      <c r="D786">
        <v>173</v>
      </c>
      <c r="E786">
        <v>54</v>
      </c>
      <c r="F786" s="3">
        <v>22.890672580865498</v>
      </c>
      <c r="G786" s="3" t="str">
        <f t="shared" si="12"/>
        <v>Normal Weight</v>
      </c>
      <c r="H786" t="s">
        <v>108</v>
      </c>
      <c r="I786" t="s">
        <v>24</v>
      </c>
      <c r="J786" t="s">
        <v>20</v>
      </c>
      <c r="K786" t="s">
        <v>18</v>
      </c>
      <c r="L786" t="s">
        <v>32</v>
      </c>
      <c r="M786" t="s">
        <v>20</v>
      </c>
      <c r="N786" t="s">
        <v>21</v>
      </c>
      <c r="O786" t="s">
        <v>19</v>
      </c>
      <c r="P786" t="s">
        <v>19</v>
      </c>
      <c r="Q786" t="s">
        <v>18</v>
      </c>
    </row>
    <row r="787" spans="1:17" x14ac:dyDescent="0.35">
      <c r="A787">
        <v>437</v>
      </c>
      <c r="B787">
        <v>55</v>
      </c>
      <c r="C787" t="s">
        <v>16</v>
      </c>
      <c r="D787">
        <v>183</v>
      </c>
      <c r="E787">
        <v>59</v>
      </c>
      <c r="F787" s="3">
        <v>32.821663841059902</v>
      </c>
      <c r="G787" s="3" t="str">
        <f t="shared" si="12"/>
        <v>Obese</v>
      </c>
      <c r="H787" t="s">
        <v>417</v>
      </c>
      <c r="I787" t="s">
        <v>31</v>
      </c>
      <c r="J787" t="s">
        <v>19</v>
      </c>
      <c r="K787" t="s">
        <v>22</v>
      </c>
      <c r="L787" t="s">
        <v>14</v>
      </c>
      <c r="M787" t="s">
        <v>20</v>
      </c>
      <c r="N787" t="s">
        <v>21</v>
      </c>
      <c r="O787" t="s">
        <v>19</v>
      </c>
      <c r="P787" t="s">
        <v>19</v>
      </c>
      <c r="Q787" t="s">
        <v>18</v>
      </c>
    </row>
    <row r="788" spans="1:17" x14ac:dyDescent="0.35">
      <c r="A788">
        <v>783</v>
      </c>
      <c r="B788">
        <v>29</v>
      </c>
      <c r="C788" t="s">
        <v>16</v>
      </c>
      <c r="D788">
        <v>157</v>
      </c>
      <c r="E788">
        <v>76</v>
      </c>
      <c r="F788" s="3">
        <v>19.1436059425865</v>
      </c>
      <c r="G788" s="3" t="str">
        <f t="shared" si="12"/>
        <v>Normal Weight</v>
      </c>
      <c r="H788" t="s">
        <v>681</v>
      </c>
      <c r="I788" t="s">
        <v>24</v>
      </c>
      <c r="J788" t="s">
        <v>19</v>
      </c>
      <c r="K788" t="s">
        <v>18</v>
      </c>
      <c r="L788" t="s">
        <v>32</v>
      </c>
      <c r="M788" t="s">
        <v>20</v>
      </c>
      <c r="N788" t="s">
        <v>25</v>
      </c>
      <c r="O788" t="s">
        <v>19</v>
      </c>
      <c r="P788" t="s">
        <v>19</v>
      </c>
      <c r="Q788" t="s">
        <v>18</v>
      </c>
    </row>
    <row r="789" spans="1:17" x14ac:dyDescent="0.35">
      <c r="A789">
        <v>788</v>
      </c>
      <c r="B789">
        <v>26</v>
      </c>
      <c r="C789" t="s">
        <v>27</v>
      </c>
      <c r="D789">
        <v>177</v>
      </c>
      <c r="E789">
        <v>93</v>
      </c>
      <c r="F789" s="3">
        <v>34.861801658860202</v>
      </c>
      <c r="G789" s="3" t="str">
        <f t="shared" si="12"/>
        <v>Obese</v>
      </c>
      <c r="H789" t="s">
        <v>273</v>
      </c>
      <c r="I789" t="s">
        <v>24</v>
      </c>
      <c r="J789" t="s">
        <v>19</v>
      </c>
      <c r="K789" t="s">
        <v>18</v>
      </c>
      <c r="L789" t="s">
        <v>14</v>
      </c>
      <c r="M789" t="s">
        <v>19</v>
      </c>
      <c r="N789" t="s">
        <v>21</v>
      </c>
      <c r="O789" t="s">
        <v>20</v>
      </c>
      <c r="P789" t="s">
        <v>19</v>
      </c>
      <c r="Q789" t="s">
        <v>22</v>
      </c>
    </row>
    <row r="790" spans="1:17" x14ac:dyDescent="0.35">
      <c r="A790">
        <v>791</v>
      </c>
      <c r="B790">
        <v>31</v>
      </c>
      <c r="C790" t="s">
        <v>16</v>
      </c>
      <c r="D790">
        <v>177</v>
      </c>
      <c r="E790">
        <v>60</v>
      </c>
      <c r="F790" s="3">
        <v>29.6258439660504</v>
      </c>
      <c r="G790" s="3" t="str">
        <f t="shared" si="12"/>
        <v>Overweight</v>
      </c>
      <c r="H790" t="s">
        <v>610</v>
      </c>
      <c r="I790" t="s">
        <v>31</v>
      </c>
      <c r="J790" t="s">
        <v>19</v>
      </c>
      <c r="K790" t="s">
        <v>18</v>
      </c>
      <c r="L790" t="s">
        <v>38</v>
      </c>
      <c r="M790" t="s">
        <v>20</v>
      </c>
      <c r="N790" t="s">
        <v>21</v>
      </c>
      <c r="O790" t="s">
        <v>20</v>
      </c>
      <c r="P790" t="s">
        <v>19</v>
      </c>
      <c r="Q790" t="s">
        <v>22</v>
      </c>
    </row>
    <row r="791" spans="1:17" x14ac:dyDescent="0.35">
      <c r="A791">
        <v>901</v>
      </c>
      <c r="B791">
        <v>55</v>
      </c>
      <c r="C791" t="s">
        <v>16</v>
      </c>
      <c r="D791">
        <v>154</v>
      </c>
      <c r="E791">
        <v>56</v>
      </c>
      <c r="F791" s="3">
        <v>20.873956563931301</v>
      </c>
      <c r="G791" s="3" t="str">
        <f t="shared" si="12"/>
        <v>Normal Weight</v>
      </c>
      <c r="H791" t="s">
        <v>743</v>
      </c>
      <c r="I791" t="s">
        <v>24</v>
      </c>
      <c r="J791" t="s">
        <v>19</v>
      </c>
      <c r="K791" t="s">
        <v>22</v>
      </c>
      <c r="L791" t="s">
        <v>29</v>
      </c>
      <c r="M791" t="s">
        <v>19</v>
      </c>
      <c r="N791" t="s">
        <v>21</v>
      </c>
      <c r="O791" t="s">
        <v>19</v>
      </c>
      <c r="P791" t="s">
        <v>19</v>
      </c>
      <c r="Q791" t="s">
        <v>40</v>
      </c>
    </row>
    <row r="792" spans="1:17" x14ac:dyDescent="0.35">
      <c r="A792">
        <v>944</v>
      </c>
      <c r="B792">
        <v>55</v>
      </c>
      <c r="C792" t="s">
        <v>16</v>
      </c>
      <c r="D792">
        <v>172</v>
      </c>
      <c r="E792">
        <v>67</v>
      </c>
      <c r="F792" s="3">
        <v>27.295412286562701</v>
      </c>
      <c r="G792" s="3" t="str">
        <f t="shared" si="12"/>
        <v>Overweight</v>
      </c>
      <c r="H792" t="s">
        <v>766</v>
      </c>
      <c r="I792" t="s">
        <v>31</v>
      </c>
      <c r="J792" t="s">
        <v>19</v>
      </c>
      <c r="K792" t="s">
        <v>22</v>
      </c>
      <c r="L792" t="s">
        <v>32</v>
      </c>
      <c r="M792" t="s">
        <v>20</v>
      </c>
      <c r="N792" t="s">
        <v>25</v>
      </c>
      <c r="O792" t="s">
        <v>19</v>
      </c>
      <c r="P792" t="s">
        <v>19</v>
      </c>
      <c r="Q792" t="s">
        <v>40</v>
      </c>
    </row>
    <row r="793" spans="1:17" x14ac:dyDescent="0.35">
      <c r="A793">
        <v>793</v>
      </c>
      <c r="B793">
        <v>69</v>
      </c>
      <c r="C793" t="s">
        <v>27</v>
      </c>
      <c r="D793">
        <v>150</v>
      </c>
      <c r="E793">
        <v>96</v>
      </c>
      <c r="F793" s="3">
        <v>34.762412110221199</v>
      </c>
      <c r="G793" s="3" t="str">
        <f t="shared" si="12"/>
        <v>Obese</v>
      </c>
      <c r="H793" t="s">
        <v>205</v>
      </c>
      <c r="I793" t="s">
        <v>18</v>
      </c>
      <c r="J793" t="s">
        <v>19</v>
      </c>
      <c r="K793" t="s">
        <v>18</v>
      </c>
      <c r="L793" t="s">
        <v>38</v>
      </c>
      <c r="M793" t="s">
        <v>19</v>
      </c>
      <c r="N793" t="s">
        <v>25</v>
      </c>
      <c r="O793" t="s">
        <v>20</v>
      </c>
      <c r="P793" t="s">
        <v>20</v>
      </c>
      <c r="Q793" t="s">
        <v>40</v>
      </c>
    </row>
    <row r="794" spans="1:17" x14ac:dyDescent="0.35">
      <c r="A794">
        <v>1083</v>
      </c>
      <c r="B794">
        <v>55</v>
      </c>
      <c r="C794" t="s">
        <v>27</v>
      </c>
      <c r="D794">
        <v>170</v>
      </c>
      <c r="E794">
        <v>72</v>
      </c>
      <c r="F794" s="3">
        <v>20.592229685591501</v>
      </c>
      <c r="G794" s="3" t="str">
        <f t="shared" si="12"/>
        <v>Normal Weight</v>
      </c>
      <c r="H794" t="s">
        <v>854</v>
      </c>
      <c r="I794" t="s">
        <v>31</v>
      </c>
      <c r="J794" t="s">
        <v>19</v>
      </c>
      <c r="K794" t="s">
        <v>22</v>
      </c>
      <c r="L794" t="s">
        <v>32</v>
      </c>
      <c r="M794" t="s">
        <v>19</v>
      </c>
      <c r="N794" t="s">
        <v>25</v>
      </c>
      <c r="O794" t="s">
        <v>19</v>
      </c>
      <c r="P794" t="s">
        <v>19</v>
      </c>
      <c r="Q794" t="s">
        <v>18</v>
      </c>
    </row>
    <row r="795" spans="1:17" x14ac:dyDescent="0.35">
      <c r="A795">
        <v>1086</v>
      </c>
      <c r="B795">
        <v>55</v>
      </c>
      <c r="C795" t="s">
        <v>16</v>
      </c>
      <c r="D795">
        <v>171</v>
      </c>
      <c r="E795">
        <v>81</v>
      </c>
      <c r="F795" s="3">
        <v>20.5973230993058</v>
      </c>
      <c r="G795" s="3" t="str">
        <f t="shared" si="12"/>
        <v>Normal Weight</v>
      </c>
      <c r="H795" t="s">
        <v>378</v>
      </c>
      <c r="I795" t="s">
        <v>24</v>
      </c>
      <c r="J795" t="s">
        <v>20</v>
      </c>
      <c r="K795" t="s">
        <v>22</v>
      </c>
      <c r="L795" t="s">
        <v>29</v>
      </c>
      <c r="M795" t="s">
        <v>19</v>
      </c>
      <c r="N795" t="s">
        <v>21</v>
      </c>
      <c r="O795" t="s">
        <v>19</v>
      </c>
      <c r="P795" t="s">
        <v>19</v>
      </c>
      <c r="Q795" t="s">
        <v>18</v>
      </c>
    </row>
    <row r="796" spans="1:17" x14ac:dyDescent="0.35">
      <c r="A796">
        <v>795</v>
      </c>
      <c r="B796">
        <v>75</v>
      </c>
      <c r="C796" t="s">
        <v>16</v>
      </c>
      <c r="D796">
        <v>170</v>
      </c>
      <c r="E796">
        <v>60</v>
      </c>
      <c r="F796" s="3">
        <v>22.519644067706199</v>
      </c>
      <c r="G796" s="3" t="str">
        <f t="shared" si="12"/>
        <v>Normal Weight</v>
      </c>
      <c r="H796" t="s">
        <v>686</v>
      </c>
      <c r="I796" t="s">
        <v>18</v>
      </c>
      <c r="J796" t="s">
        <v>19</v>
      </c>
      <c r="K796" t="s">
        <v>40</v>
      </c>
      <c r="L796" t="s">
        <v>29</v>
      </c>
      <c r="M796" t="s">
        <v>19</v>
      </c>
      <c r="N796" t="s">
        <v>25</v>
      </c>
      <c r="O796" t="s">
        <v>19</v>
      </c>
      <c r="P796" t="s">
        <v>19</v>
      </c>
      <c r="Q796" t="s">
        <v>18</v>
      </c>
    </row>
    <row r="797" spans="1:17" x14ac:dyDescent="0.35">
      <c r="A797">
        <v>801</v>
      </c>
      <c r="B797">
        <v>29</v>
      </c>
      <c r="C797" t="s">
        <v>16</v>
      </c>
      <c r="D797">
        <v>186</v>
      </c>
      <c r="E797">
        <v>95</v>
      </c>
      <c r="F797" s="3">
        <v>28.905482367220799</v>
      </c>
      <c r="G797" s="3" t="str">
        <f t="shared" si="12"/>
        <v>Overweight</v>
      </c>
      <c r="H797" t="s">
        <v>690</v>
      </c>
      <c r="I797" t="s">
        <v>18</v>
      </c>
      <c r="J797" t="s">
        <v>20</v>
      </c>
      <c r="K797" t="s">
        <v>18</v>
      </c>
      <c r="L797" t="s">
        <v>38</v>
      </c>
      <c r="M797" t="s">
        <v>19</v>
      </c>
      <c r="N797" t="s">
        <v>21</v>
      </c>
      <c r="O797" t="s">
        <v>19</v>
      </c>
      <c r="P797" t="s">
        <v>20</v>
      </c>
      <c r="Q797" t="s">
        <v>40</v>
      </c>
    </row>
    <row r="798" spans="1:17" x14ac:dyDescent="0.35">
      <c r="A798">
        <v>803</v>
      </c>
      <c r="B798">
        <v>69</v>
      </c>
      <c r="C798" t="s">
        <v>27</v>
      </c>
      <c r="D798">
        <v>173</v>
      </c>
      <c r="E798">
        <v>50</v>
      </c>
      <c r="F798" s="3">
        <v>25.723123407304101</v>
      </c>
      <c r="G798" s="3" t="str">
        <f t="shared" si="12"/>
        <v>Overweight</v>
      </c>
      <c r="H798" t="s">
        <v>691</v>
      </c>
      <c r="I798" t="s">
        <v>24</v>
      </c>
      <c r="J798" t="s">
        <v>19</v>
      </c>
      <c r="K798" t="s">
        <v>18</v>
      </c>
      <c r="L798" t="s">
        <v>38</v>
      </c>
      <c r="M798" t="s">
        <v>20</v>
      </c>
      <c r="N798" t="s">
        <v>21</v>
      </c>
      <c r="O798" t="s">
        <v>20</v>
      </c>
      <c r="P798" t="s">
        <v>20</v>
      </c>
      <c r="Q798" t="s">
        <v>18</v>
      </c>
    </row>
    <row r="799" spans="1:17" x14ac:dyDescent="0.35">
      <c r="A799">
        <v>1345</v>
      </c>
      <c r="B799">
        <v>55</v>
      </c>
      <c r="C799" t="s">
        <v>27</v>
      </c>
      <c r="D799">
        <v>183</v>
      </c>
      <c r="E799">
        <v>74</v>
      </c>
      <c r="F799" s="3">
        <v>31.4182396352499</v>
      </c>
      <c r="G799" s="3" t="str">
        <f t="shared" si="12"/>
        <v>Obese</v>
      </c>
      <c r="H799" t="s">
        <v>553</v>
      </c>
      <c r="I799" t="s">
        <v>31</v>
      </c>
      <c r="J799" t="s">
        <v>19</v>
      </c>
      <c r="K799" t="s">
        <v>22</v>
      </c>
      <c r="L799" t="s">
        <v>14</v>
      </c>
      <c r="M799" t="s">
        <v>20</v>
      </c>
      <c r="N799" t="s">
        <v>21</v>
      </c>
      <c r="O799" t="s">
        <v>20</v>
      </c>
      <c r="P799" t="s">
        <v>20</v>
      </c>
      <c r="Q799" t="s">
        <v>40</v>
      </c>
    </row>
    <row r="800" spans="1:17" x14ac:dyDescent="0.35">
      <c r="A800">
        <v>1375</v>
      </c>
      <c r="B800">
        <v>55</v>
      </c>
      <c r="C800" t="s">
        <v>27</v>
      </c>
      <c r="D800">
        <v>167</v>
      </c>
      <c r="E800">
        <v>80</v>
      </c>
      <c r="F800" s="3">
        <v>19.119842787475601</v>
      </c>
      <c r="G800" s="3" t="str">
        <f t="shared" si="12"/>
        <v>Normal Weight</v>
      </c>
      <c r="H800" t="s">
        <v>1016</v>
      </c>
      <c r="I800" t="s">
        <v>18</v>
      </c>
      <c r="J800" t="s">
        <v>19</v>
      </c>
      <c r="K800" t="s">
        <v>22</v>
      </c>
      <c r="L800" t="s">
        <v>32</v>
      </c>
      <c r="M800" t="s">
        <v>20</v>
      </c>
      <c r="N800" t="s">
        <v>21</v>
      </c>
      <c r="O800" t="s">
        <v>19</v>
      </c>
      <c r="P800" t="s">
        <v>19</v>
      </c>
      <c r="Q800" t="s">
        <v>40</v>
      </c>
    </row>
    <row r="801" spans="1:17" x14ac:dyDescent="0.35">
      <c r="A801">
        <v>804</v>
      </c>
      <c r="B801">
        <v>76</v>
      </c>
      <c r="C801" t="s">
        <v>16</v>
      </c>
      <c r="D801">
        <v>151</v>
      </c>
      <c r="E801">
        <v>96</v>
      </c>
      <c r="F801" s="3">
        <v>23.6211196702839</v>
      </c>
      <c r="G801" s="3" t="str">
        <f t="shared" si="12"/>
        <v>Normal Weight</v>
      </c>
      <c r="H801" t="s">
        <v>349</v>
      </c>
      <c r="I801" t="s">
        <v>24</v>
      </c>
      <c r="J801" t="s">
        <v>19</v>
      </c>
      <c r="K801" t="s">
        <v>40</v>
      </c>
      <c r="L801" t="s">
        <v>14</v>
      </c>
      <c r="M801" t="s">
        <v>20</v>
      </c>
      <c r="N801" t="s">
        <v>21</v>
      </c>
      <c r="O801" t="s">
        <v>20</v>
      </c>
      <c r="P801" t="s">
        <v>20</v>
      </c>
      <c r="Q801" t="s">
        <v>40</v>
      </c>
    </row>
    <row r="802" spans="1:17" x14ac:dyDescent="0.35">
      <c r="A802">
        <v>1466</v>
      </c>
      <c r="B802">
        <v>55</v>
      </c>
      <c r="C802" t="s">
        <v>27</v>
      </c>
      <c r="D802">
        <v>181</v>
      </c>
      <c r="E802">
        <v>98</v>
      </c>
      <c r="F802" s="3">
        <v>26.177079266052701</v>
      </c>
      <c r="G802" s="3" t="str">
        <f t="shared" si="12"/>
        <v>Overweight</v>
      </c>
      <c r="H802" t="s">
        <v>1005</v>
      </c>
      <c r="I802" t="s">
        <v>31</v>
      </c>
      <c r="J802" t="s">
        <v>20</v>
      </c>
      <c r="K802" t="s">
        <v>22</v>
      </c>
      <c r="L802" t="s">
        <v>38</v>
      </c>
      <c r="M802" t="s">
        <v>19</v>
      </c>
      <c r="N802" t="s">
        <v>21</v>
      </c>
      <c r="O802" t="s">
        <v>20</v>
      </c>
      <c r="P802" t="s">
        <v>20</v>
      </c>
      <c r="Q802" t="s">
        <v>40</v>
      </c>
    </row>
    <row r="803" spans="1:17" x14ac:dyDescent="0.35">
      <c r="A803">
        <v>805</v>
      </c>
      <c r="B803">
        <v>38</v>
      </c>
      <c r="C803" t="s">
        <v>27</v>
      </c>
      <c r="D803">
        <v>171</v>
      </c>
      <c r="E803">
        <v>50</v>
      </c>
      <c r="F803" s="3">
        <v>31.075138737430301</v>
      </c>
      <c r="G803" s="3" t="str">
        <f t="shared" si="12"/>
        <v>Obese</v>
      </c>
      <c r="H803" t="s">
        <v>692</v>
      </c>
      <c r="I803" t="s">
        <v>31</v>
      </c>
      <c r="J803" t="s">
        <v>19</v>
      </c>
      <c r="K803" t="s">
        <v>18</v>
      </c>
      <c r="L803" t="s">
        <v>38</v>
      </c>
      <c r="M803" t="s">
        <v>19</v>
      </c>
      <c r="N803" t="s">
        <v>21</v>
      </c>
      <c r="O803" t="s">
        <v>20</v>
      </c>
      <c r="P803" t="s">
        <v>20</v>
      </c>
      <c r="Q803" t="s">
        <v>40</v>
      </c>
    </row>
    <row r="804" spans="1:17" x14ac:dyDescent="0.35">
      <c r="A804">
        <v>1518</v>
      </c>
      <c r="B804">
        <v>55</v>
      </c>
      <c r="C804" t="s">
        <v>16</v>
      </c>
      <c r="D804">
        <v>177</v>
      </c>
      <c r="E804">
        <v>97</v>
      </c>
      <c r="F804" s="3">
        <v>34.487582553375802</v>
      </c>
      <c r="G804" s="3" t="str">
        <f t="shared" si="12"/>
        <v>Obese</v>
      </c>
      <c r="H804" t="s">
        <v>1080</v>
      </c>
      <c r="I804" t="s">
        <v>18</v>
      </c>
      <c r="J804" t="s">
        <v>20</v>
      </c>
      <c r="K804" t="s">
        <v>22</v>
      </c>
      <c r="L804" t="s">
        <v>29</v>
      </c>
      <c r="M804" t="s">
        <v>20</v>
      </c>
      <c r="N804" t="s">
        <v>21</v>
      </c>
      <c r="O804" t="s">
        <v>20</v>
      </c>
      <c r="P804" t="s">
        <v>20</v>
      </c>
      <c r="Q804" t="s">
        <v>18</v>
      </c>
    </row>
    <row r="805" spans="1:17" x14ac:dyDescent="0.35">
      <c r="A805">
        <v>1594</v>
      </c>
      <c r="B805">
        <v>55</v>
      </c>
      <c r="C805" t="s">
        <v>27</v>
      </c>
      <c r="D805">
        <v>175</v>
      </c>
      <c r="E805">
        <v>63</v>
      </c>
      <c r="F805" s="3">
        <v>25.794092516448199</v>
      </c>
      <c r="G805" s="3" t="str">
        <f t="shared" si="12"/>
        <v>Overweight</v>
      </c>
      <c r="H805" t="s">
        <v>1113</v>
      </c>
      <c r="I805" t="s">
        <v>24</v>
      </c>
      <c r="J805" t="s">
        <v>19</v>
      </c>
      <c r="K805" t="s">
        <v>22</v>
      </c>
      <c r="L805" t="s">
        <v>14</v>
      </c>
      <c r="M805" t="s">
        <v>19</v>
      </c>
      <c r="N805" t="s">
        <v>25</v>
      </c>
      <c r="O805" t="s">
        <v>19</v>
      </c>
      <c r="P805" t="s">
        <v>20</v>
      </c>
      <c r="Q805" t="s">
        <v>40</v>
      </c>
    </row>
    <row r="806" spans="1:17" x14ac:dyDescent="0.35">
      <c r="A806">
        <v>806</v>
      </c>
      <c r="B806">
        <v>53</v>
      </c>
      <c r="C806" t="s">
        <v>27</v>
      </c>
      <c r="D806">
        <v>166</v>
      </c>
      <c r="E806">
        <v>66</v>
      </c>
      <c r="F806" s="3">
        <v>33.946913308747298</v>
      </c>
      <c r="G806" s="3" t="str">
        <f t="shared" si="12"/>
        <v>Obese</v>
      </c>
      <c r="H806" t="s">
        <v>693</v>
      </c>
      <c r="I806" t="s">
        <v>18</v>
      </c>
      <c r="J806" t="s">
        <v>20</v>
      </c>
      <c r="K806" t="s">
        <v>18</v>
      </c>
      <c r="L806" t="s">
        <v>14</v>
      </c>
      <c r="M806" t="s">
        <v>20</v>
      </c>
      <c r="N806" t="s">
        <v>25</v>
      </c>
      <c r="O806" t="s">
        <v>20</v>
      </c>
      <c r="P806" t="s">
        <v>20</v>
      </c>
      <c r="Q806" t="s">
        <v>18</v>
      </c>
    </row>
    <row r="807" spans="1:17" x14ac:dyDescent="0.35">
      <c r="A807">
        <v>1763</v>
      </c>
      <c r="B807">
        <v>55</v>
      </c>
      <c r="C807" t="s">
        <v>27</v>
      </c>
      <c r="D807">
        <v>164</v>
      </c>
      <c r="E807">
        <v>78</v>
      </c>
      <c r="F807" s="3">
        <v>22.307120738416302</v>
      </c>
      <c r="G807" s="3" t="str">
        <f t="shared" si="12"/>
        <v>Normal Weight</v>
      </c>
      <c r="H807" t="s">
        <v>1184</v>
      </c>
      <c r="I807" t="s">
        <v>18</v>
      </c>
      <c r="J807" t="s">
        <v>20</v>
      </c>
      <c r="K807" t="s">
        <v>22</v>
      </c>
      <c r="L807" t="s">
        <v>32</v>
      </c>
      <c r="M807" t="s">
        <v>20</v>
      </c>
      <c r="N807" t="s">
        <v>25</v>
      </c>
      <c r="O807" t="s">
        <v>19</v>
      </c>
      <c r="P807" t="s">
        <v>19</v>
      </c>
      <c r="Q807" t="s">
        <v>22</v>
      </c>
    </row>
    <row r="808" spans="1:17" x14ac:dyDescent="0.35">
      <c r="A808">
        <v>811</v>
      </c>
      <c r="B808">
        <v>56</v>
      </c>
      <c r="C808" t="s">
        <v>27</v>
      </c>
      <c r="D808">
        <v>174</v>
      </c>
      <c r="E808">
        <v>57</v>
      </c>
      <c r="F808" s="3">
        <v>22.6718171113897</v>
      </c>
      <c r="G808" s="3" t="str">
        <f t="shared" si="12"/>
        <v>Normal Weight</v>
      </c>
      <c r="H808" t="s">
        <v>695</v>
      </c>
      <c r="I808" t="s">
        <v>18</v>
      </c>
      <c r="J808" t="s">
        <v>19</v>
      </c>
      <c r="K808" t="s">
        <v>18</v>
      </c>
      <c r="L808" t="s">
        <v>14</v>
      </c>
      <c r="M808" t="s">
        <v>20</v>
      </c>
      <c r="N808" t="s">
        <v>21</v>
      </c>
      <c r="O808" t="s">
        <v>19</v>
      </c>
      <c r="P808" t="s">
        <v>20</v>
      </c>
      <c r="Q808" t="s">
        <v>18</v>
      </c>
    </row>
    <row r="809" spans="1:17" x14ac:dyDescent="0.35">
      <c r="A809">
        <v>812</v>
      </c>
      <c r="B809">
        <v>62</v>
      </c>
      <c r="C809" t="s">
        <v>27</v>
      </c>
      <c r="D809">
        <v>152</v>
      </c>
      <c r="E809">
        <v>78</v>
      </c>
      <c r="F809" s="3">
        <v>19.6101961132049</v>
      </c>
      <c r="G809" s="3" t="str">
        <f t="shared" si="12"/>
        <v>Normal Weight</v>
      </c>
      <c r="H809" t="s">
        <v>696</v>
      </c>
      <c r="I809" t="s">
        <v>24</v>
      </c>
      <c r="J809" t="s">
        <v>20</v>
      </c>
      <c r="K809" t="s">
        <v>18</v>
      </c>
      <c r="L809" t="s">
        <v>29</v>
      </c>
      <c r="M809" t="s">
        <v>20</v>
      </c>
      <c r="N809" t="s">
        <v>25</v>
      </c>
      <c r="O809" t="s">
        <v>19</v>
      </c>
      <c r="P809" t="s">
        <v>20</v>
      </c>
      <c r="Q809" t="s">
        <v>22</v>
      </c>
    </row>
    <row r="810" spans="1:17" x14ac:dyDescent="0.35">
      <c r="A810">
        <v>813</v>
      </c>
      <c r="B810">
        <v>70</v>
      </c>
      <c r="C810" t="s">
        <v>16</v>
      </c>
      <c r="D810">
        <v>187</v>
      </c>
      <c r="E810">
        <v>97</v>
      </c>
      <c r="F810" s="3">
        <v>22.921954903592201</v>
      </c>
      <c r="G810" s="3" t="str">
        <f t="shared" si="12"/>
        <v>Normal Weight</v>
      </c>
      <c r="H810" t="s">
        <v>553</v>
      </c>
      <c r="I810" t="s">
        <v>18</v>
      </c>
      <c r="J810" t="s">
        <v>20</v>
      </c>
      <c r="K810" t="s">
        <v>40</v>
      </c>
      <c r="L810" t="s">
        <v>29</v>
      </c>
      <c r="M810" t="s">
        <v>20</v>
      </c>
      <c r="N810" t="s">
        <v>25</v>
      </c>
      <c r="O810" t="s">
        <v>19</v>
      </c>
      <c r="P810" t="s">
        <v>20</v>
      </c>
      <c r="Q810" t="s">
        <v>22</v>
      </c>
    </row>
    <row r="811" spans="1:17" x14ac:dyDescent="0.35">
      <c r="A811">
        <v>56</v>
      </c>
      <c r="B811">
        <v>54</v>
      </c>
      <c r="C811" t="s">
        <v>27</v>
      </c>
      <c r="D811">
        <v>152</v>
      </c>
      <c r="E811">
        <v>77</v>
      </c>
      <c r="F811" s="3">
        <v>30.158968128404499</v>
      </c>
      <c r="G811" s="3" t="str">
        <f t="shared" si="12"/>
        <v>Obese</v>
      </c>
      <c r="H811" t="s">
        <v>85</v>
      </c>
      <c r="I811" t="s">
        <v>24</v>
      </c>
      <c r="J811" t="s">
        <v>19</v>
      </c>
      <c r="K811" t="s">
        <v>22</v>
      </c>
      <c r="L811" t="s">
        <v>32</v>
      </c>
      <c r="M811" t="s">
        <v>19</v>
      </c>
      <c r="N811" t="s">
        <v>25</v>
      </c>
      <c r="O811" t="s">
        <v>20</v>
      </c>
      <c r="P811" t="s">
        <v>20</v>
      </c>
      <c r="Q811" t="s">
        <v>40</v>
      </c>
    </row>
    <row r="812" spans="1:17" x14ac:dyDescent="0.35">
      <c r="A812">
        <v>818</v>
      </c>
      <c r="B812">
        <v>48</v>
      </c>
      <c r="C812" t="s">
        <v>27</v>
      </c>
      <c r="D812">
        <v>174</v>
      </c>
      <c r="E812">
        <v>76</v>
      </c>
      <c r="F812" s="3">
        <v>30.369904566984498</v>
      </c>
      <c r="G812" s="3" t="str">
        <f t="shared" si="12"/>
        <v>Obese</v>
      </c>
      <c r="H812" t="s">
        <v>90</v>
      </c>
      <c r="I812" t="s">
        <v>31</v>
      </c>
      <c r="J812" t="s">
        <v>19</v>
      </c>
      <c r="K812" t="s">
        <v>18</v>
      </c>
      <c r="L812" t="s">
        <v>38</v>
      </c>
      <c r="M812" t="s">
        <v>20</v>
      </c>
      <c r="N812" t="s">
        <v>25</v>
      </c>
      <c r="O812" t="s">
        <v>19</v>
      </c>
      <c r="P812" t="s">
        <v>20</v>
      </c>
      <c r="Q812" t="s">
        <v>40</v>
      </c>
    </row>
    <row r="813" spans="1:17" x14ac:dyDescent="0.35">
      <c r="A813">
        <v>821</v>
      </c>
      <c r="B813">
        <v>52</v>
      </c>
      <c r="C813" t="s">
        <v>16</v>
      </c>
      <c r="D813">
        <v>187</v>
      </c>
      <c r="E813">
        <v>69</v>
      </c>
      <c r="F813" s="3">
        <v>28.841430250948399</v>
      </c>
      <c r="G813" s="3" t="str">
        <f t="shared" si="12"/>
        <v>Overweight</v>
      </c>
      <c r="H813" t="s">
        <v>521</v>
      </c>
      <c r="I813" t="s">
        <v>31</v>
      </c>
      <c r="J813" t="s">
        <v>20</v>
      </c>
      <c r="K813" t="s">
        <v>18</v>
      </c>
      <c r="L813" t="s">
        <v>38</v>
      </c>
      <c r="M813" t="s">
        <v>20</v>
      </c>
      <c r="N813" t="s">
        <v>21</v>
      </c>
      <c r="O813" t="s">
        <v>19</v>
      </c>
      <c r="P813" t="s">
        <v>20</v>
      </c>
      <c r="Q813" t="s">
        <v>40</v>
      </c>
    </row>
    <row r="814" spans="1:17" x14ac:dyDescent="0.35">
      <c r="A814">
        <v>202</v>
      </c>
      <c r="B814">
        <v>54</v>
      </c>
      <c r="C814" t="s">
        <v>16</v>
      </c>
      <c r="D814">
        <v>187</v>
      </c>
      <c r="E814">
        <v>61</v>
      </c>
      <c r="F814" s="3">
        <v>30.981442951817002</v>
      </c>
      <c r="G814" s="3" t="str">
        <f t="shared" si="12"/>
        <v>Obese</v>
      </c>
      <c r="H814" t="s">
        <v>109</v>
      </c>
      <c r="I814" t="s">
        <v>31</v>
      </c>
      <c r="J814" t="s">
        <v>20</v>
      </c>
      <c r="K814" t="s">
        <v>22</v>
      </c>
      <c r="L814" t="s">
        <v>32</v>
      </c>
      <c r="M814" t="s">
        <v>19</v>
      </c>
      <c r="N814" t="s">
        <v>25</v>
      </c>
      <c r="O814" t="s">
        <v>20</v>
      </c>
      <c r="P814" t="s">
        <v>19</v>
      </c>
      <c r="Q814" t="s">
        <v>18</v>
      </c>
    </row>
    <row r="815" spans="1:17" x14ac:dyDescent="0.35">
      <c r="A815">
        <v>254</v>
      </c>
      <c r="B815">
        <v>54</v>
      </c>
      <c r="C815" t="s">
        <v>27</v>
      </c>
      <c r="D815">
        <v>160</v>
      </c>
      <c r="E815">
        <v>76</v>
      </c>
      <c r="F815" s="3">
        <v>21.4808494316365</v>
      </c>
      <c r="G815" s="3" t="str">
        <f t="shared" si="12"/>
        <v>Normal Weight</v>
      </c>
      <c r="H815" t="s">
        <v>265</v>
      </c>
      <c r="I815" t="s">
        <v>31</v>
      </c>
      <c r="J815" t="s">
        <v>20</v>
      </c>
      <c r="K815" t="s">
        <v>22</v>
      </c>
      <c r="L815" t="s">
        <v>14</v>
      </c>
      <c r="M815" t="s">
        <v>19</v>
      </c>
      <c r="N815" t="s">
        <v>25</v>
      </c>
      <c r="O815" t="s">
        <v>20</v>
      </c>
      <c r="P815" t="s">
        <v>19</v>
      </c>
      <c r="Q815" t="s">
        <v>40</v>
      </c>
    </row>
    <row r="816" spans="1:17" x14ac:dyDescent="0.35">
      <c r="A816">
        <v>822</v>
      </c>
      <c r="B816">
        <v>40</v>
      </c>
      <c r="C816" t="s">
        <v>27</v>
      </c>
      <c r="D816">
        <v>150</v>
      </c>
      <c r="E816">
        <v>94</v>
      </c>
      <c r="F816" s="3">
        <v>20.910593331431699</v>
      </c>
      <c r="G816" s="3" t="str">
        <f t="shared" si="12"/>
        <v>Normal Weight</v>
      </c>
      <c r="H816" t="s">
        <v>104</v>
      </c>
      <c r="I816" t="s">
        <v>18</v>
      </c>
      <c r="J816" t="s">
        <v>20</v>
      </c>
      <c r="K816" t="s">
        <v>18</v>
      </c>
      <c r="L816" t="s">
        <v>29</v>
      </c>
      <c r="M816" t="s">
        <v>19</v>
      </c>
      <c r="N816" t="s">
        <v>25</v>
      </c>
      <c r="O816" t="s">
        <v>19</v>
      </c>
      <c r="P816" t="s">
        <v>20</v>
      </c>
      <c r="Q816" t="s">
        <v>18</v>
      </c>
    </row>
    <row r="817" spans="1:17" x14ac:dyDescent="0.35">
      <c r="A817">
        <v>825</v>
      </c>
      <c r="B817">
        <v>28</v>
      </c>
      <c r="C817" t="s">
        <v>16</v>
      </c>
      <c r="D817">
        <v>165</v>
      </c>
      <c r="E817">
        <v>88</v>
      </c>
      <c r="F817" s="3">
        <v>29.262638361504301</v>
      </c>
      <c r="G817" s="3" t="str">
        <f t="shared" si="12"/>
        <v>Overweight</v>
      </c>
      <c r="H817" t="s">
        <v>704</v>
      </c>
      <c r="I817" t="s">
        <v>24</v>
      </c>
      <c r="J817" t="s">
        <v>20</v>
      </c>
      <c r="K817" t="s">
        <v>18</v>
      </c>
      <c r="L817" t="s">
        <v>29</v>
      </c>
      <c r="M817" t="s">
        <v>20</v>
      </c>
      <c r="N817" t="s">
        <v>25</v>
      </c>
      <c r="O817" t="s">
        <v>19</v>
      </c>
      <c r="P817" t="s">
        <v>19</v>
      </c>
      <c r="Q817" t="s">
        <v>22</v>
      </c>
    </row>
    <row r="818" spans="1:17" x14ac:dyDescent="0.35">
      <c r="A818">
        <v>372</v>
      </c>
      <c r="B818">
        <v>54</v>
      </c>
      <c r="C818" t="s">
        <v>16</v>
      </c>
      <c r="D818">
        <v>189</v>
      </c>
      <c r="E818">
        <v>86</v>
      </c>
      <c r="F818" s="3">
        <v>21.049593694843502</v>
      </c>
      <c r="G818" s="3" t="str">
        <f t="shared" si="12"/>
        <v>Normal Weight</v>
      </c>
      <c r="H818" t="s">
        <v>373</v>
      </c>
      <c r="I818" t="s">
        <v>24</v>
      </c>
      <c r="J818" t="s">
        <v>19</v>
      </c>
      <c r="K818" t="s">
        <v>22</v>
      </c>
      <c r="L818" t="s">
        <v>32</v>
      </c>
      <c r="M818" t="s">
        <v>19</v>
      </c>
      <c r="N818" t="s">
        <v>25</v>
      </c>
      <c r="O818" t="s">
        <v>20</v>
      </c>
      <c r="P818" t="s">
        <v>20</v>
      </c>
      <c r="Q818" t="s">
        <v>22</v>
      </c>
    </row>
    <row r="819" spans="1:17" x14ac:dyDescent="0.35">
      <c r="A819">
        <v>827</v>
      </c>
      <c r="B819">
        <v>64</v>
      </c>
      <c r="C819" t="s">
        <v>16</v>
      </c>
      <c r="D819">
        <v>189</v>
      </c>
      <c r="E819">
        <v>68</v>
      </c>
      <c r="F819" s="3">
        <v>28.334719325381101</v>
      </c>
      <c r="G819" s="3" t="str">
        <f t="shared" si="12"/>
        <v>Overweight</v>
      </c>
      <c r="H819" t="s">
        <v>706</v>
      </c>
      <c r="I819" t="s">
        <v>18</v>
      </c>
      <c r="J819" t="s">
        <v>19</v>
      </c>
      <c r="K819" t="s">
        <v>18</v>
      </c>
      <c r="L819" t="s">
        <v>38</v>
      </c>
      <c r="M819" t="s">
        <v>19</v>
      </c>
      <c r="N819" t="s">
        <v>25</v>
      </c>
      <c r="O819" t="s">
        <v>19</v>
      </c>
      <c r="P819" t="s">
        <v>20</v>
      </c>
      <c r="Q819" t="s">
        <v>18</v>
      </c>
    </row>
    <row r="820" spans="1:17" x14ac:dyDescent="0.35">
      <c r="A820">
        <v>828</v>
      </c>
      <c r="B820">
        <v>29</v>
      </c>
      <c r="C820" t="s">
        <v>27</v>
      </c>
      <c r="D820">
        <v>177</v>
      </c>
      <c r="E820">
        <v>87</v>
      </c>
      <c r="F820" s="3">
        <v>20.272934118376899</v>
      </c>
      <c r="G820" s="3" t="str">
        <f t="shared" si="12"/>
        <v>Normal Weight</v>
      </c>
      <c r="H820" t="s">
        <v>524</v>
      </c>
      <c r="I820" t="s">
        <v>24</v>
      </c>
      <c r="J820" t="s">
        <v>20</v>
      </c>
      <c r="K820" t="s">
        <v>18</v>
      </c>
      <c r="L820" t="s">
        <v>29</v>
      </c>
      <c r="M820" t="s">
        <v>20</v>
      </c>
      <c r="N820" t="s">
        <v>21</v>
      </c>
      <c r="O820" t="s">
        <v>19</v>
      </c>
      <c r="P820" t="s">
        <v>19</v>
      </c>
      <c r="Q820" t="s">
        <v>40</v>
      </c>
    </row>
    <row r="821" spans="1:17" x14ac:dyDescent="0.35">
      <c r="A821">
        <v>830</v>
      </c>
      <c r="B821">
        <v>27</v>
      </c>
      <c r="C821" t="s">
        <v>27</v>
      </c>
      <c r="D821">
        <v>176</v>
      </c>
      <c r="E821">
        <v>94</v>
      </c>
      <c r="F821" s="3">
        <v>33.507813051774903</v>
      </c>
      <c r="G821" s="3" t="str">
        <f t="shared" si="12"/>
        <v>Obese</v>
      </c>
      <c r="H821" t="s">
        <v>708</v>
      </c>
      <c r="I821" t="s">
        <v>18</v>
      </c>
      <c r="J821" t="s">
        <v>19</v>
      </c>
      <c r="K821" t="s">
        <v>18</v>
      </c>
      <c r="L821" t="s">
        <v>32</v>
      </c>
      <c r="M821" t="s">
        <v>20</v>
      </c>
      <c r="N821" t="s">
        <v>25</v>
      </c>
      <c r="O821" t="s">
        <v>19</v>
      </c>
      <c r="P821" t="s">
        <v>19</v>
      </c>
      <c r="Q821" t="s">
        <v>22</v>
      </c>
    </row>
    <row r="822" spans="1:17" x14ac:dyDescent="0.35">
      <c r="A822">
        <v>835</v>
      </c>
      <c r="B822">
        <v>55</v>
      </c>
      <c r="C822" t="s">
        <v>27</v>
      </c>
      <c r="D822">
        <v>156</v>
      </c>
      <c r="E822">
        <v>77</v>
      </c>
      <c r="F822" s="3">
        <v>22.875317229525301</v>
      </c>
      <c r="G822" s="3" t="str">
        <f t="shared" si="12"/>
        <v>Normal Weight</v>
      </c>
      <c r="H822" t="s">
        <v>712</v>
      </c>
      <c r="I822" t="s">
        <v>31</v>
      </c>
      <c r="J822" t="s">
        <v>19</v>
      </c>
      <c r="K822" t="s">
        <v>18</v>
      </c>
      <c r="L822" t="s">
        <v>32</v>
      </c>
      <c r="M822" t="s">
        <v>19</v>
      </c>
      <c r="N822" t="s">
        <v>21</v>
      </c>
      <c r="O822" t="s">
        <v>20</v>
      </c>
      <c r="P822" t="s">
        <v>19</v>
      </c>
      <c r="Q822" t="s">
        <v>22</v>
      </c>
    </row>
    <row r="823" spans="1:17" x14ac:dyDescent="0.35">
      <c r="A823">
        <v>658</v>
      </c>
      <c r="B823">
        <v>54</v>
      </c>
      <c r="C823" t="s">
        <v>27</v>
      </c>
      <c r="D823">
        <v>188</v>
      </c>
      <c r="E823">
        <v>76</v>
      </c>
      <c r="F823" s="3">
        <v>22.536808400977701</v>
      </c>
      <c r="G823" s="3" t="str">
        <f t="shared" si="12"/>
        <v>Normal Weight</v>
      </c>
      <c r="H823" t="s">
        <v>594</v>
      </c>
      <c r="I823" t="s">
        <v>24</v>
      </c>
      <c r="J823" t="s">
        <v>20</v>
      </c>
      <c r="K823" t="s">
        <v>22</v>
      </c>
      <c r="L823" t="s">
        <v>32</v>
      </c>
      <c r="M823" t="s">
        <v>19</v>
      </c>
      <c r="N823" t="s">
        <v>25</v>
      </c>
      <c r="O823" t="s">
        <v>19</v>
      </c>
      <c r="P823" t="s">
        <v>20</v>
      </c>
      <c r="Q823" t="s">
        <v>18</v>
      </c>
    </row>
    <row r="824" spans="1:17" x14ac:dyDescent="0.35">
      <c r="A824">
        <v>838</v>
      </c>
      <c r="B824">
        <v>30</v>
      </c>
      <c r="C824" t="s">
        <v>27</v>
      </c>
      <c r="D824">
        <v>174</v>
      </c>
      <c r="E824">
        <v>71</v>
      </c>
      <c r="F824" s="3">
        <v>33.6109367451472</v>
      </c>
      <c r="G824" s="3" t="str">
        <f t="shared" si="12"/>
        <v>Obese</v>
      </c>
      <c r="H824" t="s">
        <v>326</v>
      </c>
      <c r="I824" t="s">
        <v>31</v>
      </c>
      <c r="J824" t="s">
        <v>19</v>
      </c>
      <c r="K824" t="s">
        <v>18</v>
      </c>
      <c r="L824" t="s">
        <v>32</v>
      </c>
      <c r="M824" t="s">
        <v>20</v>
      </c>
      <c r="N824" t="s">
        <v>25</v>
      </c>
      <c r="O824" t="s">
        <v>19</v>
      </c>
      <c r="P824" t="s">
        <v>20</v>
      </c>
      <c r="Q824" t="s">
        <v>40</v>
      </c>
    </row>
    <row r="825" spans="1:17" x14ac:dyDescent="0.35">
      <c r="A825">
        <v>843</v>
      </c>
      <c r="B825">
        <v>44</v>
      </c>
      <c r="C825" t="s">
        <v>16</v>
      </c>
      <c r="D825">
        <v>165</v>
      </c>
      <c r="E825">
        <v>91</v>
      </c>
      <c r="F825" s="3">
        <v>34.411828361593699</v>
      </c>
      <c r="G825" s="3" t="str">
        <f t="shared" si="12"/>
        <v>Obese</v>
      </c>
      <c r="H825" t="s">
        <v>716</v>
      </c>
      <c r="I825" t="s">
        <v>31</v>
      </c>
      <c r="J825" t="s">
        <v>20</v>
      </c>
      <c r="K825" t="s">
        <v>18</v>
      </c>
      <c r="L825" t="s">
        <v>32</v>
      </c>
      <c r="M825" t="s">
        <v>20</v>
      </c>
      <c r="N825" t="s">
        <v>25</v>
      </c>
      <c r="O825" t="s">
        <v>20</v>
      </c>
      <c r="P825" t="s">
        <v>20</v>
      </c>
      <c r="Q825" t="s">
        <v>40</v>
      </c>
    </row>
    <row r="826" spans="1:17" x14ac:dyDescent="0.35">
      <c r="A826">
        <v>844</v>
      </c>
      <c r="B826">
        <v>75</v>
      </c>
      <c r="C826" t="s">
        <v>27</v>
      </c>
      <c r="D826">
        <v>185</v>
      </c>
      <c r="E826">
        <v>75</v>
      </c>
      <c r="F826" s="3">
        <v>21.2015278050063</v>
      </c>
      <c r="G826" s="3" t="str">
        <f t="shared" si="12"/>
        <v>Normal Weight</v>
      </c>
      <c r="H826" t="s">
        <v>717</v>
      </c>
      <c r="I826" t="s">
        <v>24</v>
      </c>
      <c r="J826" t="s">
        <v>19</v>
      </c>
      <c r="K826" t="s">
        <v>40</v>
      </c>
      <c r="L826" t="s">
        <v>32</v>
      </c>
      <c r="M826" t="s">
        <v>20</v>
      </c>
      <c r="N826" t="s">
        <v>25</v>
      </c>
      <c r="O826" t="s">
        <v>20</v>
      </c>
      <c r="P826" t="s">
        <v>19</v>
      </c>
      <c r="Q826" t="s">
        <v>18</v>
      </c>
    </row>
    <row r="827" spans="1:17" x14ac:dyDescent="0.35">
      <c r="A827">
        <v>846</v>
      </c>
      <c r="B827">
        <v>22</v>
      </c>
      <c r="C827" t="s">
        <v>16</v>
      </c>
      <c r="D827">
        <v>156</v>
      </c>
      <c r="E827">
        <v>75</v>
      </c>
      <c r="F827" s="3">
        <v>20.152557458861601</v>
      </c>
      <c r="G827" s="3" t="str">
        <f t="shared" si="12"/>
        <v>Normal Weight</v>
      </c>
      <c r="H827" t="s">
        <v>474</v>
      </c>
      <c r="I827" t="s">
        <v>31</v>
      </c>
      <c r="J827" t="s">
        <v>20</v>
      </c>
      <c r="K827" t="s">
        <v>18</v>
      </c>
      <c r="L827" t="s">
        <v>29</v>
      </c>
      <c r="M827" t="s">
        <v>19</v>
      </c>
      <c r="N827" t="s">
        <v>25</v>
      </c>
      <c r="O827" t="s">
        <v>20</v>
      </c>
      <c r="P827" t="s">
        <v>19</v>
      </c>
      <c r="Q827" t="s">
        <v>40</v>
      </c>
    </row>
    <row r="828" spans="1:17" x14ac:dyDescent="0.35">
      <c r="A828">
        <v>847</v>
      </c>
      <c r="B828">
        <v>46</v>
      </c>
      <c r="C828" t="s">
        <v>16</v>
      </c>
      <c r="D828">
        <v>185</v>
      </c>
      <c r="E828">
        <v>72</v>
      </c>
      <c r="F828" s="3">
        <v>22.9833403818199</v>
      </c>
      <c r="G828" s="3" t="str">
        <f t="shared" si="12"/>
        <v>Normal Weight</v>
      </c>
      <c r="H828" t="s">
        <v>719</v>
      </c>
      <c r="I828" t="s">
        <v>18</v>
      </c>
      <c r="J828" t="s">
        <v>19</v>
      </c>
      <c r="K828" t="s">
        <v>18</v>
      </c>
      <c r="L828" t="s">
        <v>29</v>
      </c>
      <c r="M828" t="s">
        <v>19</v>
      </c>
      <c r="N828" t="s">
        <v>25</v>
      </c>
      <c r="O828" t="s">
        <v>19</v>
      </c>
      <c r="P828" t="s">
        <v>20</v>
      </c>
      <c r="Q828" t="s">
        <v>22</v>
      </c>
    </row>
    <row r="829" spans="1:17" x14ac:dyDescent="0.35">
      <c r="A829">
        <v>848</v>
      </c>
      <c r="B829">
        <v>54</v>
      </c>
      <c r="C829" t="s">
        <v>16</v>
      </c>
      <c r="D829">
        <v>158</v>
      </c>
      <c r="E829">
        <v>92</v>
      </c>
      <c r="F829" s="3">
        <v>31.9632705253509</v>
      </c>
      <c r="G829" s="3" t="str">
        <f t="shared" si="12"/>
        <v>Obese</v>
      </c>
      <c r="H829" t="s">
        <v>720</v>
      </c>
      <c r="I829" t="s">
        <v>24</v>
      </c>
      <c r="J829" t="s">
        <v>20</v>
      </c>
      <c r="K829" t="s">
        <v>18</v>
      </c>
      <c r="L829" t="s">
        <v>29</v>
      </c>
      <c r="M829" t="s">
        <v>20</v>
      </c>
      <c r="N829" t="s">
        <v>21</v>
      </c>
      <c r="O829" t="s">
        <v>19</v>
      </c>
      <c r="P829" t="s">
        <v>19</v>
      </c>
      <c r="Q829" t="s">
        <v>22</v>
      </c>
    </row>
    <row r="830" spans="1:17" x14ac:dyDescent="0.35">
      <c r="A830">
        <v>849</v>
      </c>
      <c r="B830">
        <v>55</v>
      </c>
      <c r="C830" t="s">
        <v>16</v>
      </c>
      <c r="D830">
        <v>181</v>
      </c>
      <c r="E830">
        <v>62</v>
      </c>
      <c r="F830" s="3">
        <v>24.742207518226699</v>
      </c>
      <c r="G830" s="3" t="str">
        <f t="shared" si="12"/>
        <v>Normal Weight</v>
      </c>
      <c r="H830" t="s">
        <v>268</v>
      </c>
      <c r="I830" t="s">
        <v>31</v>
      </c>
      <c r="J830" t="s">
        <v>20</v>
      </c>
      <c r="K830" t="s">
        <v>18</v>
      </c>
      <c r="L830" t="s">
        <v>29</v>
      </c>
      <c r="M830" t="s">
        <v>19</v>
      </c>
      <c r="N830" t="s">
        <v>21</v>
      </c>
      <c r="O830" t="s">
        <v>19</v>
      </c>
      <c r="P830" t="s">
        <v>19</v>
      </c>
      <c r="Q830" t="s">
        <v>22</v>
      </c>
    </row>
    <row r="831" spans="1:17" x14ac:dyDescent="0.35">
      <c r="A831">
        <v>1030</v>
      </c>
      <c r="B831">
        <v>54</v>
      </c>
      <c r="C831" t="s">
        <v>27</v>
      </c>
      <c r="D831">
        <v>153</v>
      </c>
      <c r="E831">
        <v>61</v>
      </c>
      <c r="F831" s="3">
        <v>18.731239539179899</v>
      </c>
      <c r="G831" s="3" t="str">
        <f t="shared" si="12"/>
        <v>Normal Weight</v>
      </c>
      <c r="H831" t="s">
        <v>258</v>
      </c>
      <c r="I831" t="s">
        <v>24</v>
      </c>
      <c r="J831" t="s">
        <v>20</v>
      </c>
      <c r="K831" t="s">
        <v>22</v>
      </c>
      <c r="L831" t="s">
        <v>32</v>
      </c>
      <c r="M831" t="s">
        <v>19</v>
      </c>
      <c r="N831" t="s">
        <v>21</v>
      </c>
      <c r="O831" t="s">
        <v>19</v>
      </c>
      <c r="P831" t="s">
        <v>19</v>
      </c>
      <c r="Q831" t="s">
        <v>40</v>
      </c>
    </row>
    <row r="832" spans="1:17" x14ac:dyDescent="0.35">
      <c r="A832">
        <v>851</v>
      </c>
      <c r="B832">
        <v>25</v>
      </c>
      <c r="C832" t="s">
        <v>27</v>
      </c>
      <c r="D832">
        <v>157</v>
      </c>
      <c r="E832">
        <v>58</v>
      </c>
      <c r="F832" s="3">
        <v>24.1467211588519</v>
      </c>
      <c r="G832" s="3" t="str">
        <f t="shared" si="12"/>
        <v>Normal Weight</v>
      </c>
      <c r="H832" t="s">
        <v>721</v>
      </c>
      <c r="I832" t="s">
        <v>18</v>
      </c>
      <c r="J832" t="s">
        <v>20</v>
      </c>
      <c r="K832" t="s">
        <v>18</v>
      </c>
      <c r="L832" t="s">
        <v>29</v>
      </c>
      <c r="M832" t="s">
        <v>19</v>
      </c>
      <c r="N832" t="s">
        <v>25</v>
      </c>
      <c r="O832" t="s">
        <v>19</v>
      </c>
      <c r="P832" t="s">
        <v>19</v>
      </c>
      <c r="Q832" t="s">
        <v>22</v>
      </c>
    </row>
    <row r="833" spans="1:17" x14ac:dyDescent="0.35">
      <c r="A833">
        <v>1232</v>
      </c>
      <c r="B833">
        <v>54</v>
      </c>
      <c r="C833" t="s">
        <v>27</v>
      </c>
      <c r="D833">
        <v>168</v>
      </c>
      <c r="E833">
        <v>86</v>
      </c>
      <c r="F833" s="3">
        <v>23.404032878443999</v>
      </c>
      <c r="G833" s="3" t="str">
        <f t="shared" si="12"/>
        <v>Normal Weight</v>
      </c>
      <c r="H833" t="s">
        <v>943</v>
      </c>
      <c r="I833" t="s">
        <v>18</v>
      </c>
      <c r="J833" t="s">
        <v>20</v>
      </c>
      <c r="K833" t="s">
        <v>22</v>
      </c>
      <c r="L833" t="s">
        <v>32</v>
      </c>
      <c r="M833" t="s">
        <v>20</v>
      </c>
      <c r="N833" t="s">
        <v>21</v>
      </c>
      <c r="O833" t="s">
        <v>19</v>
      </c>
      <c r="P833" t="s">
        <v>20</v>
      </c>
      <c r="Q833" t="s">
        <v>22</v>
      </c>
    </row>
    <row r="834" spans="1:17" x14ac:dyDescent="0.35">
      <c r="A834">
        <v>854</v>
      </c>
      <c r="B834">
        <v>18</v>
      </c>
      <c r="C834" t="s">
        <v>16</v>
      </c>
      <c r="D834">
        <v>174</v>
      </c>
      <c r="E834">
        <v>97</v>
      </c>
      <c r="F834" s="3">
        <v>25.3666556157016</v>
      </c>
      <c r="G834" s="3" t="str">
        <f t="shared" si="12"/>
        <v>Overweight</v>
      </c>
      <c r="H834" t="s">
        <v>723</v>
      </c>
      <c r="I834" t="s">
        <v>24</v>
      </c>
      <c r="J834" t="s">
        <v>20</v>
      </c>
      <c r="K834" t="s">
        <v>18</v>
      </c>
      <c r="L834" t="s">
        <v>14</v>
      </c>
      <c r="M834" t="s">
        <v>20</v>
      </c>
      <c r="N834" t="s">
        <v>25</v>
      </c>
      <c r="O834" t="s">
        <v>20</v>
      </c>
      <c r="P834" t="s">
        <v>19</v>
      </c>
      <c r="Q834" t="s">
        <v>22</v>
      </c>
    </row>
    <row r="835" spans="1:17" x14ac:dyDescent="0.35">
      <c r="A835">
        <v>1277</v>
      </c>
      <c r="B835">
        <v>54</v>
      </c>
      <c r="C835" t="s">
        <v>27</v>
      </c>
      <c r="D835">
        <v>151</v>
      </c>
      <c r="E835">
        <v>94</v>
      </c>
      <c r="F835" s="3">
        <v>27.6426381265311</v>
      </c>
      <c r="G835" s="3" t="str">
        <f t="shared" ref="G835:G898" si="13">_xlfn.IFS(F835&lt;18.5, "Underweight", F835&lt;=24.9, "Normal Weight", F835&lt;=29.9, "Overweight", TRUE, "Obese")</f>
        <v>Overweight</v>
      </c>
      <c r="H835" t="s">
        <v>967</v>
      </c>
      <c r="I835" t="s">
        <v>18</v>
      </c>
      <c r="J835" t="s">
        <v>19</v>
      </c>
      <c r="K835" t="s">
        <v>22</v>
      </c>
      <c r="L835" t="s">
        <v>32</v>
      </c>
      <c r="M835" t="s">
        <v>19</v>
      </c>
      <c r="N835" t="s">
        <v>21</v>
      </c>
      <c r="O835" t="s">
        <v>19</v>
      </c>
      <c r="P835" t="s">
        <v>19</v>
      </c>
      <c r="Q835" t="s">
        <v>40</v>
      </c>
    </row>
    <row r="836" spans="1:17" x14ac:dyDescent="0.35">
      <c r="A836">
        <v>856</v>
      </c>
      <c r="B836">
        <v>69</v>
      </c>
      <c r="C836" t="s">
        <v>27</v>
      </c>
      <c r="D836">
        <v>171</v>
      </c>
      <c r="E836">
        <v>61</v>
      </c>
      <c r="F836" s="3">
        <v>34.771917155180901</v>
      </c>
      <c r="G836" s="3" t="str">
        <f t="shared" si="13"/>
        <v>Obese</v>
      </c>
      <c r="H836" t="s">
        <v>401</v>
      </c>
      <c r="I836" t="s">
        <v>24</v>
      </c>
      <c r="J836" t="s">
        <v>19</v>
      </c>
      <c r="K836" t="s">
        <v>18</v>
      </c>
      <c r="L836" t="s">
        <v>38</v>
      </c>
      <c r="M836" t="s">
        <v>19</v>
      </c>
      <c r="N836" t="s">
        <v>25</v>
      </c>
      <c r="O836" t="s">
        <v>20</v>
      </c>
      <c r="P836" t="s">
        <v>19</v>
      </c>
      <c r="Q836" t="s">
        <v>22</v>
      </c>
    </row>
    <row r="837" spans="1:17" x14ac:dyDescent="0.35">
      <c r="A837">
        <v>1346</v>
      </c>
      <c r="B837">
        <v>54</v>
      </c>
      <c r="C837" t="s">
        <v>16</v>
      </c>
      <c r="D837">
        <v>189</v>
      </c>
      <c r="E837">
        <v>65</v>
      </c>
      <c r="F837" s="3">
        <v>25.803804996297099</v>
      </c>
      <c r="G837" s="3" t="str">
        <f t="shared" si="13"/>
        <v>Overweight</v>
      </c>
      <c r="H837" t="s">
        <v>751</v>
      </c>
      <c r="I837" t="s">
        <v>18</v>
      </c>
      <c r="J837" t="s">
        <v>19</v>
      </c>
      <c r="K837" t="s">
        <v>22</v>
      </c>
      <c r="L837" t="s">
        <v>32</v>
      </c>
      <c r="M837" t="s">
        <v>19</v>
      </c>
      <c r="N837" t="s">
        <v>21</v>
      </c>
      <c r="O837" t="s">
        <v>19</v>
      </c>
      <c r="P837" t="s">
        <v>20</v>
      </c>
      <c r="Q837" t="s">
        <v>40</v>
      </c>
    </row>
    <row r="838" spans="1:17" x14ac:dyDescent="0.35">
      <c r="A838">
        <v>1368</v>
      </c>
      <c r="B838">
        <v>54</v>
      </c>
      <c r="C838" t="s">
        <v>16</v>
      </c>
      <c r="D838">
        <v>155</v>
      </c>
      <c r="E838">
        <v>80</v>
      </c>
      <c r="F838" s="3">
        <v>24.4304931427084</v>
      </c>
      <c r="G838" s="3" t="str">
        <f t="shared" si="13"/>
        <v>Normal Weight</v>
      </c>
      <c r="H838" t="s">
        <v>1014</v>
      </c>
      <c r="I838" t="s">
        <v>31</v>
      </c>
      <c r="J838" t="s">
        <v>20</v>
      </c>
      <c r="K838" t="s">
        <v>22</v>
      </c>
      <c r="L838" t="s">
        <v>32</v>
      </c>
      <c r="M838" t="s">
        <v>19</v>
      </c>
      <c r="N838" t="s">
        <v>21</v>
      </c>
      <c r="O838" t="s">
        <v>19</v>
      </c>
      <c r="P838" t="s">
        <v>19</v>
      </c>
      <c r="Q838" t="s">
        <v>40</v>
      </c>
    </row>
    <row r="839" spans="1:17" x14ac:dyDescent="0.35">
      <c r="A839">
        <v>859</v>
      </c>
      <c r="B839">
        <v>42</v>
      </c>
      <c r="C839" t="s">
        <v>27</v>
      </c>
      <c r="D839">
        <v>152</v>
      </c>
      <c r="E839">
        <v>63</v>
      </c>
      <c r="F839" s="3">
        <v>19.6561334793996</v>
      </c>
      <c r="G839" s="3" t="str">
        <f t="shared" si="13"/>
        <v>Normal Weight</v>
      </c>
      <c r="H839" t="s">
        <v>437</v>
      </c>
      <c r="I839" t="s">
        <v>18</v>
      </c>
      <c r="J839" t="s">
        <v>20</v>
      </c>
      <c r="K839" t="s">
        <v>18</v>
      </c>
      <c r="L839" t="s">
        <v>14</v>
      </c>
      <c r="M839" t="s">
        <v>19</v>
      </c>
      <c r="N839" t="s">
        <v>25</v>
      </c>
      <c r="O839" t="s">
        <v>20</v>
      </c>
      <c r="P839" t="s">
        <v>20</v>
      </c>
      <c r="Q839" t="s">
        <v>40</v>
      </c>
    </row>
    <row r="840" spans="1:17" x14ac:dyDescent="0.35">
      <c r="A840">
        <v>1409</v>
      </c>
      <c r="B840">
        <v>54</v>
      </c>
      <c r="C840" t="s">
        <v>16</v>
      </c>
      <c r="D840">
        <v>156</v>
      </c>
      <c r="E840">
        <v>60</v>
      </c>
      <c r="F840" s="3">
        <v>26.015181938104899</v>
      </c>
      <c r="G840" s="3" t="str">
        <f t="shared" si="13"/>
        <v>Overweight</v>
      </c>
      <c r="H840" t="s">
        <v>419</v>
      </c>
      <c r="I840" t="s">
        <v>24</v>
      </c>
      <c r="J840" t="s">
        <v>20</v>
      </c>
      <c r="K840" t="s">
        <v>22</v>
      </c>
      <c r="L840" t="s">
        <v>32</v>
      </c>
      <c r="M840" t="s">
        <v>19</v>
      </c>
      <c r="N840" t="s">
        <v>21</v>
      </c>
      <c r="O840" t="s">
        <v>19</v>
      </c>
      <c r="P840" t="s">
        <v>20</v>
      </c>
      <c r="Q840" t="s">
        <v>40</v>
      </c>
    </row>
    <row r="841" spans="1:17" x14ac:dyDescent="0.35">
      <c r="A841">
        <v>861</v>
      </c>
      <c r="B841">
        <v>21</v>
      </c>
      <c r="C841" t="s">
        <v>27</v>
      </c>
      <c r="D841">
        <v>178</v>
      </c>
      <c r="E841">
        <v>75</v>
      </c>
      <c r="F841" s="3">
        <v>20.486239466841301</v>
      </c>
      <c r="G841" s="3" t="str">
        <f t="shared" si="13"/>
        <v>Normal Weight</v>
      </c>
      <c r="H841" t="s">
        <v>360</v>
      </c>
      <c r="I841" t="s">
        <v>24</v>
      </c>
      <c r="J841" t="s">
        <v>20</v>
      </c>
      <c r="K841" t="s">
        <v>18</v>
      </c>
      <c r="L841" t="s">
        <v>29</v>
      </c>
      <c r="M841" t="s">
        <v>20</v>
      </c>
      <c r="N841" t="s">
        <v>25</v>
      </c>
      <c r="O841" t="s">
        <v>19</v>
      </c>
      <c r="P841" t="s">
        <v>19</v>
      </c>
      <c r="Q841" t="s">
        <v>18</v>
      </c>
    </row>
    <row r="842" spans="1:17" x14ac:dyDescent="0.35">
      <c r="A842">
        <v>864</v>
      </c>
      <c r="B842">
        <v>77</v>
      </c>
      <c r="C842" t="s">
        <v>16</v>
      </c>
      <c r="D842">
        <v>177</v>
      </c>
      <c r="E842">
        <v>60</v>
      </c>
      <c r="F842" s="3">
        <v>26.6962665620987</v>
      </c>
      <c r="G842" s="3" t="str">
        <f t="shared" si="13"/>
        <v>Overweight</v>
      </c>
      <c r="H842" t="s">
        <v>728</v>
      </c>
      <c r="I842" t="s">
        <v>18</v>
      </c>
      <c r="J842" t="s">
        <v>20</v>
      </c>
      <c r="K842" t="s">
        <v>40</v>
      </c>
      <c r="L842" t="s">
        <v>14</v>
      </c>
      <c r="M842" t="s">
        <v>19</v>
      </c>
      <c r="N842" t="s">
        <v>21</v>
      </c>
      <c r="O842" t="s">
        <v>20</v>
      </c>
      <c r="P842" t="s">
        <v>19</v>
      </c>
      <c r="Q842" t="s">
        <v>22</v>
      </c>
    </row>
    <row r="843" spans="1:17" x14ac:dyDescent="0.35">
      <c r="A843">
        <v>1564</v>
      </c>
      <c r="B843">
        <v>54</v>
      </c>
      <c r="C843" t="s">
        <v>16</v>
      </c>
      <c r="D843">
        <v>151</v>
      </c>
      <c r="E843">
        <v>72</v>
      </c>
      <c r="F843" s="3">
        <v>21.068927862972799</v>
      </c>
      <c r="G843" s="3" t="str">
        <f t="shared" si="13"/>
        <v>Normal Weight</v>
      </c>
      <c r="H843" t="s">
        <v>1101</v>
      </c>
      <c r="I843" t="s">
        <v>31</v>
      </c>
      <c r="J843" t="s">
        <v>20</v>
      </c>
      <c r="K843" t="s">
        <v>22</v>
      </c>
      <c r="L843" t="s">
        <v>14</v>
      </c>
      <c r="M843" t="s">
        <v>20</v>
      </c>
      <c r="N843" t="s">
        <v>25</v>
      </c>
      <c r="O843" t="s">
        <v>19</v>
      </c>
      <c r="P843" t="s">
        <v>20</v>
      </c>
      <c r="Q843" t="s">
        <v>22</v>
      </c>
    </row>
    <row r="844" spans="1:17" x14ac:dyDescent="0.35">
      <c r="A844">
        <v>865</v>
      </c>
      <c r="B844">
        <v>48</v>
      </c>
      <c r="C844" t="s">
        <v>16</v>
      </c>
      <c r="D844">
        <v>162</v>
      </c>
      <c r="E844">
        <v>87</v>
      </c>
      <c r="F844" s="3">
        <v>32.408600460527197</v>
      </c>
      <c r="G844" s="3" t="str">
        <f t="shared" si="13"/>
        <v>Obese</v>
      </c>
      <c r="H844" t="s">
        <v>550</v>
      </c>
      <c r="I844" t="s">
        <v>24</v>
      </c>
      <c r="J844" t="s">
        <v>19</v>
      </c>
      <c r="K844" t="s">
        <v>18</v>
      </c>
      <c r="L844" t="s">
        <v>29</v>
      </c>
      <c r="M844" t="s">
        <v>19</v>
      </c>
      <c r="N844" t="s">
        <v>21</v>
      </c>
      <c r="O844" t="s">
        <v>20</v>
      </c>
      <c r="P844" t="s">
        <v>19</v>
      </c>
      <c r="Q844" t="s">
        <v>18</v>
      </c>
    </row>
    <row r="845" spans="1:17" x14ac:dyDescent="0.35">
      <c r="A845">
        <v>866</v>
      </c>
      <c r="B845">
        <v>36</v>
      </c>
      <c r="C845" t="s">
        <v>16</v>
      </c>
      <c r="D845">
        <v>164</v>
      </c>
      <c r="E845">
        <v>83</v>
      </c>
      <c r="F845" s="3">
        <v>25.857129227686801</v>
      </c>
      <c r="G845" s="3" t="str">
        <f t="shared" si="13"/>
        <v>Overweight</v>
      </c>
      <c r="H845" t="s">
        <v>729</v>
      </c>
      <c r="I845" t="s">
        <v>24</v>
      </c>
      <c r="J845" t="s">
        <v>20</v>
      </c>
      <c r="K845" t="s">
        <v>18</v>
      </c>
      <c r="L845" t="s">
        <v>32</v>
      </c>
      <c r="M845" t="s">
        <v>20</v>
      </c>
      <c r="N845" t="s">
        <v>21</v>
      </c>
      <c r="O845" t="s">
        <v>19</v>
      </c>
      <c r="P845" t="s">
        <v>19</v>
      </c>
      <c r="Q845" t="s">
        <v>18</v>
      </c>
    </row>
    <row r="846" spans="1:17" x14ac:dyDescent="0.35">
      <c r="A846">
        <v>868</v>
      </c>
      <c r="B846">
        <v>61</v>
      </c>
      <c r="C846" t="s">
        <v>27</v>
      </c>
      <c r="D846">
        <v>175</v>
      </c>
      <c r="E846">
        <v>68</v>
      </c>
      <c r="F846" s="3">
        <v>30.5759001652272</v>
      </c>
      <c r="G846" s="3" t="str">
        <f t="shared" si="13"/>
        <v>Obese</v>
      </c>
      <c r="H846" t="s">
        <v>122</v>
      </c>
      <c r="I846" t="s">
        <v>31</v>
      </c>
      <c r="J846" t="s">
        <v>19</v>
      </c>
      <c r="K846" t="s">
        <v>18</v>
      </c>
      <c r="L846" t="s">
        <v>32</v>
      </c>
      <c r="M846" t="s">
        <v>19</v>
      </c>
      <c r="N846" t="s">
        <v>21</v>
      </c>
      <c r="O846" t="s">
        <v>20</v>
      </c>
      <c r="P846" t="s">
        <v>19</v>
      </c>
      <c r="Q846" t="s">
        <v>18</v>
      </c>
    </row>
    <row r="847" spans="1:17" x14ac:dyDescent="0.35">
      <c r="A847">
        <v>869</v>
      </c>
      <c r="B847">
        <v>71</v>
      </c>
      <c r="C847" t="s">
        <v>16</v>
      </c>
      <c r="D847">
        <v>153</v>
      </c>
      <c r="E847">
        <v>55</v>
      </c>
      <c r="F847" s="3">
        <v>21.370401147405001</v>
      </c>
      <c r="G847" s="3" t="str">
        <f t="shared" si="13"/>
        <v>Normal Weight</v>
      </c>
      <c r="H847" t="s">
        <v>264</v>
      </c>
      <c r="I847" t="s">
        <v>18</v>
      </c>
      <c r="J847" t="s">
        <v>20</v>
      </c>
      <c r="K847" t="s">
        <v>40</v>
      </c>
      <c r="L847" t="s">
        <v>38</v>
      </c>
      <c r="M847" t="s">
        <v>20</v>
      </c>
      <c r="N847" t="s">
        <v>25</v>
      </c>
      <c r="O847" t="s">
        <v>19</v>
      </c>
      <c r="P847" t="s">
        <v>19</v>
      </c>
      <c r="Q847" t="s">
        <v>18</v>
      </c>
    </row>
    <row r="848" spans="1:17" x14ac:dyDescent="0.35">
      <c r="A848">
        <v>1817</v>
      </c>
      <c r="B848">
        <v>54</v>
      </c>
      <c r="C848" t="s">
        <v>27</v>
      </c>
      <c r="D848">
        <v>183</v>
      </c>
      <c r="E848">
        <v>72</v>
      </c>
      <c r="F848" s="3">
        <v>28.995742971619698</v>
      </c>
      <c r="G848" s="3" t="str">
        <f t="shared" si="13"/>
        <v>Overweight</v>
      </c>
      <c r="H848" t="s">
        <v>515</v>
      </c>
      <c r="I848" t="s">
        <v>18</v>
      </c>
      <c r="J848" t="s">
        <v>20</v>
      </c>
      <c r="K848" t="s">
        <v>22</v>
      </c>
      <c r="L848" t="s">
        <v>29</v>
      </c>
      <c r="M848" t="s">
        <v>20</v>
      </c>
      <c r="N848" t="s">
        <v>21</v>
      </c>
      <c r="O848" t="s">
        <v>19</v>
      </c>
      <c r="P848" t="s">
        <v>19</v>
      </c>
      <c r="Q848" t="s">
        <v>22</v>
      </c>
    </row>
    <row r="849" spans="1:17" x14ac:dyDescent="0.35">
      <c r="A849">
        <v>1912</v>
      </c>
      <c r="B849">
        <v>54</v>
      </c>
      <c r="C849" t="s">
        <v>27</v>
      </c>
      <c r="D849">
        <v>186</v>
      </c>
      <c r="E849">
        <v>51</v>
      </c>
      <c r="F849" s="3">
        <v>21.464245096263099</v>
      </c>
      <c r="G849" s="3" t="str">
        <f t="shared" si="13"/>
        <v>Normal Weight</v>
      </c>
      <c r="H849" t="s">
        <v>601</v>
      </c>
      <c r="I849" t="s">
        <v>18</v>
      </c>
      <c r="J849" t="s">
        <v>20</v>
      </c>
      <c r="K849" t="s">
        <v>22</v>
      </c>
      <c r="L849" t="s">
        <v>14</v>
      </c>
      <c r="M849" t="s">
        <v>19</v>
      </c>
      <c r="N849" t="s">
        <v>21</v>
      </c>
      <c r="O849" t="s">
        <v>19</v>
      </c>
      <c r="P849" t="s">
        <v>19</v>
      </c>
      <c r="Q849" t="s">
        <v>22</v>
      </c>
    </row>
    <row r="850" spans="1:17" x14ac:dyDescent="0.35">
      <c r="A850">
        <v>1921</v>
      </c>
      <c r="B850">
        <v>54</v>
      </c>
      <c r="C850" t="s">
        <v>27</v>
      </c>
      <c r="D850">
        <v>157</v>
      </c>
      <c r="E850">
        <v>79</v>
      </c>
      <c r="F850" s="3">
        <v>21.681853547547</v>
      </c>
      <c r="G850" s="3" t="str">
        <f t="shared" si="13"/>
        <v>Normal Weight</v>
      </c>
      <c r="H850" t="s">
        <v>1243</v>
      </c>
      <c r="I850" t="s">
        <v>24</v>
      </c>
      <c r="J850" t="s">
        <v>20</v>
      </c>
      <c r="K850" t="s">
        <v>22</v>
      </c>
      <c r="L850" t="s">
        <v>32</v>
      </c>
      <c r="M850" t="s">
        <v>19</v>
      </c>
      <c r="N850" t="s">
        <v>25</v>
      </c>
      <c r="O850" t="s">
        <v>19</v>
      </c>
      <c r="P850" t="s">
        <v>19</v>
      </c>
      <c r="Q850" t="s">
        <v>18</v>
      </c>
    </row>
    <row r="851" spans="1:17" x14ac:dyDescent="0.35">
      <c r="A851">
        <v>1943</v>
      </c>
      <c r="B851">
        <v>54</v>
      </c>
      <c r="C851" t="s">
        <v>16</v>
      </c>
      <c r="D851">
        <v>159</v>
      </c>
      <c r="E851">
        <v>78</v>
      </c>
      <c r="F851" s="3">
        <v>23.780982809029101</v>
      </c>
      <c r="G851" s="3" t="str">
        <f t="shared" si="13"/>
        <v>Normal Weight</v>
      </c>
      <c r="H851" t="s">
        <v>165</v>
      </c>
      <c r="I851" t="s">
        <v>18</v>
      </c>
      <c r="J851" t="s">
        <v>20</v>
      </c>
      <c r="K851" t="s">
        <v>22</v>
      </c>
      <c r="L851" t="s">
        <v>29</v>
      </c>
      <c r="M851" t="s">
        <v>20</v>
      </c>
      <c r="N851" t="s">
        <v>25</v>
      </c>
      <c r="O851" t="s">
        <v>19</v>
      </c>
      <c r="P851" t="s">
        <v>19</v>
      </c>
      <c r="Q851" t="s">
        <v>40</v>
      </c>
    </row>
    <row r="852" spans="1:17" x14ac:dyDescent="0.35">
      <c r="A852">
        <v>870</v>
      </c>
      <c r="B852">
        <v>56</v>
      </c>
      <c r="C852" t="s">
        <v>16</v>
      </c>
      <c r="D852">
        <v>175</v>
      </c>
      <c r="E852">
        <v>95</v>
      </c>
      <c r="F852" s="3">
        <v>24.460064973100799</v>
      </c>
      <c r="G852" s="3" t="str">
        <f t="shared" si="13"/>
        <v>Normal Weight</v>
      </c>
      <c r="H852" t="s">
        <v>277</v>
      </c>
      <c r="I852" t="s">
        <v>31</v>
      </c>
      <c r="J852" t="s">
        <v>19</v>
      </c>
      <c r="K852" t="s">
        <v>18</v>
      </c>
      <c r="L852" t="s">
        <v>38</v>
      </c>
      <c r="M852" t="s">
        <v>20</v>
      </c>
      <c r="N852" t="s">
        <v>25</v>
      </c>
      <c r="O852" t="s">
        <v>20</v>
      </c>
      <c r="P852" t="s">
        <v>19</v>
      </c>
      <c r="Q852" t="s">
        <v>40</v>
      </c>
    </row>
    <row r="853" spans="1:17" x14ac:dyDescent="0.35">
      <c r="A853">
        <v>871</v>
      </c>
      <c r="B853">
        <v>44</v>
      </c>
      <c r="C853" t="s">
        <v>16</v>
      </c>
      <c r="D853">
        <v>189</v>
      </c>
      <c r="E853">
        <v>87</v>
      </c>
      <c r="F853" s="3">
        <v>29.0154855828773</v>
      </c>
      <c r="G853" s="3" t="str">
        <f t="shared" si="13"/>
        <v>Overweight</v>
      </c>
      <c r="H853" t="s">
        <v>730</v>
      </c>
      <c r="I853" t="s">
        <v>24</v>
      </c>
      <c r="J853" t="s">
        <v>19</v>
      </c>
      <c r="K853" t="s">
        <v>18</v>
      </c>
      <c r="L853" t="s">
        <v>14</v>
      </c>
      <c r="M853" t="s">
        <v>19</v>
      </c>
      <c r="N853" t="s">
        <v>25</v>
      </c>
      <c r="O853" t="s">
        <v>20</v>
      </c>
      <c r="P853" t="s">
        <v>20</v>
      </c>
      <c r="Q853" t="s">
        <v>18</v>
      </c>
    </row>
    <row r="854" spans="1:17" x14ac:dyDescent="0.35">
      <c r="A854">
        <v>103</v>
      </c>
      <c r="B854">
        <v>53</v>
      </c>
      <c r="C854" t="s">
        <v>27</v>
      </c>
      <c r="D854">
        <v>158</v>
      </c>
      <c r="E854">
        <v>63</v>
      </c>
      <c r="F854" s="3">
        <v>27.709824534192201</v>
      </c>
      <c r="G854" s="3" t="str">
        <f t="shared" si="13"/>
        <v>Overweight</v>
      </c>
      <c r="H854" t="s">
        <v>130</v>
      </c>
      <c r="I854" t="s">
        <v>18</v>
      </c>
      <c r="J854" t="s">
        <v>19</v>
      </c>
      <c r="K854" t="s">
        <v>22</v>
      </c>
      <c r="L854" t="s">
        <v>14</v>
      </c>
      <c r="M854" t="s">
        <v>20</v>
      </c>
      <c r="N854" t="s">
        <v>21</v>
      </c>
      <c r="O854" t="s">
        <v>20</v>
      </c>
      <c r="P854" t="s">
        <v>20</v>
      </c>
      <c r="Q854" t="s">
        <v>40</v>
      </c>
    </row>
    <row r="855" spans="1:17" x14ac:dyDescent="0.35">
      <c r="A855">
        <v>878</v>
      </c>
      <c r="B855">
        <v>62</v>
      </c>
      <c r="C855" t="s">
        <v>16</v>
      </c>
      <c r="D855">
        <v>181</v>
      </c>
      <c r="E855">
        <v>57</v>
      </c>
      <c r="F855" s="3">
        <v>25.629110203599101</v>
      </c>
      <c r="G855" s="3" t="str">
        <f t="shared" si="13"/>
        <v>Overweight</v>
      </c>
      <c r="H855" t="s">
        <v>733</v>
      </c>
      <c r="I855" t="s">
        <v>24</v>
      </c>
      <c r="J855" t="s">
        <v>19</v>
      </c>
      <c r="K855" t="s">
        <v>18</v>
      </c>
      <c r="L855" t="s">
        <v>14</v>
      </c>
      <c r="M855" t="s">
        <v>20</v>
      </c>
      <c r="N855" t="s">
        <v>21</v>
      </c>
      <c r="O855" t="s">
        <v>19</v>
      </c>
      <c r="P855" t="s">
        <v>20</v>
      </c>
      <c r="Q855" t="s">
        <v>18</v>
      </c>
    </row>
    <row r="856" spans="1:17" x14ac:dyDescent="0.35">
      <c r="A856">
        <v>880</v>
      </c>
      <c r="B856">
        <v>67</v>
      </c>
      <c r="C856" t="s">
        <v>27</v>
      </c>
      <c r="D856">
        <v>171</v>
      </c>
      <c r="E856">
        <v>56</v>
      </c>
      <c r="F856" s="3">
        <v>28.3243442267317</v>
      </c>
      <c r="G856" s="3" t="str">
        <f t="shared" si="13"/>
        <v>Overweight</v>
      </c>
      <c r="H856" t="s">
        <v>735</v>
      </c>
      <c r="I856" t="s">
        <v>18</v>
      </c>
      <c r="J856" t="s">
        <v>20</v>
      </c>
      <c r="K856" t="s">
        <v>18</v>
      </c>
      <c r="L856" t="s">
        <v>32</v>
      </c>
      <c r="M856" t="s">
        <v>20</v>
      </c>
      <c r="N856" t="s">
        <v>25</v>
      </c>
      <c r="O856" t="s">
        <v>20</v>
      </c>
      <c r="P856" t="s">
        <v>19</v>
      </c>
      <c r="Q856" t="s">
        <v>40</v>
      </c>
    </row>
    <row r="857" spans="1:17" x14ac:dyDescent="0.35">
      <c r="A857">
        <v>881</v>
      </c>
      <c r="B857">
        <v>45</v>
      </c>
      <c r="C857" t="s">
        <v>27</v>
      </c>
      <c r="D857">
        <v>166</v>
      </c>
      <c r="E857">
        <v>60</v>
      </c>
      <c r="F857" s="3">
        <v>33.128824784789501</v>
      </c>
      <c r="G857" s="3" t="str">
        <f t="shared" si="13"/>
        <v>Obese</v>
      </c>
      <c r="H857" t="s">
        <v>736</v>
      </c>
      <c r="I857" t="s">
        <v>18</v>
      </c>
      <c r="J857" t="s">
        <v>20</v>
      </c>
      <c r="K857" t="s">
        <v>18</v>
      </c>
      <c r="L857" t="s">
        <v>29</v>
      </c>
      <c r="M857" t="s">
        <v>20</v>
      </c>
      <c r="N857" t="s">
        <v>25</v>
      </c>
      <c r="O857" t="s">
        <v>20</v>
      </c>
      <c r="P857" t="s">
        <v>19</v>
      </c>
      <c r="Q857" t="s">
        <v>18</v>
      </c>
    </row>
    <row r="858" spans="1:17" x14ac:dyDescent="0.35">
      <c r="A858">
        <v>882</v>
      </c>
      <c r="B858">
        <v>79</v>
      </c>
      <c r="C858" t="s">
        <v>27</v>
      </c>
      <c r="D858">
        <v>175</v>
      </c>
      <c r="E858">
        <v>88</v>
      </c>
      <c r="F858" s="3">
        <v>25.2805521137768</v>
      </c>
      <c r="G858" s="3" t="str">
        <f t="shared" si="13"/>
        <v>Overweight</v>
      </c>
      <c r="H858" t="s">
        <v>737</v>
      </c>
      <c r="I858" t="s">
        <v>18</v>
      </c>
      <c r="J858" t="s">
        <v>19</v>
      </c>
      <c r="K858" t="s">
        <v>40</v>
      </c>
      <c r="L858" t="s">
        <v>29</v>
      </c>
      <c r="M858" t="s">
        <v>20</v>
      </c>
      <c r="N858" t="s">
        <v>25</v>
      </c>
      <c r="O858" t="s">
        <v>20</v>
      </c>
      <c r="P858" t="s">
        <v>19</v>
      </c>
      <c r="Q858" t="s">
        <v>22</v>
      </c>
    </row>
    <row r="859" spans="1:17" x14ac:dyDescent="0.35">
      <c r="A859">
        <v>529</v>
      </c>
      <c r="B859">
        <v>53</v>
      </c>
      <c r="C859" t="s">
        <v>16</v>
      </c>
      <c r="D859">
        <v>168</v>
      </c>
      <c r="E859">
        <v>94</v>
      </c>
      <c r="F859" s="3">
        <v>29.933183782208999</v>
      </c>
      <c r="G859" s="3" t="str">
        <f t="shared" si="13"/>
        <v>Obese</v>
      </c>
      <c r="H859" t="s">
        <v>126</v>
      </c>
      <c r="I859" t="s">
        <v>31</v>
      </c>
      <c r="J859" t="s">
        <v>20</v>
      </c>
      <c r="K859" t="s">
        <v>22</v>
      </c>
      <c r="L859" t="s">
        <v>32</v>
      </c>
      <c r="M859" t="s">
        <v>20</v>
      </c>
      <c r="N859" t="s">
        <v>21</v>
      </c>
      <c r="O859" t="s">
        <v>19</v>
      </c>
      <c r="P859" t="s">
        <v>19</v>
      </c>
      <c r="Q859" t="s">
        <v>22</v>
      </c>
    </row>
    <row r="860" spans="1:17" x14ac:dyDescent="0.35">
      <c r="A860">
        <v>883</v>
      </c>
      <c r="B860">
        <v>75</v>
      </c>
      <c r="C860" t="s">
        <v>16</v>
      </c>
      <c r="D860">
        <v>156</v>
      </c>
      <c r="E860">
        <v>53</v>
      </c>
      <c r="F860" s="3">
        <v>28.471022927054399</v>
      </c>
      <c r="G860" s="3" t="str">
        <f t="shared" si="13"/>
        <v>Overweight</v>
      </c>
      <c r="H860" t="s">
        <v>683</v>
      </c>
      <c r="I860" t="s">
        <v>18</v>
      </c>
      <c r="J860" t="s">
        <v>19</v>
      </c>
      <c r="K860" t="s">
        <v>40</v>
      </c>
      <c r="L860" t="s">
        <v>32</v>
      </c>
      <c r="M860" t="s">
        <v>19</v>
      </c>
      <c r="N860" t="s">
        <v>25</v>
      </c>
      <c r="O860" t="s">
        <v>19</v>
      </c>
      <c r="P860" t="s">
        <v>20</v>
      </c>
      <c r="Q860" t="s">
        <v>18</v>
      </c>
    </row>
    <row r="861" spans="1:17" x14ac:dyDescent="0.35">
      <c r="A861">
        <v>887</v>
      </c>
      <c r="B861">
        <v>78</v>
      </c>
      <c r="C861" t="s">
        <v>16</v>
      </c>
      <c r="D861">
        <v>168</v>
      </c>
      <c r="E861">
        <v>87</v>
      </c>
      <c r="F861" s="3">
        <v>20.0437302140535</v>
      </c>
      <c r="G861" s="3" t="str">
        <f t="shared" si="13"/>
        <v>Normal Weight</v>
      </c>
      <c r="H861" t="s">
        <v>325</v>
      </c>
      <c r="I861" t="s">
        <v>31</v>
      </c>
      <c r="J861" t="s">
        <v>19</v>
      </c>
      <c r="K861" t="s">
        <v>40</v>
      </c>
      <c r="L861" t="s">
        <v>14</v>
      </c>
      <c r="M861" t="s">
        <v>19</v>
      </c>
      <c r="N861" t="s">
        <v>21</v>
      </c>
      <c r="O861" t="s">
        <v>19</v>
      </c>
      <c r="P861" t="s">
        <v>20</v>
      </c>
      <c r="Q861" t="s">
        <v>22</v>
      </c>
    </row>
    <row r="862" spans="1:17" x14ac:dyDescent="0.35">
      <c r="A862">
        <v>894</v>
      </c>
      <c r="B862">
        <v>79</v>
      </c>
      <c r="C862" t="s">
        <v>27</v>
      </c>
      <c r="D862">
        <v>177</v>
      </c>
      <c r="E862">
        <v>65</v>
      </c>
      <c r="F862" s="3">
        <v>26.8497374247953</v>
      </c>
      <c r="G862" s="3" t="str">
        <f t="shared" si="13"/>
        <v>Overweight</v>
      </c>
      <c r="H862" t="s">
        <v>740</v>
      </c>
      <c r="I862" t="s">
        <v>31</v>
      </c>
      <c r="J862" t="s">
        <v>20</v>
      </c>
      <c r="K862" t="s">
        <v>40</v>
      </c>
      <c r="L862" t="s">
        <v>29</v>
      </c>
      <c r="M862" t="s">
        <v>19</v>
      </c>
      <c r="N862" t="s">
        <v>25</v>
      </c>
      <c r="O862" t="s">
        <v>20</v>
      </c>
      <c r="P862" t="s">
        <v>19</v>
      </c>
      <c r="Q862" t="s">
        <v>40</v>
      </c>
    </row>
    <row r="863" spans="1:17" x14ac:dyDescent="0.35">
      <c r="A863">
        <v>895</v>
      </c>
      <c r="B863">
        <v>74</v>
      </c>
      <c r="C863" t="s">
        <v>27</v>
      </c>
      <c r="D863">
        <v>160</v>
      </c>
      <c r="E863">
        <v>62</v>
      </c>
      <c r="F863" s="3">
        <v>21.181432577408</v>
      </c>
      <c r="G863" s="3" t="str">
        <f t="shared" si="13"/>
        <v>Normal Weight</v>
      </c>
      <c r="H863" t="s">
        <v>741</v>
      </c>
      <c r="I863" t="s">
        <v>18</v>
      </c>
      <c r="J863" t="s">
        <v>19</v>
      </c>
      <c r="K863" t="s">
        <v>40</v>
      </c>
      <c r="L863" t="s">
        <v>38</v>
      </c>
      <c r="M863" t="s">
        <v>19</v>
      </c>
      <c r="N863" t="s">
        <v>25</v>
      </c>
      <c r="O863" t="s">
        <v>20</v>
      </c>
      <c r="P863" t="s">
        <v>20</v>
      </c>
      <c r="Q863" t="s">
        <v>22</v>
      </c>
    </row>
    <row r="864" spans="1:17" x14ac:dyDescent="0.35">
      <c r="A864">
        <v>897</v>
      </c>
      <c r="B864">
        <v>66</v>
      </c>
      <c r="C864" t="s">
        <v>16</v>
      </c>
      <c r="D864">
        <v>187</v>
      </c>
      <c r="E864">
        <v>53</v>
      </c>
      <c r="F864" s="3">
        <v>32.551093100284398</v>
      </c>
      <c r="G864" s="3" t="str">
        <f t="shared" si="13"/>
        <v>Obese</v>
      </c>
      <c r="H864" t="s">
        <v>314</v>
      </c>
      <c r="I864" t="s">
        <v>31</v>
      </c>
      <c r="J864" t="s">
        <v>20</v>
      </c>
      <c r="K864" t="s">
        <v>18</v>
      </c>
      <c r="L864" t="s">
        <v>38</v>
      </c>
      <c r="M864" t="s">
        <v>20</v>
      </c>
      <c r="N864" t="s">
        <v>25</v>
      </c>
      <c r="O864" t="s">
        <v>19</v>
      </c>
      <c r="P864" t="s">
        <v>19</v>
      </c>
      <c r="Q864" t="s">
        <v>40</v>
      </c>
    </row>
    <row r="865" spans="1:17" x14ac:dyDescent="0.35">
      <c r="A865">
        <v>898</v>
      </c>
      <c r="B865">
        <v>42</v>
      </c>
      <c r="C865" t="s">
        <v>16</v>
      </c>
      <c r="D865">
        <v>173</v>
      </c>
      <c r="E865">
        <v>60</v>
      </c>
      <c r="F865" s="3">
        <v>32.752528778922503</v>
      </c>
      <c r="G865" s="3" t="str">
        <f t="shared" si="13"/>
        <v>Obese</v>
      </c>
      <c r="H865" t="s">
        <v>488</v>
      </c>
      <c r="I865" t="s">
        <v>24</v>
      </c>
      <c r="J865" t="s">
        <v>20</v>
      </c>
      <c r="K865" t="s">
        <v>18</v>
      </c>
      <c r="L865" t="s">
        <v>38</v>
      </c>
      <c r="M865" t="s">
        <v>19</v>
      </c>
      <c r="N865" t="s">
        <v>25</v>
      </c>
      <c r="O865" t="s">
        <v>20</v>
      </c>
      <c r="P865" t="s">
        <v>19</v>
      </c>
      <c r="Q865" t="s">
        <v>18</v>
      </c>
    </row>
    <row r="866" spans="1:17" x14ac:dyDescent="0.35">
      <c r="A866">
        <v>900</v>
      </c>
      <c r="B866">
        <v>50</v>
      </c>
      <c r="C866" t="s">
        <v>16</v>
      </c>
      <c r="D866">
        <v>175</v>
      </c>
      <c r="E866">
        <v>98</v>
      </c>
      <c r="F866" s="3">
        <v>31.0789600261683</v>
      </c>
      <c r="G866" s="3" t="str">
        <f t="shared" si="13"/>
        <v>Obese</v>
      </c>
      <c r="H866" t="s">
        <v>130</v>
      </c>
      <c r="I866" t="s">
        <v>24</v>
      </c>
      <c r="J866" t="s">
        <v>20</v>
      </c>
      <c r="K866" t="s">
        <v>18</v>
      </c>
      <c r="L866" t="s">
        <v>38</v>
      </c>
      <c r="M866" t="s">
        <v>20</v>
      </c>
      <c r="N866" t="s">
        <v>21</v>
      </c>
      <c r="O866" t="s">
        <v>19</v>
      </c>
      <c r="P866" t="s">
        <v>20</v>
      </c>
      <c r="Q866" t="s">
        <v>18</v>
      </c>
    </row>
    <row r="867" spans="1:17" x14ac:dyDescent="0.35">
      <c r="A867">
        <v>862</v>
      </c>
      <c r="B867">
        <v>53</v>
      </c>
      <c r="C867" t="s">
        <v>27</v>
      </c>
      <c r="D867">
        <v>183</v>
      </c>
      <c r="E867">
        <v>91</v>
      </c>
      <c r="F867" s="3">
        <v>28.0826816296379</v>
      </c>
      <c r="G867" s="3" t="str">
        <f t="shared" si="13"/>
        <v>Overweight</v>
      </c>
      <c r="H867" t="s">
        <v>726</v>
      </c>
      <c r="I867" t="s">
        <v>18</v>
      </c>
      <c r="J867" t="s">
        <v>19</v>
      </c>
      <c r="K867" t="s">
        <v>22</v>
      </c>
      <c r="L867" t="s">
        <v>29</v>
      </c>
      <c r="M867" t="s">
        <v>20</v>
      </c>
      <c r="N867" t="s">
        <v>21</v>
      </c>
      <c r="O867" t="s">
        <v>19</v>
      </c>
      <c r="P867" t="s">
        <v>19</v>
      </c>
      <c r="Q867" t="s">
        <v>40</v>
      </c>
    </row>
    <row r="868" spans="1:17" x14ac:dyDescent="0.35">
      <c r="A868">
        <v>918</v>
      </c>
      <c r="B868">
        <v>53</v>
      </c>
      <c r="C868" t="s">
        <v>27</v>
      </c>
      <c r="D868">
        <v>162</v>
      </c>
      <c r="E868">
        <v>85</v>
      </c>
      <c r="F868" s="3">
        <v>32.194003288005298</v>
      </c>
      <c r="G868" s="3" t="str">
        <f t="shared" si="13"/>
        <v>Obese</v>
      </c>
      <c r="H868" t="s">
        <v>729</v>
      </c>
      <c r="I868" t="s">
        <v>18</v>
      </c>
      <c r="J868" t="s">
        <v>19</v>
      </c>
      <c r="K868" t="s">
        <v>22</v>
      </c>
      <c r="L868" t="s">
        <v>32</v>
      </c>
      <c r="M868" t="s">
        <v>19</v>
      </c>
      <c r="N868" t="s">
        <v>21</v>
      </c>
      <c r="O868" t="s">
        <v>19</v>
      </c>
      <c r="P868" t="s">
        <v>20</v>
      </c>
      <c r="Q868" t="s">
        <v>40</v>
      </c>
    </row>
    <row r="869" spans="1:17" x14ac:dyDescent="0.35">
      <c r="A869">
        <v>902</v>
      </c>
      <c r="B869">
        <v>70</v>
      </c>
      <c r="C869" t="s">
        <v>27</v>
      </c>
      <c r="D869">
        <v>169</v>
      </c>
      <c r="E869">
        <v>95</v>
      </c>
      <c r="F869" s="3">
        <v>18.642213542764299</v>
      </c>
      <c r="G869" s="3" t="str">
        <f t="shared" si="13"/>
        <v>Normal Weight</v>
      </c>
      <c r="H869" t="s">
        <v>744</v>
      </c>
      <c r="I869" t="s">
        <v>24</v>
      </c>
      <c r="J869" t="s">
        <v>20</v>
      </c>
      <c r="K869" t="s">
        <v>40</v>
      </c>
      <c r="L869" t="s">
        <v>29</v>
      </c>
      <c r="M869" t="s">
        <v>19</v>
      </c>
      <c r="N869" t="s">
        <v>25</v>
      </c>
      <c r="O869" t="s">
        <v>19</v>
      </c>
      <c r="P869" t="s">
        <v>19</v>
      </c>
      <c r="Q869" t="s">
        <v>40</v>
      </c>
    </row>
    <row r="870" spans="1:17" x14ac:dyDescent="0.35">
      <c r="A870">
        <v>962</v>
      </c>
      <c r="B870">
        <v>53</v>
      </c>
      <c r="C870" t="s">
        <v>16</v>
      </c>
      <c r="D870">
        <v>179</v>
      </c>
      <c r="E870">
        <v>75</v>
      </c>
      <c r="F870" s="3">
        <v>29.495720527466101</v>
      </c>
      <c r="G870" s="3" t="str">
        <f t="shared" si="13"/>
        <v>Overweight</v>
      </c>
      <c r="H870" t="s">
        <v>704</v>
      </c>
      <c r="I870" t="s">
        <v>24</v>
      </c>
      <c r="J870" t="s">
        <v>19</v>
      </c>
      <c r="K870" t="s">
        <v>22</v>
      </c>
      <c r="L870" t="s">
        <v>14</v>
      </c>
      <c r="M870" t="s">
        <v>19</v>
      </c>
      <c r="N870" t="s">
        <v>21</v>
      </c>
      <c r="O870" t="s">
        <v>20</v>
      </c>
      <c r="P870" t="s">
        <v>19</v>
      </c>
      <c r="Q870" t="s">
        <v>18</v>
      </c>
    </row>
    <row r="871" spans="1:17" x14ac:dyDescent="0.35">
      <c r="A871">
        <v>1191</v>
      </c>
      <c r="B871">
        <v>53</v>
      </c>
      <c r="C871" t="s">
        <v>16</v>
      </c>
      <c r="D871">
        <v>151</v>
      </c>
      <c r="E871">
        <v>62</v>
      </c>
      <c r="F871" s="3">
        <v>26.952299303958299</v>
      </c>
      <c r="G871" s="3" t="str">
        <f t="shared" si="13"/>
        <v>Overweight</v>
      </c>
      <c r="H871" t="s">
        <v>915</v>
      </c>
      <c r="I871" t="s">
        <v>18</v>
      </c>
      <c r="J871" t="s">
        <v>19</v>
      </c>
      <c r="K871" t="s">
        <v>22</v>
      </c>
      <c r="L871" t="s">
        <v>32</v>
      </c>
      <c r="M871" t="s">
        <v>19</v>
      </c>
      <c r="N871" t="s">
        <v>21</v>
      </c>
      <c r="O871" t="s">
        <v>19</v>
      </c>
      <c r="P871" t="s">
        <v>19</v>
      </c>
      <c r="Q871" t="s">
        <v>18</v>
      </c>
    </row>
    <row r="872" spans="1:17" x14ac:dyDescent="0.35">
      <c r="A872">
        <v>904</v>
      </c>
      <c r="B872">
        <v>75</v>
      </c>
      <c r="C872" t="s">
        <v>16</v>
      </c>
      <c r="D872">
        <v>182</v>
      </c>
      <c r="E872">
        <v>77</v>
      </c>
      <c r="F872" s="3">
        <v>28.1789286671752</v>
      </c>
      <c r="G872" s="3" t="str">
        <f t="shared" si="13"/>
        <v>Overweight</v>
      </c>
      <c r="H872" t="s">
        <v>746</v>
      </c>
      <c r="I872" t="s">
        <v>24</v>
      </c>
      <c r="J872" t="s">
        <v>19</v>
      </c>
      <c r="K872" t="s">
        <v>40</v>
      </c>
      <c r="L872" t="s">
        <v>38</v>
      </c>
      <c r="M872" t="s">
        <v>20</v>
      </c>
      <c r="N872" t="s">
        <v>25</v>
      </c>
      <c r="O872" t="s">
        <v>19</v>
      </c>
      <c r="P872" t="s">
        <v>19</v>
      </c>
      <c r="Q872" t="s">
        <v>40</v>
      </c>
    </row>
    <row r="873" spans="1:17" x14ac:dyDescent="0.35">
      <c r="A873">
        <v>1303</v>
      </c>
      <c r="B873">
        <v>53</v>
      </c>
      <c r="C873" t="s">
        <v>16</v>
      </c>
      <c r="D873">
        <v>185</v>
      </c>
      <c r="E873">
        <v>86</v>
      </c>
      <c r="F873" s="3">
        <v>32.298806666190501</v>
      </c>
      <c r="G873" s="3" t="str">
        <f t="shared" si="13"/>
        <v>Obese</v>
      </c>
      <c r="H873" t="s">
        <v>984</v>
      </c>
      <c r="I873" t="s">
        <v>24</v>
      </c>
      <c r="J873" t="s">
        <v>20</v>
      </c>
      <c r="K873" t="s">
        <v>22</v>
      </c>
      <c r="L873" t="s">
        <v>29</v>
      </c>
      <c r="M873" t="s">
        <v>19</v>
      </c>
      <c r="N873" t="s">
        <v>21</v>
      </c>
      <c r="O873" t="s">
        <v>20</v>
      </c>
      <c r="P873" t="s">
        <v>19</v>
      </c>
      <c r="Q873" t="s">
        <v>18</v>
      </c>
    </row>
    <row r="874" spans="1:17" x14ac:dyDescent="0.35">
      <c r="A874">
        <v>1349</v>
      </c>
      <c r="B874">
        <v>53</v>
      </c>
      <c r="C874" t="s">
        <v>27</v>
      </c>
      <c r="D874">
        <v>182</v>
      </c>
      <c r="E874">
        <v>91</v>
      </c>
      <c r="F874" s="3">
        <v>24.808994962516799</v>
      </c>
      <c r="G874" s="3" t="str">
        <f t="shared" si="13"/>
        <v>Normal Weight</v>
      </c>
      <c r="H874" t="s">
        <v>1002</v>
      </c>
      <c r="I874" t="s">
        <v>24</v>
      </c>
      <c r="J874" t="s">
        <v>20</v>
      </c>
      <c r="K874" t="s">
        <v>22</v>
      </c>
      <c r="L874" t="s">
        <v>29</v>
      </c>
      <c r="M874" t="s">
        <v>20</v>
      </c>
      <c r="N874" t="s">
        <v>25</v>
      </c>
      <c r="O874" t="s">
        <v>20</v>
      </c>
      <c r="P874" t="s">
        <v>20</v>
      </c>
      <c r="Q874" t="s">
        <v>40</v>
      </c>
    </row>
    <row r="875" spans="1:17" x14ac:dyDescent="0.35">
      <c r="A875">
        <v>905</v>
      </c>
      <c r="B875">
        <v>61</v>
      </c>
      <c r="C875" t="s">
        <v>16</v>
      </c>
      <c r="D875">
        <v>187</v>
      </c>
      <c r="E875">
        <v>90</v>
      </c>
      <c r="F875" s="3">
        <v>26.014015936591001</v>
      </c>
      <c r="G875" s="3" t="str">
        <f t="shared" si="13"/>
        <v>Overweight</v>
      </c>
      <c r="H875" t="s">
        <v>650</v>
      </c>
      <c r="I875" t="s">
        <v>24</v>
      </c>
      <c r="J875" t="s">
        <v>19</v>
      </c>
      <c r="K875" t="s">
        <v>18</v>
      </c>
      <c r="L875" t="s">
        <v>29</v>
      </c>
      <c r="M875" t="s">
        <v>19</v>
      </c>
      <c r="N875" t="s">
        <v>25</v>
      </c>
      <c r="O875" t="s">
        <v>20</v>
      </c>
      <c r="P875" t="s">
        <v>19</v>
      </c>
      <c r="Q875" t="s">
        <v>18</v>
      </c>
    </row>
    <row r="876" spans="1:17" x14ac:dyDescent="0.35">
      <c r="A876">
        <v>906</v>
      </c>
      <c r="B876">
        <v>62</v>
      </c>
      <c r="C876" t="s">
        <v>16</v>
      </c>
      <c r="D876">
        <v>176</v>
      </c>
      <c r="E876">
        <v>72</v>
      </c>
      <c r="F876" s="3">
        <v>27.047253256990501</v>
      </c>
      <c r="G876" s="3" t="str">
        <f t="shared" si="13"/>
        <v>Overweight</v>
      </c>
      <c r="H876" t="s">
        <v>511</v>
      </c>
      <c r="I876" t="s">
        <v>18</v>
      </c>
      <c r="J876" t="s">
        <v>20</v>
      </c>
      <c r="K876" t="s">
        <v>18</v>
      </c>
      <c r="L876" t="s">
        <v>38</v>
      </c>
      <c r="M876" t="s">
        <v>20</v>
      </c>
      <c r="N876" t="s">
        <v>21</v>
      </c>
      <c r="O876" t="s">
        <v>19</v>
      </c>
      <c r="P876" t="s">
        <v>19</v>
      </c>
      <c r="Q876" t="s">
        <v>40</v>
      </c>
    </row>
    <row r="877" spans="1:17" x14ac:dyDescent="0.35">
      <c r="A877">
        <v>907</v>
      </c>
      <c r="B877">
        <v>49</v>
      </c>
      <c r="C877" t="s">
        <v>16</v>
      </c>
      <c r="D877">
        <v>183</v>
      </c>
      <c r="E877">
        <v>94</v>
      </c>
      <c r="F877" s="3">
        <v>18.6231418168841</v>
      </c>
      <c r="G877" s="3" t="str">
        <f t="shared" si="13"/>
        <v>Normal Weight</v>
      </c>
      <c r="H877" t="s">
        <v>613</v>
      </c>
      <c r="I877" t="s">
        <v>18</v>
      </c>
      <c r="J877" t="s">
        <v>19</v>
      </c>
      <c r="K877" t="s">
        <v>18</v>
      </c>
      <c r="L877" t="s">
        <v>32</v>
      </c>
      <c r="M877" t="s">
        <v>19</v>
      </c>
      <c r="N877" t="s">
        <v>21</v>
      </c>
      <c r="O877" t="s">
        <v>20</v>
      </c>
      <c r="P877" t="s">
        <v>19</v>
      </c>
      <c r="Q877" t="s">
        <v>18</v>
      </c>
    </row>
    <row r="878" spans="1:17" x14ac:dyDescent="0.35">
      <c r="A878">
        <v>1508</v>
      </c>
      <c r="B878">
        <v>53</v>
      </c>
      <c r="C878" t="s">
        <v>27</v>
      </c>
      <c r="D878">
        <v>150</v>
      </c>
      <c r="E878">
        <v>60</v>
      </c>
      <c r="F878" s="3">
        <v>22.922778591747502</v>
      </c>
      <c r="G878" s="3" t="str">
        <f t="shared" si="13"/>
        <v>Normal Weight</v>
      </c>
      <c r="H878" t="s">
        <v>1070</v>
      </c>
      <c r="I878" t="s">
        <v>31</v>
      </c>
      <c r="J878" t="s">
        <v>20</v>
      </c>
      <c r="K878" t="s">
        <v>22</v>
      </c>
      <c r="L878" t="s">
        <v>38</v>
      </c>
      <c r="M878" t="s">
        <v>20</v>
      </c>
      <c r="N878" t="s">
        <v>21</v>
      </c>
      <c r="O878" t="s">
        <v>19</v>
      </c>
      <c r="P878" t="s">
        <v>19</v>
      </c>
      <c r="Q878" t="s">
        <v>18</v>
      </c>
    </row>
    <row r="879" spans="1:17" x14ac:dyDescent="0.35">
      <c r="A879">
        <v>909</v>
      </c>
      <c r="B879">
        <v>78</v>
      </c>
      <c r="C879" t="s">
        <v>16</v>
      </c>
      <c r="D879">
        <v>181</v>
      </c>
      <c r="E879">
        <v>99</v>
      </c>
      <c r="F879" s="3">
        <v>30.3481246598142</v>
      </c>
      <c r="G879" s="3" t="str">
        <f t="shared" si="13"/>
        <v>Obese</v>
      </c>
      <c r="H879" t="s">
        <v>747</v>
      </c>
      <c r="I879" t="s">
        <v>18</v>
      </c>
      <c r="J879" t="s">
        <v>19</v>
      </c>
      <c r="K879" t="s">
        <v>40</v>
      </c>
      <c r="L879" t="s">
        <v>14</v>
      </c>
      <c r="M879" t="s">
        <v>19</v>
      </c>
      <c r="N879" t="s">
        <v>25</v>
      </c>
      <c r="O879" t="s">
        <v>19</v>
      </c>
      <c r="P879" t="s">
        <v>19</v>
      </c>
      <c r="Q879" t="s">
        <v>40</v>
      </c>
    </row>
    <row r="880" spans="1:17" x14ac:dyDescent="0.35">
      <c r="A880">
        <v>912</v>
      </c>
      <c r="B880">
        <v>33</v>
      </c>
      <c r="C880" t="s">
        <v>16</v>
      </c>
      <c r="D880">
        <v>155</v>
      </c>
      <c r="E880">
        <v>96</v>
      </c>
      <c r="F880" s="3">
        <v>22.344812912547699</v>
      </c>
      <c r="G880" s="3" t="str">
        <f t="shared" si="13"/>
        <v>Normal Weight</v>
      </c>
      <c r="H880" t="s">
        <v>749</v>
      </c>
      <c r="I880" t="s">
        <v>31</v>
      </c>
      <c r="J880" t="s">
        <v>20</v>
      </c>
      <c r="K880" t="s">
        <v>18</v>
      </c>
      <c r="L880" t="s">
        <v>14</v>
      </c>
      <c r="M880" t="s">
        <v>20</v>
      </c>
      <c r="N880" t="s">
        <v>25</v>
      </c>
      <c r="O880" t="s">
        <v>20</v>
      </c>
      <c r="P880" t="s">
        <v>20</v>
      </c>
      <c r="Q880" t="s">
        <v>22</v>
      </c>
    </row>
    <row r="881" spans="1:17" x14ac:dyDescent="0.35">
      <c r="A881">
        <v>1744</v>
      </c>
      <c r="B881">
        <v>53</v>
      </c>
      <c r="C881" t="s">
        <v>27</v>
      </c>
      <c r="D881">
        <v>172</v>
      </c>
      <c r="E881">
        <v>79</v>
      </c>
      <c r="F881" s="3">
        <v>23.3625726031112</v>
      </c>
      <c r="G881" s="3" t="str">
        <f t="shared" si="13"/>
        <v>Normal Weight</v>
      </c>
      <c r="H881" t="s">
        <v>794</v>
      </c>
      <c r="I881" t="s">
        <v>24</v>
      </c>
      <c r="J881" t="s">
        <v>20</v>
      </c>
      <c r="K881" t="s">
        <v>22</v>
      </c>
      <c r="L881" t="s">
        <v>29</v>
      </c>
      <c r="M881" t="s">
        <v>20</v>
      </c>
      <c r="N881" t="s">
        <v>25</v>
      </c>
      <c r="O881" t="s">
        <v>20</v>
      </c>
      <c r="P881" t="s">
        <v>20</v>
      </c>
      <c r="Q881" t="s">
        <v>40</v>
      </c>
    </row>
    <row r="882" spans="1:17" x14ac:dyDescent="0.35">
      <c r="A882">
        <v>913</v>
      </c>
      <c r="B882">
        <v>71</v>
      </c>
      <c r="C882" t="s">
        <v>27</v>
      </c>
      <c r="D882">
        <v>187</v>
      </c>
      <c r="E882">
        <v>75</v>
      </c>
      <c r="F882" s="3">
        <v>31.916843073948399</v>
      </c>
      <c r="G882" s="3" t="str">
        <f t="shared" si="13"/>
        <v>Obese</v>
      </c>
      <c r="H882" t="s">
        <v>750</v>
      </c>
      <c r="I882" t="s">
        <v>24</v>
      </c>
      <c r="J882" t="s">
        <v>19</v>
      </c>
      <c r="K882" t="s">
        <v>40</v>
      </c>
      <c r="L882" t="s">
        <v>14</v>
      </c>
      <c r="M882" t="s">
        <v>19</v>
      </c>
      <c r="N882" t="s">
        <v>25</v>
      </c>
      <c r="O882" t="s">
        <v>20</v>
      </c>
      <c r="P882" t="s">
        <v>20</v>
      </c>
      <c r="Q882" t="s">
        <v>40</v>
      </c>
    </row>
    <row r="883" spans="1:17" x14ac:dyDescent="0.35">
      <c r="A883">
        <v>1855</v>
      </c>
      <c r="B883">
        <v>53</v>
      </c>
      <c r="C883" t="s">
        <v>16</v>
      </c>
      <c r="D883">
        <v>171</v>
      </c>
      <c r="E883">
        <v>92</v>
      </c>
      <c r="F883" s="3">
        <v>31.270918940351098</v>
      </c>
      <c r="G883" s="3" t="str">
        <f t="shared" si="13"/>
        <v>Obese</v>
      </c>
      <c r="H883" t="s">
        <v>1219</v>
      </c>
      <c r="I883" t="s">
        <v>18</v>
      </c>
      <c r="J883" t="s">
        <v>19</v>
      </c>
      <c r="K883" t="s">
        <v>22</v>
      </c>
      <c r="L883" t="s">
        <v>32</v>
      </c>
      <c r="M883" t="s">
        <v>20</v>
      </c>
      <c r="N883" t="s">
        <v>25</v>
      </c>
      <c r="O883" t="s">
        <v>19</v>
      </c>
      <c r="P883" t="s">
        <v>20</v>
      </c>
      <c r="Q883" t="s">
        <v>40</v>
      </c>
    </row>
    <row r="884" spans="1:17" x14ac:dyDescent="0.35">
      <c r="A884">
        <v>1863</v>
      </c>
      <c r="B884">
        <v>53</v>
      </c>
      <c r="C884" t="s">
        <v>16</v>
      </c>
      <c r="D884">
        <v>159</v>
      </c>
      <c r="E884">
        <v>59</v>
      </c>
      <c r="F884" s="3">
        <v>32.681799097810803</v>
      </c>
      <c r="G884" s="3" t="str">
        <f t="shared" si="13"/>
        <v>Obese</v>
      </c>
      <c r="H884" t="s">
        <v>734</v>
      </c>
      <c r="I884" t="s">
        <v>18</v>
      </c>
      <c r="J884" t="s">
        <v>19</v>
      </c>
      <c r="K884" t="s">
        <v>22</v>
      </c>
      <c r="L884" t="s">
        <v>32</v>
      </c>
      <c r="M884" t="s">
        <v>20</v>
      </c>
      <c r="N884" t="s">
        <v>25</v>
      </c>
      <c r="O884" t="s">
        <v>19</v>
      </c>
      <c r="P884" t="s">
        <v>20</v>
      </c>
      <c r="Q884" t="s">
        <v>18</v>
      </c>
    </row>
    <row r="885" spans="1:17" x14ac:dyDescent="0.35">
      <c r="A885">
        <v>915</v>
      </c>
      <c r="B885">
        <v>28</v>
      </c>
      <c r="C885" t="s">
        <v>16</v>
      </c>
      <c r="D885">
        <v>167</v>
      </c>
      <c r="E885">
        <v>78</v>
      </c>
      <c r="F885" s="3">
        <v>21.9775911405934</v>
      </c>
      <c r="G885" s="3" t="str">
        <f t="shared" si="13"/>
        <v>Normal Weight</v>
      </c>
      <c r="H885" t="s">
        <v>305</v>
      </c>
      <c r="I885" t="s">
        <v>24</v>
      </c>
      <c r="J885" t="s">
        <v>20</v>
      </c>
      <c r="K885" t="s">
        <v>18</v>
      </c>
      <c r="L885" t="s">
        <v>32</v>
      </c>
      <c r="M885" t="s">
        <v>19</v>
      </c>
      <c r="N885" t="s">
        <v>21</v>
      </c>
      <c r="O885" t="s">
        <v>19</v>
      </c>
      <c r="P885" t="s">
        <v>19</v>
      </c>
      <c r="Q885" t="s">
        <v>22</v>
      </c>
    </row>
    <row r="886" spans="1:17" x14ac:dyDescent="0.35">
      <c r="A886">
        <v>917</v>
      </c>
      <c r="B886">
        <v>54</v>
      </c>
      <c r="C886" t="s">
        <v>27</v>
      </c>
      <c r="D886">
        <v>159</v>
      </c>
      <c r="E886">
        <v>82</v>
      </c>
      <c r="F886" s="3">
        <v>28.862502665397301</v>
      </c>
      <c r="G886" s="3" t="str">
        <f t="shared" si="13"/>
        <v>Overweight</v>
      </c>
      <c r="H886" t="s">
        <v>83</v>
      </c>
      <c r="I886" t="s">
        <v>24</v>
      </c>
      <c r="J886" t="s">
        <v>20</v>
      </c>
      <c r="K886" t="s">
        <v>18</v>
      </c>
      <c r="L886" t="s">
        <v>29</v>
      </c>
      <c r="M886" t="s">
        <v>20</v>
      </c>
      <c r="N886" t="s">
        <v>21</v>
      </c>
      <c r="O886" t="s">
        <v>20</v>
      </c>
      <c r="P886" t="s">
        <v>20</v>
      </c>
      <c r="Q886" t="s">
        <v>18</v>
      </c>
    </row>
    <row r="887" spans="1:17" x14ac:dyDescent="0.35">
      <c r="A887">
        <v>919</v>
      </c>
      <c r="B887">
        <v>52</v>
      </c>
      <c r="C887" t="s">
        <v>16</v>
      </c>
      <c r="D887">
        <v>180</v>
      </c>
      <c r="E887">
        <v>63</v>
      </c>
      <c r="F887" s="3">
        <v>25.357858403481</v>
      </c>
      <c r="G887" s="3" t="str">
        <f t="shared" si="13"/>
        <v>Overweight</v>
      </c>
      <c r="H887" t="s">
        <v>752</v>
      </c>
      <c r="I887" t="s">
        <v>31</v>
      </c>
      <c r="J887" t="s">
        <v>20</v>
      </c>
      <c r="K887" t="s">
        <v>18</v>
      </c>
      <c r="L887" t="s">
        <v>32</v>
      </c>
      <c r="M887" t="s">
        <v>19</v>
      </c>
      <c r="N887" t="s">
        <v>25</v>
      </c>
      <c r="O887" t="s">
        <v>19</v>
      </c>
      <c r="P887" t="s">
        <v>19</v>
      </c>
      <c r="Q887" t="s">
        <v>18</v>
      </c>
    </row>
    <row r="888" spans="1:17" x14ac:dyDescent="0.35">
      <c r="A888">
        <v>146</v>
      </c>
      <c r="B888">
        <v>52</v>
      </c>
      <c r="C888" t="s">
        <v>27</v>
      </c>
      <c r="D888">
        <v>170</v>
      </c>
      <c r="E888">
        <v>70</v>
      </c>
      <c r="F888" s="3">
        <v>28.030615830512701</v>
      </c>
      <c r="G888" s="3" t="str">
        <f t="shared" si="13"/>
        <v>Overweight</v>
      </c>
      <c r="H888" t="s">
        <v>170</v>
      </c>
      <c r="I888" t="s">
        <v>31</v>
      </c>
      <c r="J888" t="s">
        <v>19</v>
      </c>
      <c r="K888" t="s">
        <v>22</v>
      </c>
      <c r="L888" t="s">
        <v>29</v>
      </c>
      <c r="M888" t="s">
        <v>20</v>
      </c>
      <c r="N888" t="s">
        <v>25</v>
      </c>
      <c r="O888" t="s">
        <v>20</v>
      </c>
      <c r="P888" t="s">
        <v>20</v>
      </c>
      <c r="Q888" t="s">
        <v>18</v>
      </c>
    </row>
    <row r="889" spans="1:17" x14ac:dyDescent="0.35">
      <c r="A889">
        <v>167</v>
      </c>
      <c r="B889">
        <v>52</v>
      </c>
      <c r="C889" t="s">
        <v>27</v>
      </c>
      <c r="D889">
        <v>183</v>
      </c>
      <c r="E889">
        <v>96</v>
      </c>
      <c r="F889" s="3">
        <v>19.427700865041</v>
      </c>
      <c r="G889" s="3" t="str">
        <f t="shared" si="13"/>
        <v>Normal Weight</v>
      </c>
      <c r="H889" t="s">
        <v>189</v>
      </c>
      <c r="I889" t="s">
        <v>18</v>
      </c>
      <c r="J889" t="s">
        <v>20</v>
      </c>
      <c r="K889" t="s">
        <v>22</v>
      </c>
      <c r="L889" t="s">
        <v>14</v>
      </c>
      <c r="M889" t="s">
        <v>19</v>
      </c>
      <c r="N889" t="s">
        <v>21</v>
      </c>
      <c r="O889" t="s">
        <v>20</v>
      </c>
      <c r="P889" t="s">
        <v>20</v>
      </c>
      <c r="Q889" t="s">
        <v>22</v>
      </c>
    </row>
    <row r="890" spans="1:17" x14ac:dyDescent="0.35">
      <c r="A890">
        <v>920</v>
      </c>
      <c r="B890">
        <v>36</v>
      </c>
      <c r="C890" t="s">
        <v>16</v>
      </c>
      <c r="D890">
        <v>179</v>
      </c>
      <c r="E890">
        <v>63</v>
      </c>
      <c r="F890" s="3">
        <v>22.7619570806052</v>
      </c>
      <c r="G890" s="3" t="str">
        <f t="shared" si="13"/>
        <v>Normal Weight</v>
      </c>
      <c r="H890" t="s">
        <v>753</v>
      </c>
      <c r="I890" t="s">
        <v>18</v>
      </c>
      <c r="J890" t="s">
        <v>19</v>
      </c>
      <c r="K890" t="s">
        <v>18</v>
      </c>
      <c r="L890" t="s">
        <v>32</v>
      </c>
      <c r="M890" t="s">
        <v>20</v>
      </c>
      <c r="N890" t="s">
        <v>21</v>
      </c>
      <c r="O890" t="s">
        <v>20</v>
      </c>
      <c r="P890" t="s">
        <v>20</v>
      </c>
      <c r="Q890" t="s">
        <v>40</v>
      </c>
    </row>
    <row r="891" spans="1:17" x14ac:dyDescent="0.35">
      <c r="A891">
        <v>174</v>
      </c>
      <c r="B891">
        <v>52</v>
      </c>
      <c r="C891" t="s">
        <v>16</v>
      </c>
      <c r="D891">
        <v>158</v>
      </c>
      <c r="E891">
        <v>84</v>
      </c>
      <c r="F891" s="3">
        <v>32.558798860777401</v>
      </c>
      <c r="G891" s="3" t="str">
        <f t="shared" si="13"/>
        <v>Obese</v>
      </c>
      <c r="H891" t="s">
        <v>45</v>
      </c>
      <c r="I891" t="s">
        <v>24</v>
      </c>
      <c r="J891" t="s">
        <v>19</v>
      </c>
      <c r="K891" t="s">
        <v>22</v>
      </c>
      <c r="L891" t="s">
        <v>29</v>
      </c>
      <c r="M891" t="s">
        <v>20</v>
      </c>
      <c r="N891" t="s">
        <v>21</v>
      </c>
      <c r="O891" t="s">
        <v>19</v>
      </c>
      <c r="P891" t="s">
        <v>19</v>
      </c>
      <c r="Q891" t="s">
        <v>22</v>
      </c>
    </row>
    <row r="892" spans="1:17" x14ac:dyDescent="0.35">
      <c r="A892">
        <v>356</v>
      </c>
      <c r="B892">
        <v>52</v>
      </c>
      <c r="C892" t="s">
        <v>16</v>
      </c>
      <c r="D892">
        <v>176</v>
      </c>
      <c r="E892">
        <v>54</v>
      </c>
      <c r="F892" s="3">
        <v>28.648650941242501</v>
      </c>
      <c r="G892" s="3" t="str">
        <f t="shared" si="13"/>
        <v>Overweight</v>
      </c>
      <c r="H892" t="s">
        <v>358</v>
      </c>
      <c r="I892" t="s">
        <v>24</v>
      </c>
      <c r="J892" t="s">
        <v>20</v>
      </c>
      <c r="K892" t="s">
        <v>22</v>
      </c>
      <c r="L892" t="s">
        <v>32</v>
      </c>
      <c r="M892" t="s">
        <v>19</v>
      </c>
      <c r="N892" t="s">
        <v>25</v>
      </c>
      <c r="O892" t="s">
        <v>19</v>
      </c>
      <c r="P892" t="s">
        <v>19</v>
      </c>
      <c r="Q892" t="s">
        <v>22</v>
      </c>
    </row>
    <row r="893" spans="1:17" x14ac:dyDescent="0.35">
      <c r="A893">
        <v>378</v>
      </c>
      <c r="B893">
        <v>52</v>
      </c>
      <c r="C893" t="s">
        <v>16</v>
      </c>
      <c r="D893">
        <v>151</v>
      </c>
      <c r="E893">
        <v>91</v>
      </c>
      <c r="F893" s="3">
        <v>23.503126433430101</v>
      </c>
      <c r="G893" s="3" t="str">
        <f t="shared" si="13"/>
        <v>Normal Weight</v>
      </c>
      <c r="H893" t="s">
        <v>378</v>
      </c>
      <c r="I893" t="s">
        <v>31</v>
      </c>
      <c r="J893" t="s">
        <v>19</v>
      </c>
      <c r="K893" t="s">
        <v>22</v>
      </c>
      <c r="L893" t="s">
        <v>38</v>
      </c>
      <c r="M893" t="s">
        <v>19</v>
      </c>
      <c r="N893" t="s">
        <v>21</v>
      </c>
      <c r="O893" t="s">
        <v>20</v>
      </c>
      <c r="P893" t="s">
        <v>19</v>
      </c>
      <c r="Q893" t="s">
        <v>40</v>
      </c>
    </row>
    <row r="894" spans="1:17" x14ac:dyDescent="0.35">
      <c r="A894">
        <v>398</v>
      </c>
      <c r="B894">
        <v>52</v>
      </c>
      <c r="C894" t="s">
        <v>27</v>
      </c>
      <c r="D894">
        <v>165</v>
      </c>
      <c r="E894">
        <v>60</v>
      </c>
      <c r="F894" s="3">
        <v>27.380631680829801</v>
      </c>
      <c r="G894" s="3" t="str">
        <f t="shared" si="13"/>
        <v>Overweight</v>
      </c>
      <c r="H894" t="s">
        <v>388</v>
      </c>
      <c r="I894" t="s">
        <v>31</v>
      </c>
      <c r="J894" t="s">
        <v>20</v>
      </c>
      <c r="K894" t="s">
        <v>22</v>
      </c>
      <c r="L894" t="s">
        <v>14</v>
      </c>
      <c r="M894" t="s">
        <v>20</v>
      </c>
      <c r="N894" t="s">
        <v>21</v>
      </c>
      <c r="O894" t="s">
        <v>19</v>
      </c>
      <c r="P894" t="s">
        <v>19</v>
      </c>
      <c r="Q894" t="s">
        <v>40</v>
      </c>
    </row>
    <row r="895" spans="1:17" x14ac:dyDescent="0.35">
      <c r="A895">
        <v>402</v>
      </c>
      <c r="B895">
        <v>52</v>
      </c>
      <c r="C895" t="s">
        <v>27</v>
      </c>
      <c r="D895">
        <v>166</v>
      </c>
      <c r="E895">
        <v>58</v>
      </c>
      <c r="F895" s="3">
        <v>34.628033292533402</v>
      </c>
      <c r="G895" s="3" t="str">
        <f t="shared" si="13"/>
        <v>Obese</v>
      </c>
      <c r="H895" t="s">
        <v>391</v>
      </c>
      <c r="I895" t="s">
        <v>24</v>
      </c>
      <c r="J895" t="s">
        <v>19</v>
      </c>
      <c r="K895" t="s">
        <v>22</v>
      </c>
      <c r="L895" t="s">
        <v>38</v>
      </c>
      <c r="M895" t="s">
        <v>19</v>
      </c>
      <c r="N895" t="s">
        <v>25</v>
      </c>
      <c r="O895" t="s">
        <v>20</v>
      </c>
      <c r="P895" t="s">
        <v>20</v>
      </c>
      <c r="Q895" t="s">
        <v>40</v>
      </c>
    </row>
    <row r="896" spans="1:17" x14ac:dyDescent="0.35">
      <c r="A896">
        <v>924</v>
      </c>
      <c r="B896">
        <v>64</v>
      </c>
      <c r="C896" t="s">
        <v>27</v>
      </c>
      <c r="D896">
        <v>178</v>
      </c>
      <c r="E896">
        <v>66</v>
      </c>
      <c r="F896" s="3">
        <v>26.550353222108399</v>
      </c>
      <c r="G896" s="3" t="str">
        <f t="shared" si="13"/>
        <v>Overweight</v>
      </c>
      <c r="H896" t="s">
        <v>756</v>
      </c>
      <c r="I896" t="s">
        <v>24</v>
      </c>
      <c r="J896" t="s">
        <v>19</v>
      </c>
      <c r="K896" t="s">
        <v>18</v>
      </c>
      <c r="L896" t="s">
        <v>32</v>
      </c>
      <c r="M896" t="s">
        <v>19</v>
      </c>
      <c r="N896" t="s">
        <v>21</v>
      </c>
      <c r="O896" t="s">
        <v>20</v>
      </c>
      <c r="P896" t="s">
        <v>19</v>
      </c>
      <c r="Q896" t="s">
        <v>40</v>
      </c>
    </row>
    <row r="897" spans="1:17" x14ac:dyDescent="0.35">
      <c r="A897">
        <v>458</v>
      </c>
      <c r="B897">
        <v>52</v>
      </c>
      <c r="C897" t="s">
        <v>16</v>
      </c>
      <c r="D897">
        <v>183</v>
      </c>
      <c r="E897">
        <v>55</v>
      </c>
      <c r="F897" s="3">
        <v>19.3523463923915</v>
      </c>
      <c r="G897" s="3" t="str">
        <f t="shared" si="13"/>
        <v>Normal Weight</v>
      </c>
      <c r="H897" t="s">
        <v>433</v>
      </c>
      <c r="I897" t="s">
        <v>24</v>
      </c>
      <c r="J897" t="s">
        <v>20</v>
      </c>
      <c r="K897" t="s">
        <v>22</v>
      </c>
      <c r="L897" t="s">
        <v>38</v>
      </c>
      <c r="M897" t="s">
        <v>19</v>
      </c>
      <c r="N897" t="s">
        <v>25</v>
      </c>
      <c r="O897" t="s">
        <v>19</v>
      </c>
      <c r="P897" t="s">
        <v>19</v>
      </c>
      <c r="Q897" t="s">
        <v>18</v>
      </c>
    </row>
    <row r="898" spans="1:17" x14ac:dyDescent="0.35">
      <c r="A898">
        <v>468</v>
      </c>
      <c r="B898">
        <v>52</v>
      </c>
      <c r="C898" t="s">
        <v>16</v>
      </c>
      <c r="D898">
        <v>160</v>
      </c>
      <c r="E898">
        <v>88</v>
      </c>
      <c r="F898" s="3">
        <v>25.283371380415002</v>
      </c>
      <c r="G898" s="3" t="str">
        <f t="shared" si="13"/>
        <v>Overweight</v>
      </c>
      <c r="H898" t="s">
        <v>441</v>
      </c>
      <c r="I898" t="s">
        <v>18</v>
      </c>
      <c r="J898" t="s">
        <v>20</v>
      </c>
      <c r="K898" t="s">
        <v>22</v>
      </c>
      <c r="L898" t="s">
        <v>32</v>
      </c>
      <c r="M898" t="s">
        <v>20</v>
      </c>
      <c r="N898" t="s">
        <v>21</v>
      </c>
      <c r="O898" t="s">
        <v>19</v>
      </c>
      <c r="P898" t="s">
        <v>19</v>
      </c>
      <c r="Q898" t="s">
        <v>22</v>
      </c>
    </row>
    <row r="899" spans="1:17" x14ac:dyDescent="0.35">
      <c r="A899">
        <v>925</v>
      </c>
      <c r="B899">
        <v>58</v>
      </c>
      <c r="C899" t="s">
        <v>27</v>
      </c>
      <c r="D899">
        <v>157</v>
      </c>
      <c r="E899">
        <v>52</v>
      </c>
      <c r="F899" s="3">
        <v>21.8702317209505</v>
      </c>
      <c r="G899" s="3" t="str">
        <f t="shared" ref="G899:G962" si="14">_xlfn.IFS(F899&lt;18.5, "Underweight", F899&lt;=24.9, "Normal Weight", F899&lt;=29.9, "Overweight", TRUE, "Obese")</f>
        <v>Normal Weight</v>
      </c>
      <c r="H899" t="s">
        <v>757</v>
      </c>
      <c r="I899" t="s">
        <v>31</v>
      </c>
      <c r="J899" t="s">
        <v>20</v>
      </c>
      <c r="K899" t="s">
        <v>18</v>
      </c>
      <c r="L899" t="s">
        <v>32</v>
      </c>
      <c r="M899" t="s">
        <v>19</v>
      </c>
      <c r="N899" t="s">
        <v>21</v>
      </c>
      <c r="O899" t="s">
        <v>19</v>
      </c>
      <c r="P899" t="s">
        <v>20</v>
      </c>
      <c r="Q899" t="s">
        <v>22</v>
      </c>
    </row>
    <row r="900" spans="1:17" x14ac:dyDescent="0.35">
      <c r="A900">
        <v>520</v>
      </c>
      <c r="B900">
        <v>52</v>
      </c>
      <c r="C900" t="s">
        <v>27</v>
      </c>
      <c r="D900">
        <v>186</v>
      </c>
      <c r="E900">
        <v>85</v>
      </c>
      <c r="F900" s="3">
        <v>25.251512693064999</v>
      </c>
      <c r="G900" s="3" t="str">
        <f t="shared" si="14"/>
        <v>Overweight</v>
      </c>
      <c r="H900" t="s">
        <v>480</v>
      </c>
      <c r="I900" t="s">
        <v>18</v>
      </c>
      <c r="J900" t="s">
        <v>20</v>
      </c>
      <c r="K900" t="s">
        <v>22</v>
      </c>
      <c r="L900" t="s">
        <v>14</v>
      </c>
      <c r="M900" t="s">
        <v>19</v>
      </c>
      <c r="N900" t="s">
        <v>25</v>
      </c>
      <c r="O900" t="s">
        <v>19</v>
      </c>
      <c r="P900" t="s">
        <v>19</v>
      </c>
      <c r="Q900" t="s">
        <v>18</v>
      </c>
    </row>
    <row r="901" spans="1:17" x14ac:dyDescent="0.35">
      <c r="A901">
        <v>926</v>
      </c>
      <c r="B901">
        <v>66</v>
      </c>
      <c r="C901" t="s">
        <v>27</v>
      </c>
      <c r="D901">
        <v>182</v>
      </c>
      <c r="E901">
        <v>65</v>
      </c>
      <c r="F901" s="3">
        <v>28.8422433960699</v>
      </c>
      <c r="G901" s="3" t="str">
        <f t="shared" si="14"/>
        <v>Overweight</v>
      </c>
      <c r="H901" t="s">
        <v>701</v>
      </c>
      <c r="I901" t="s">
        <v>24</v>
      </c>
      <c r="J901" t="s">
        <v>20</v>
      </c>
      <c r="K901" t="s">
        <v>18</v>
      </c>
      <c r="L901" t="s">
        <v>14</v>
      </c>
      <c r="M901" t="s">
        <v>20</v>
      </c>
      <c r="N901" t="s">
        <v>21</v>
      </c>
      <c r="O901" t="s">
        <v>19</v>
      </c>
      <c r="P901" t="s">
        <v>20</v>
      </c>
      <c r="Q901" t="s">
        <v>22</v>
      </c>
    </row>
    <row r="902" spans="1:17" x14ac:dyDescent="0.35">
      <c r="A902">
        <v>927</v>
      </c>
      <c r="B902">
        <v>31</v>
      </c>
      <c r="C902" t="s">
        <v>16</v>
      </c>
      <c r="D902">
        <v>166</v>
      </c>
      <c r="E902">
        <v>95</v>
      </c>
      <c r="F902" s="3">
        <v>24.419251423957601</v>
      </c>
      <c r="G902" s="3" t="str">
        <f t="shared" si="14"/>
        <v>Normal Weight</v>
      </c>
      <c r="H902" t="s">
        <v>758</v>
      </c>
      <c r="I902" t="s">
        <v>24</v>
      </c>
      <c r="J902" t="s">
        <v>19</v>
      </c>
      <c r="K902" t="s">
        <v>18</v>
      </c>
      <c r="L902" t="s">
        <v>38</v>
      </c>
      <c r="M902" t="s">
        <v>20</v>
      </c>
      <c r="N902" t="s">
        <v>25</v>
      </c>
      <c r="O902" t="s">
        <v>19</v>
      </c>
      <c r="P902" t="s">
        <v>20</v>
      </c>
      <c r="Q902" t="s">
        <v>40</v>
      </c>
    </row>
    <row r="903" spans="1:17" x14ac:dyDescent="0.35">
      <c r="A903">
        <v>930</v>
      </c>
      <c r="B903">
        <v>18</v>
      </c>
      <c r="C903" t="s">
        <v>27</v>
      </c>
      <c r="D903">
        <v>160</v>
      </c>
      <c r="E903">
        <v>94</v>
      </c>
      <c r="F903" s="3">
        <v>26.517112502128601</v>
      </c>
      <c r="G903" s="3" t="str">
        <f t="shared" si="14"/>
        <v>Overweight</v>
      </c>
      <c r="H903" t="s">
        <v>358</v>
      </c>
      <c r="I903" t="s">
        <v>24</v>
      </c>
      <c r="J903" t="s">
        <v>19</v>
      </c>
      <c r="K903" t="s">
        <v>18</v>
      </c>
      <c r="L903" t="s">
        <v>29</v>
      </c>
      <c r="M903" t="s">
        <v>19</v>
      </c>
      <c r="N903" t="s">
        <v>25</v>
      </c>
      <c r="O903" t="s">
        <v>19</v>
      </c>
      <c r="P903" t="s">
        <v>19</v>
      </c>
      <c r="Q903" t="s">
        <v>18</v>
      </c>
    </row>
    <row r="904" spans="1:17" x14ac:dyDescent="0.35">
      <c r="A904">
        <v>931</v>
      </c>
      <c r="B904">
        <v>70</v>
      </c>
      <c r="C904" t="s">
        <v>27</v>
      </c>
      <c r="D904">
        <v>180</v>
      </c>
      <c r="E904">
        <v>64</v>
      </c>
      <c r="F904" s="3">
        <v>27.836554492276001</v>
      </c>
      <c r="G904" s="3" t="str">
        <f t="shared" si="14"/>
        <v>Overweight</v>
      </c>
      <c r="H904" t="s">
        <v>443</v>
      </c>
      <c r="I904" t="s">
        <v>31</v>
      </c>
      <c r="J904" t="s">
        <v>20</v>
      </c>
      <c r="K904" t="s">
        <v>40</v>
      </c>
      <c r="L904" t="s">
        <v>38</v>
      </c>
      <c r="M904" t="s">
        <v>20</v>
      </c>
      <c r="N904" t="s">
        <v>21</v>
      </c>
      <c r="O904" t="s">
        <v>19</v>
      </c>
      <c r="P904" t="s">
        <v>19</v>
      </c>
      <c r="Q904" t="s">
        <v>40</v>
      </c>
    </row>
    <row r="905" spans="1:17" x14ac:dyDescent="0.35">
      <c r="A905">
        <v>932</v>
      </c>
      <c r="B905">
        <v>71</v>
      </c>
      <c r="C905" t="s">
        <v>27</v>
      </c>
      <c r="D905">
        <v>177</v>
      </c>
      <c r="E905">
        <v>95</v>
      </c>
      <c r="F905" s="3">
        <v>33.626474051459297</v>
      </c>
      <c r="G905" s="3" t="str">
        <f t="shared" si="14"/>
        <v>Obese</v>
      </c>
      <c r="H905" t="s">
        <v>759</v>
      </c>
      <c r="I905" t="s">
        <v>18</v>
      </c>
      <c r="J905" t="s">
        <v>19</v>
      </c>
      <c r="K905" t="s">
        <v>40</v>
      </c>
      <c r="L905" t="s">
        <v>32</v>
      </c>
      <c r="M905" t="s">
        <v>20</v>
      </c>
      <c r="N905" t="s">
        <v>25</v>
      </c>
      <c r="O905" t="s">
        <v>19</v>
      </c>
      <c r="P905" t="s">
        <v>20</v>
      </c>
      <c r="Q905" t="s">
        <v>18</v>
      </c>
    </row>
    <row r="906" spans="1:17" x14ac:dyDescent="0.35">
      <c r="A906">
        <v>768</v>
      </c>
      <c r="B906">
        <v>52</v>
      </c>
      <c r="C906" t="s">
        <v>27</v>
      </c>
      <c r="D906">
        <v>185</v>
      </c>
      <c r="E906">
        <v>81</v>
      </c>
      <c r="F906" s="3">
        <v>20.832828644569599</v>
      </c>
      <c r="G906" s="3" t="str">
        <f t="shared" si="14"/>
        <v>Normal Weight</v>
      </c>
      <c r="H906" t="s">
        <v>204</v>
      </c>
      <c r="I906" t="s">
        <v>24</v>
      </c>
      <c r="J906" t="s">
        <v>20</v>
      </c>
      <c r="K906" t="s">
        <v>22</v>
      </c>
      <c r="L906" t="s">
        <v>14</v>
      </c>
      <c r="M906" t="s">
        <v>19</v>
      </c>
      <c r="N906" t="s">
        <v>25</v>
      </c>
      <c r="O906" t="s">
        <v>19</v>
      </c>
      <c r="P906" t="s">
        <v>20</v>
      </c>
      <c r="Q906" t="s">
        <v>18</v>
      </c>
    </row>
    <row r="907" spans="1:17" x14ac:dyDescent="0.35">
      <c r="A907">
        <v>800</v>
      </c>
      <c r="B907">
        <v>52</v>
      </c>
      <c r="C907" t="s">
        <v>27</v>
      </c>
      <c r="D907">
        <v>162</v>
      </c>
      <c r="E907">
        <v>69</v>
      </c>
      <c r="F907" s="3">
        <v>24.816751013679099</v>
      </c>
      <c r="G907" s="3" t="str">
        <f t="shared" si="14"/>
        <v>Normal Weight</v>
      </c>
      <c r="H907" t="s">
        <v>689</v>
      </c>
      <c r="I907" t="s">
        <v>31</v>
      </c>
      <c r="J907" t="s">
        <v>19</v>
      </c>
      <c r="K907" t="s">
        <v>22</v>
      </c>
      <c r="L907" t="s">
        <v>14</v>
      </c>
      <c r="M907" t="s">
        <v>19</v>
      </c>
      <c r="N907" t="s">
        <v>21</v>
      </c>
      <c r="O907" t="s">
        <v>19</v>
      </c>
      <c r="P907" t="s">
        <v>19</v>
      </c>
      <c r="Q907" t="s">
        <v>22</v>
      </c>
    </row>
    <row r="908" spans="1:17" x14ac:dyDescent="0.35">
      <c r="A908">
        <v>935</v>
      </c>
      <c r="B908">
        <v>33</v>
      </c>
      <c r="C908" t="s">
        <v>27</v>
      </c>
      <c r="D908">
        <v>153</v>
      </c>
      <c r="E908">
        <v>91</v>
      </c>
      <c r="F908" s="3">
        <v>30.358537888551101</v>
      </c>
      <c r="G908" s="3" t="str">
        <f t="shared" si="14"/>
        <v>Obese</v>
      </c>
      <c r="H908" t="s">
        <v>648</v>
      </c>
      <c r="I908" t="s">
        <v>18</v>
      </c>
      <c r="J908" t="s">
        <v>19</v>
      </c>
      <c r="K908" t="s">
        <v>18</v>
      </c>
      <c r="L908" t="s">
        <v>38</v>
      </c>
      <c r="M908" t="s">
        <v>20</v>
      </c>
      <c r="N908" t="s">
        <v>25</v>
      </c>
      <c r="O908" t="s">
        <v>19</v>
      </c>
      <c r="P908" t="s">
        <v>20</v>
      </c>
      <c r="Q908" t="s">
        <v>22</v>
      </c>
    </row>
    <row r="909" spans="1:17" x14ac:dyDescent="0.35">
      <c r="A909">
        <v>937</v>
      </c>
      <c r="B909">
        <v>74</v>
      </c>
      <c r="C909" t="s">
        <v>16</v>
      </c>
      <c r="D909">
        <v>175</v>
      </c>
      <c r="E909">
        <v>87</v>
      </c>
      <c r="F909" s="3">
        <v>26.624056303570601</v>
      </c>
      <c r="G909" s="3" t="str">
        <f t="shared" si="14"/>
        <v>Overweight</v>
      </c>
      <c r="H909" t="s">
        <v>761</v>
      </c>
      <c r="I909" t="s">
        <v>18</v>
      </c>
      <c r="J909" t="s">
        <v>19</v>
      </c>
      <c r="K909" t="s">
        <v>40</v>
      </c>
      <c r="L909" t="s">
        <v>32</v>
      </c>
      <c r="M909" t="s">
        <v>19</v>
      </c>
      <c r="N909" t="s">
        <v>21</v>
      </c>
      <c r="O909" t="s">
        <v>20</v>
      </c>
      <c r="P909" t="s">
        <v>20</v>
      </c>
      <c r="Q909" t="s">
        <v>40</v>
      </c>
    </row>
    <row r="910" spans="1:17" x14ac:dyDescent="0.35">
      <c r="A910">
        <v>976</v>
      </c>
      <c r="B910">
        <v>52</v>
      </c>
      <c r="C910" t="s">
        <v>27</v>
      </c>
      <c r="D910">
        <v>177</v>
      </c>
      <c r="E910">
        <v>76</v>
      </c>
      <c r="F910" s="3">
        <v>23.960093635373202</v>
      </c>
      <c r="G910" s="3" t="str">
        <f t="shared" si="14"/>
        <v>Normal Weight</v>
      </c>
      <c r="H910" t="s">
        <v>787</v>
      </c>
      <c r="I910" t="s">
        <v>31</v>
      </c>
      <c r="J910" t="s">
        <v>20</v>
      </c>
      <c r="K910" t="s">
        <v>22</v>
      </c>
      <c r="L910" t="s">
        <v>32</v>
      </c>
      <c r="M910" t="s">
        <v>19</v>
      </c>
      <c r="N910" t="s">
        <v>21</v>
      </c>
      <c r="O910" t="s">
        <v>19</v>
      </c>
      <c r="P910" t="s">
        <v>20</v>
      </c>
      <c r="Q910" t="s">
        <v>18</v>
      </c>
    </row>
    <row r="911" spans="1:17" x14ac:dyDescent="0.35">
      <c r="A911">
        <v>938</v>
      </c>
      <c r="B911">
        <v>28</v>
      </c>
      <c r="C911" t="s">
        <v>27</v>
      </c>
      <c r="D911">
        <v>161</v>
      </c>
      <c r="E911">
        <v>72</v>
      </c>
      <c r="F911" s="3">
        <v>21.6732102509417</v>
      </c>
      <c r="G911" s="3" t="str">
        <f t="shared" si="14"/>
        <v>Normal Weight</v>
      </c>
      <c r="H911" t="s">
        <v>762</v>
      </c>
      <c r="I911" t="s">
        <v>31</v>
      </c>
      <c r="J911" t="s">
        <v>19</v>
      </c>
      <c r="K911" t="s">
        <v>18</v>
      </c>
      <c r="L911" t="s">
        <v>38</v>
      </c>
      <c r="M911" t="s">
        <v>19</v>
      </c>
      <c r="N911" t="s">
        <v>25</v>
      </c>
      <c r="O911" t="s">
        <v>20</v>
      </c>
      <c r="P911" t="s">
        <v>20</v>
      </c>
      <c r="Q911" t="s">
        <v>22</v>
      </c>
    </row>
    <row r="912" spans="1:17" x14ac:dyDescent="0.35">
      <c r="A912">
        <v>943</v>
      </c>
      <c r="B912">
        <v>25</v>
      </c>
      <c r="C912" t="s">
        <v>27</v>
      </c>
      <c r="D912">
        <v>168</v>
      </c>
      <c r="E912">
        <v>66</v>
      </c>
      <c r="F912" s="3">
        <v>34.212356239800599</v>
      </c>
      <c r="G912" s="3" t="str">
        <f t="shared" si="14"/>
        <v>Obese</v>
      </c>
      <c r="H912" t="s">
        <v>647</v>
      </c>
      <c r="I912" t="s">
        <v>31</v>
      </c>
      <c r="J912" t="s">
        <v>20</v>
      </c>
      <c r="K912" t="s">
        <v>18</v>
      </c>
      <c r="L912" t="s">
        <v>32</v>
      </c>
      <c r="M912" t="s">
        <v>19</v>
      </c>
      <c r="N912" t="s">
        <v>25</v>
      </c>
      <c r="O912" t="s">
        <v>20</v>
      </c>
      <c r="P912" t="s">
        <v>20</v>
      </c>
      <c r="Q912" t="s">
        <v>22</v>
      </c>
    </row>
    <row r="913" spans="1:17" x14ac:dyDescent="0.35">
      <c r="A913">
        <v>1227</v>
      </c>
      <c r="B913">
        <v>52</v>
      </c>
      <c r="C913" t="s">
        <v>27</v>
      </c>
      <c r="D913">
        <v>156</v>
      </c>
      <c r="E913">
        <v>77</v>
      </c>
      <c r="F913" s="3">
        <v>20.419473497698799</v>
      </c>
      <c r="G913" s="3" t="str">
        <f t="shared" si="14"/>
        <v>Normal Weight</v>
      </c>
      <c r="H913" t="s">
        <v>941</v>
      </c>
      <c r="I913" t="s">
        <v>18</v>
      </c>
      <c r="J913" t="s">
        <v>19</v>
      </c>
      <c r="K913" t="s">
        <v>22</v>
      </c>
      <c r="L913" t="s">
        <v>14</v>
      </c>
      <c r="M913" t="s">
        <v>20</v>
      </c>
      <c r="N913" t="s">
        <v>25</v>
      </c>
      <c r="O913" t="s">
        <v>19</v>
      </c>
      <c r="P913" t="s">
        <v>19</v>
      </c>
      <c r="Q913" t="s">
        <v>18</v>
      </c>
    </row>
    <row r="914" spans="1:17" x14ac:dyDescent="0.35">
      <c r="A914">
        <v>1377</v>
      </c>
      <c r="B914">
        <v>52</v>
      </c>
      <c r="C914" t="s">
        <v>27</v>
      </c>
      <c r="D914">
        <v>151</v>
      </c>
      <c r="E914">
        <v>53</v>
      </c>
      <c r="F914" s="3">
        <v>27.378561957998301</v>
      </c>
      <c r="G914" s="3" t="str">
        <f t="shared" si="14"/>
        <v>Overweight</v>
      </c>
      <c r="H914" t="s">
        <v>655</v>
      </c>
      <c r="I914" t="s">
        <v>24</v>
      </c>
      <c r="J914" t="s">
        <v>19</v>
      </c>
      <c r="K914" t="s">
        <v>22</v>
      </c>
      <c r="L914" t="s">
        <v>38</v>
      </c>
      <c r="M914" t="s">
        <v>20</v>
      </c>
      <c r="N914" t="s">
        <v>25</v>
      </c>
      <c r="O914" t="s">
        <v>20</v>
      </c>
      <c r="P914" t="s">
        <v>20</v>
      </c>
      <c r="Q914" t="s">
        <v>18</v>
      </c>
    </row>
    <row r="915" spans="1:17" x14ac:dyDescent="0.35">
      <c r="A915">
        <v>948</v>
      </c>
      <c r="B915">
        <v>70</v>
      </c>
      <c r="C915" t="s">
        <v>16</v>
      </c>
      <c r="D915">
        <v>155</v>
      </c>
      <c r="E915">
        <v>59</v>
      </c>
      <c r="F915" s="3">
        <v>24.701050113630998</v>
      </c>
      <c r="G915" s="3" t="str">
        <f t="shared" si="14"/>
        <v>Normal Weight</v>
      </c>
      <c r="H915" t="s">
        <v>723</v>
      </c>
      <c r="I915" t="s">
        <v>24</v>
      </c>
      <c r="J915" t="s">
        <v>20</v>
      </c>
      <c r="K915" t="s">
        <v>40</v>
      </c>
      <c r="L915" t="s">
        <v>38</v>
      </c>
      <c r="M915" t="s">
        <v>20</v>
      </c>
      <c r="N915" t="s">
        <v>21</v>
      </c>
      <c r="O915" t="s">
        <v>19</v>
      </c>
      <c r="P915" t="s">
        <v>19</v>
      </c>
      <c r="Q915" t="s">
        <v>22</v>
      </c>
    </row>
    <row r="916" spans="1:17" x14ac:dyDescent="0.35">
      <c r="A916">
        <v>949</v>
      </c>
      <c r="B916">
        <v>25</v>
      </c>
      <c r="C916" t="s">
        <v>16</v>
      </c>
      <c r="D916">
        <v>153</v>
      </c>
      <c r="E916">
        <v>56</v>
      </c>
      <c r="F916" s="3">
        <v>20.1359108525807</v>
      </c>
      <c r="G916" s="3" t="str">
        <f t="shared" si="14"/>
        <v>Normal Weight</v>
      </c>
      <c r="H916" t="s">
        <v>768</v>
      </c>
      <c r="I916" t="s">
        <v>18</v>
      </c>
      <c r="J916" t="s">
        <v>20</v>
      </c>
      <c r="K916" t="s">
        <v>18</v>
      </c>
      <c r="L916" t="s">
        <v>14</v>
      </c>
      <c r="M916" t="s">
        <v>19</v>
      </c>
      <c r="N916" t="s">
        <v>21</v>
      </c>
      <c r="O916" t="s">
        <v>19</v>
      </c>
      <c r="P916" t="s">
        <v>20</v>
      </c>
      <c r="Q916" t="s">
        <v>40</v>
      </c>
    </row>
    <row r="917" spans="1:17" x14ac:dyDescent="0.35">
      <c r="A917">
        <v>1407</v>
      </c>
      <c r="B917">
        <v>52</v>
      </c>
      <c r="C917" t="s">
        <v>16</v>
      </c>
      <c r="D917">
        <v>177</v>
      </c>
      <c r="E917">
        <v>58</v>
      </c>
      <c r="F917" s="3">
        <v>22.464042804660998</v>
      </c>
      <c r="G917" s="3" t="str">
        <f t="shared" si="14"/>
        <v>Normal Weight</v>
      </c>
      <c r="H917" t="s">
        <v>190</v>
      </c>
      <c r="I917" t="s">
        <v>18</v>
      </c>
      <c r="J917" t="s">
        <v>19</v>
      </c>
      <c r="K917" t="s">
        <v>22</v>
      </c>
      <c r="L917" t="s">
        <v>14</v>
      </c>
      <c r="M917" t="s">
        <v>20</v>
      </c>
      <c r="N917" t="s">
        <v>25</v>
      </c>
      <c r="O917" t="s">
        <v>20</v>
      </c>
      <c r="P917" t="s">
        <v>19</v>
      </c>
      <c r="Q917" t="s">
        <v>18</v>
      </c>
    </row>
    <row r="918" spans="1:17" x14ac:dyDescent="0.35">
      <c r="A918">
        <v>1589</v>
      </c>
      <c r="B918">
        <v>52</v>
      </c>
      <c r="C918" t="s">
        <v>27</v>
      </c>
      <c r="D918">
        <v>165</v>
      </c>
      <c r="E918">
        <v>62</v>
      </c>
      <c r="F918" s="3">
        <v>26.664628201408998</v>
      </c>
      <c r="G918" s="3" t="str">
        <f t="shared" si="14"/>
        <v>Overweight</v>
      </c>
      <c r="H918" t="s">
        <v>523</v>
      </c>
      <c r="I918" t="s">
        <v>18</v>
      </c>
      <c r="J918" t="s">
        <v>20</v>
      </c>
      <c r="K918" t="s">
        <v>22</v>
      </c>
      <c r="L918" t="s">
        <v>29</v>
      </c>
      <c r="M918" t="s">
        <v>20</v>
      </c>
      <c r="N918" t="s">
        <v>25</v>
      </c>
      <c r="O918" t="s">
        <v>19</v>
      </c>
      <c r="P918" t="s">
        <v>19</v>
      </c>
      <c r="Q918" t="s">
        <v>18</v>
      </c>
    </row>
    <row r="919" spans="1:17" x14ac:dyDescent="0.35">
      <c r="A919">
        <v>952</v>
      </c>
      <c r="B919">
        <v>53</v>
      </c>
      <c r="C919" t="s">
        <v>27</v>
      </c>
      <c r="D919">
        <v>166</v>
      </c>
      <c r="E919">
        <v>87</v>
      </c>
      <c r="F919" s="3">
        <v>31.336752030920401</v>
      </c>
      <c r="G919" s="3" t="str">
        <f t="shared" si="14"/>
        <v>Obese</v>
      </c>
      <c r="H919" t="s">
        <v>771</v>
      </c>
      <c r="I919" t="s">
        <v>18</v>
      </c>
      <c r="J919" t="s">
        <v>20</v>
      </c>
      <c r="K919" t="s">
        <v>18</v>
      </c>
      <c r="L919" t="s">
        <v>14</v>
      </c>
      <c r="M919" t="s">
        <v>20</v>
      </c>
      <c r="N919" t="s">
        <v>21</v>
      </c>
      <c r="O919" t="s">
        <v>20</v>
      </c>
      <c r="P919" t="s">
        <v>19</v>
      </c>
      <c r="Q919" t="s">
        <v>22</v>
      </c>
    </row>
    <row r="920" spans="1:17" x14ac:dyDescent="0.35">
      <c r="A920">
        <v>1769</v>
      </c>
      <c r="B920">
        <v>52</v>
      </c>
      <c r="C920" t="s">
        <v>27</v>
      </c>
      <c r="D920">
        <v>152</v>
      </c>
      <c r="E920">
        <v>70</v>
      </c>
      <c r="F920" s="3">
        <v>28.335054863159801</v>
      </c>
      <c r="G920" s="3" t="str">
        <f t="shared" si="14"/>
        <v>Overweight</v>
      </c>
      <c r="H920" t="s">
        <v>944</v>
      </c>
      <c r="I920" t="s">
        <v>18</v>
      </c>
      <c r="J920" t="s">
        <v>19</v>
      </c>
      <c r="K920" t="s">
        <v>22</v>
      </c>
      <c r="L920" t="s">
        <v>32</v>
      </c>
      <c r="M920" t="s">
        <v>19</v>
      </c>
      <c r="N920" t="s">
        <v>21</v>
      </c>
      <c r="O920" t="s">
        <v>20</v>
      </c>
      <c r="P920" t="s">
        <v>20</v>
      </c>
      <c r="Q920" t="s">
        <v>18</v>
      </c>
    </row>
    <row r="921" spans="1:17" x14ac:dyDescent="0.35">
      <c r="A921">
        <v>1868</v>
      </c>
      <c r="B921">
        <v>52</v>
      </c>
      <c r="C921" t="s">
        <v>27</v>
      </c>
      <c r="D921">
        <v>166</v>
      </c>
      <c r="E921">
        <v>85</v>
      </c>
      <c r="F921" s="3">
        <v>34.435212324090699</v>
      </c>
      <c r="G921" s="3" t="str">
        <f t="shared" si="14"/>
        <v>Obese</v>
      </c>
      <c r="H921" t="s">
        <v>317</v>
      </c>
      <c r="I921" t="s">
        <v>24</v>
      </c>
      <c r="J921" t="s">
        <v>19</v>
      </c>
      <c r="K921" t="s">
        <v>22</v>
      </c>
      <c r="L921" t="s">
        <v>32</v>
      </c>
      <c r="M921" t="s">
        <v>20</v>
      </c>
      <c r="N921" t="s">
        <v>21</v>
      </c>
      <c r="O921" t="s">
        <v>20</v>
      </c>
      <c r="P921" t="s">
        <v>19</v>
      </c>
      <c r="Q921" t="s">
        <v>40</v>
      </c>
    </row>
    <row r="922" spans="1:17" x14ac:dyDescent="0.35">
      <c r="A922">
        <v>1884</v>
      </c>
      <c r="B922">
        <v>52</v>
      </c>
      <c r="C922" t="s">
        <v>27</v>
      </c>
      <c r="D922">
        <v>188</v>
      </c>
      <c r="E922">
        <v>99</v>
      </c>
      <c r="F922" s="3">
        <v>34.472365838754598</v>
      </c>
      <c r="G922" s="3" t="str">
        <f t="shared" si="14"/>
        <v>Obese</v>
      </c>
      <c r="H922" t="s">
        <v>1231</v>
      </c>
      <c r="I922" t="s">
        <v>18</v>
      </c>
      <c r="J922" t="s">
        <v>20</v>
      </c>
      <c r="K922" t="s">
        <v>22</v>
      </c>
      <c r="L922" t="s">
        <v>14</v>
      </c>
      <c r="M922" t="s">
        <v>19</v>
      </c>
      <c r="N922" t="s">
        <v>21</v>
      </c>
      <c r="O922" t="s">
        <v>20</v>
      </c>
      <c r="P922" t="s">
        <v>19</v>
      </c>
      <c r="Q922" t="s">
        <v>18</v>
      </c>
    </row>
    <row r="923" spans="1:17" x14ac:dyDescent="0.35">
      <c r="A923">
        <v>953</v>
      </c>
      <c r="B923">
        <v>43</v>
      </c>
      <c r="C923" t="s">
        <v>27</v>
      </c>
      <c r="D923">
        <v>165</v>
      </c>
      <c r="E923">
        <v>76</v>
      </c>
      <c r="F923" s="3">
        <v>22.137762936489601</v>
      </c>
      <c r="G923" s="3" t="str">
        <f t="shared" si="14"/>
        <v>Normal Weight</v>
      </c>
      <c r="H923" t="s">
        <v>772</v>
      </c>
      <c r="I923" t="s">
        <v>24</v>
      </c>
      <c r="J923" t="s">
        <v>20</v>
      </c>
      <c r="K923" t="s">
        <v>18</v>
      </c>
      <c r="L923" t="s">
        <v>38</v>
      </c>
      <c r="M923" t="s">
        <v>19</v>
      </c>
      <c r="N923" t="s">
        <v>21</v>
      </c>
      <c r="O923" t="s">
        <v>19</v>
      </c>
      <c r="P923" t="s">
        <v>20</v>
      </c>
      <c r="Q923" t="s">
        <v>40</v>
      </c>
    </row>
    <row r="924" spans="1:17" x14ac:dyDescent="0.35">
      <c r="A924">
        <v>955</v>
      </c>
      <c r="B924">
        <v>75</v>
      </c>
      <c r="C924" t="s">
        <v>27</v>
      </c>
      <c r="D924">
        <v>183</v>
      </c>
      <c r="E924">
        <v>50</v>
      </c>
      <c r="F924" s="3">
        <v>25.204481810902099</v>
      </c>
      <c r="G924" s="3" t="str">
        <f t="shared" si="14"/>
        <v>Overweight</v>
      </c>
      <c r="H924" t="s">
        <v>645</v>
      </c>
      <c r="I924" t="s">
        <v>18</v>
      </c>
      <c r="J924" t="s">
        <v>19</v>
      </c>
      <c r="K924" t="s">
        <v>40</v>
      </c>
      <c r="L924" t="s">
        <v>32</v>
      </c>
      <c r="M924" t="s">
        <v>20</v>
      </c>
      <c r="N924" t="s">
        <v>25</v>
      </c>
      <c r="O924" t="s">
        <v>19</v>
      </c>
      <c r="P924" t="s">
        <v>20</v>
      </c>
      <c r="Q924" t="s">
        <v>40</v>
      </c>
    </row>
    <row r="925" spans="1:17" x14ac:dyDescent="0.35">
      <c r="A925">
        <v>1996</v>
      </c>
      <c r="B925">
        <v>52</v>
      </c>
      <c r="C925" t="s">
        <v>16</v>
      </c>
      <c r="D925">
        <v>164</v>
      </c>
      <c r="E925">
        <v>65</v>
      </c>
      <c r="F925" s="3">
        <v>26.3172593264879</v>
      </c>
      <c r="G925" s="3" t="str">
        <f t="shared" si="14"/>
        <v>Overweight</v>
      </c>
      <c r="H925" t="s">
        <v>88</v>
      </c>
      <c r="I925" t="s">
        <v>18</v>
      </c>
      <c r="J925" t="s">
        <v>19</v>
      </c>
      <c r="K925" t="s">
        <v>22</v>
      </c>
      <c r="L925" t="s">
        <v>32</v>
      </c>
      <c r="M925" t="s">
        <v>19</v>
      </c>
      <c r="N925" t="s">
        <v>25</v>
      </c>
      <c r="O925" t="s">
        <v>20</v>
      </c>
      <c r="P925" t="s">
        <v>19</v>
      </c>
      <c r="Q925" t="s">
        <v>40</v>
      </c>
    </row>
    <row r="926" spans="1:17" x14ac:dyDescent="0.35">
      <c r="A926">
        <v>100</v>
      </c>
      <c r="B926">
        <v>51</v>
      </c>
      <c r="C926" t="s">
        <v>27</v>
      </c>
      <c r="D926">
        <v>155</v>
      </c>
      <c r="E926">
        <v>61</v>
      </c>
      <c r="F926" s="3">
        <v>29.36207275185</v>
      </c>
      <c r="G926" s="3" t="str">
        <f t="shared" si="14"/>
        <v>Overweight</v>
      </c>
      <c r="H926" t="s">
        <v>127</v>
      </c>
      <c r="I926" t="s">
        <v>31</v>
      </c>
      <c r="J926" t="s">
        <v>19</v>
      </c>
      <c r="K926" t="s">
        <v>22</v>
      </c>
      <c r="L926" t="s">
        <v>32</v>
      </c>
      <c r="M926" t="s">
        <v>19</v>
      </c>
      <c r="N926" t="s">
        <v>25</v>
      </c>
      <c r="O926" t="s">
        <v>20</v>
      </c>
      <c r="P926" t="s">
        <v>19</v>
      </c>
      <c r="Q926" t="s">
        <v>22</v>
      </c>
    </row>
    <row r="927" spans="1:17" x14ac:dyDescent="0.35">
      <c r="A927">
        <v>159</v>
      </c>
      <c r="B927">
        <v>51</v>
      </c>
      <c r="C927" t="s">
        <v>16</v>
      </c>
      <c r="D927">
        <v>160</v>
      </c>
      <c r="E927">
        <v>70</v>
      </c>
      <c r="F927" s="3">
        <v>23.205895744226801</v>
      </c>
      <c r="G927" s="3" t="str">
        <f t="shared" si="14"/>
        <v>Normal Weight</v>
      </c>
      <c r="H927" t="s">
        <v>181</v>
      </c>
      <c r="I927" t="s">
        <v>31</v>
      </c>
      <c r="J927" t="s">
        <v>19</v>
      </c>
      <c r="K927" t="s">
        <v>22</v>
      </c>
      <c r="L927" t="s">
        <v>29</v>
      </c>
      <c r="M927" t="s">
        <v>20</v>
      </c>
      <c r="N927" t="s">
        <v>25</v>
      </c>
      <c r="O927" t="s">
        <v>19</v>
      </c>
      <c r="P927" t="s">
        <v>19</v>
      </c>
      <c r="Q927" t="s">
        <v>40</v>
      </c>
    </row>
    <row r="928" spans="1:17" x14ac:dyDescent="0.35">
      <c r="A928">
        <v>956</v>
      </c>
      <c r="B928">
        <v>77</v>
      </c>
      <c r="C928" t="s">
        <v>16</v>
      </c>
      <c r="D928">
        <v>157</v>
      </c>
      <c r="E928">
        <v>93</v>
      </c>
      <c r="F928" s="3">
        <v>33.788658823103198</v>
      </c>
      <c r="G928" s="3" t="str">
        <f t="shared" si="14"/>
        <v>Obese</v>
      </c>
      <c r="H928" t="s">
        <v>774</v>
      </c>
      <c r="I928" t="s">
        <v>31</v>
      </c>
      <c r="J928" t="s">
        <v>19</v>
      </c>
      <c r="K928" t="s">
        <v>40</v>
      </c>
      <c r="L928" t="s">
        <v>14</v>
      </c>
      <c r="M928" t="s">
        <v>19</v>
      </c>
      <c r="N928" t="s">
        <v>25</v>
      </c>
      <c r="O928" t="s">
        <v>19</v>
      </c>
      <c r="P928" t="s">
        <v>20</v>
      </c>
      <c r="Q928" t="s">
        <v>18</v>
      </c>
    </row>
    <row r="929" spans="1:17" x14ac:dyDescent="0.35">
      <c r="A929">
        <v>445</v>
      </c>
      <c r="B929">
        <v>51</v>
      </c>
      <c r="C929" t="s">
        <v>27</v>
      </c>
      <c r="D929">
        <v>169</v>
      </c>
      <c r="E929">
        <v>56</v>
      </c>
      <c r="F929" s="3">
        <v>22.525922488815699</v>
      </c>
      <c r="G929" s="3" t="str">
        <f t="shared" si="14"/>
        <v>Normal Weight</v>
      </c>
      <c r="H929" t="s">
        <v>422</v>
      </c>
      <c r="I929" t="s">
        <v>24</v>
      </c>
      <c r="J929" t="s">
        <v>19</v>
      </c>
      <c r="K929" t="s">
        <v>22</v>
      </c>
      <c r="L929" t="s">
        <v>29</v>
      </c>
      <c r="M929" t="s">
        <v>19</v>
      </c>
      <c r="N929" t="s">
        <v>21</v>
      </c>
      <c r="O929" t="s">
        <v>20</v>
      </c>
      <c r="P929" t="s">
        <v>19</v>
      </c>
      <c r="Q929" t="s">
        <v>22</v>
      </c>
    </row>
    <row r="930" spans="1:17" x14ac:dyDescent="0.35">
      <c r="A930">
        <v>542</v>
      </c>
      <c r="B930">
        <v>51</v>
      </c>
      <c r="C930" t="s">
        <v>27</v>
      </c>
      <c r="D930">
        <v>155</v>
      </c>
      <c r="E930">
        <v>68</v>
      </c>
      <c r="F930" s="3">
        <v>33.168510078441898</v>
      </c>
      <c r="G930" s="3" t="str">
        <f t="shared" si="14"/>
        <v>Obese</v>
      </c>
      <c r="H930" t="s">
        <v>498</v>
      </c>
      <c r="I930" t="s">
        <v>31</v>
      </c>
      <c r="J930" t="s">
        <v>20</v>
      </c>
      <c r="K930" t="s">
        <v>22</v>
      </c>
      <c r="L930" t="s">
        <v>38</v>
      </c>
      <c r="M930" t="s">
        <v>20</v>
      </c>
      <c r="N930" t="s">
        <v>21</v>
      </c>
      <c r="O930" t="s">
        <v>19</v>
      </c>
      <c r="P930" t="s">
        <v>19</v>
      </c>
      <c r="Q930" t="s">
        <v>22</v>
      </c>
    </row>
    <row r="931" spans="1:17" x14ac:dyDescent="0.35">
      <c r="A931">
        <v>611</v>
      </c>
      <c r="B931">
        <v>51</v>
      </c>
      <c r="C931" t="s">
        <v>16</v>
      </c>
      <c r="D931">
        <v>157</v>
      </c>
      <c r="E931">
        <v>77</v>
      </c>
      <c r="F931" s="3">
        <v>29.9953682999077</v>
      </c>
      <c r="G931" s="3" t="str">
        <f t="shared" si="14"/>
        <v>Obese</v>
      </c>
      <c r="H931" t="s">
        <v>55</v>
      </c>
      <c r="I931" t="s">
        <v>24</v>
      </c>
      <c r="J931" t="s">
        <v>19</v>
      </c>
      <c r="K931" t="s">
        <v>22</v>
      </c>
      <c r="L931" t="s">
        <v>32</v>
      </c>
      <c r="M931" t="s">
        <v>19</v>
      </c>
      <c r="N931" t="s">
        <v>21</v>
      </c>
      <c r="O931" t="s">
        <v>19</v>
      </c>
      <c r="P931" t="s">
        <v>19</v>
      </c>
      <c r="Q931" t="s">
        <v>18</v>
      </c>
    </row>
    <row r="932" spans="1:17" x14ac:dyDescent="0.35">
      <c r="A932">
        <v>665</v>
      </c>
      <c r="B932">
        <v>51</v>
      </c>
      <c r="C932" t="s">
        <v>27</v>
      </c>
      <c r="D932">
        <v>168</v>
      </c>
      <c r="E932">
        <v>51</v>
      </c>
      <c r="F932" s="3">
        <v>20.180999608302599</v>
      </c>
      <c r="G932" s="3" t="str">
        <f t="shared" si="14"/>
        <v>Normal Weight</v>
      </c>
      <c r="H932" t="s">
        <v>599</v>
      </c>
      <c r="I932" t="s">
        <v>18</v>
      </c>
      <c r="J932" t="s">
        <v>20</v>
      </c>
      <c r="K932" t="s">
        <v>22</v>
      </c>
      <c r="L932" t="s">
        <v>14</v>
      </c>
      <c r="M932" t="s">
        <v>19</v>
      </c>
      <c r="N932" t="s">
        <v>25</v>
      </c>
      <c r="O932" t="s">
        <v>20</v>
      </c>
      <c r="P932" t="s">
        <v>20</v>
      </c>
      <c r="Q932" t="s">
        <v>18</v>
      </c>
    </row>
    <row r="933" spans="1:17" x14ac:dyDescent="0.35">
      <c r="A933">
        <v>957</v>
      </c>
      <c r="B933">
        <v>67</v>
      </c>
      <c r="C933" t="s">
        <v>16</v>
      </c>
      <c r="D933">
        <v>162</v>
      </c>
      <c r="E933">
        <v>83</v>
      </c>
      <c r="F933" s="3">
        <v>30.221959947704701</v>
      </c>
      <c r="G933" s="3" t="str">
        <f t="shared" si="14"/>
        <v>Obese</v>
      </c>
      <c r="H933" t="s">
        <v>775</v>
      </c>
      <c r="I933" t="s">
        <v>24</v>
      </c>
      <c r="J933" t="s">
        <v>20</v>
      </c>
      <c r="K933" t="s">
        <v>18</v>
      </c>
      <c r="L933" t="s">
        <v>14</v>
      </c>
      <c r="M933" t="s">
        <v>19</v>
      </c>
      <c r="N933" t="s">
        <v>25</v>
      </c>
      <c r="O933" t="s">
        <v>20</v>
      </c>
      <c r="P933" t="s">
        <v>19</v>
      </c>
      <c r="Q933" t="s">
        <v>18</v>
      </c>
    </row>
    <row r="934" spans="1:17" x14ac:dyDescent="0.35">
      <c r="A934">
        <v>1011</v>
      </c>
      <c r="B934">
        <v>51</v>
      </c>
      <c r="C934" t="s">
        <v>16</v>
      </c>
      <c r="D934">
        <v>167</v>
      </c>
      <c r="E934">
        <v>72</v>
      </c>
      <c r="F934" s="3">
        <v>33.478060520227899</v>
      </c>
      <c r="G934" s="3" t="str">
        <f t="shared" si="14"/>
        <v>Obese</v>
      </c>
      <c r="H934" t="s">
        <v>808</v>
      </c>
      <c r="I934" t="s">
        <v>31</v>
      </c>
      <c r="J934" t="s">
        <v>20</v>
      </c>
      <c r="K934" t="s">
        <v>22</v>
      </c>
      <c r="L934" t="s">
        <v>32</v>
      </c>
      <c r="M934" t="s">
        <v>20</v>
      </c>
      <c r="N934" t="s">
        <v>21</v>
      </c>
      <c r="O934" t="s">
        <v>19</v>
      </c>
      <c r="P934" t="s">
        <v>19</v>
      </c>
      <c r="Q934" t="s">
        <v>40</v>
      </c>
    </row>
    <row r="935" spans="1:17" x14ac:dyDescent="0.35">
      <c r="A935">
        <v>1049</v>
      </c>
      <c r="B935">
        <v>51</v>
      </c>
      <c r="C935" t="s">
        <v>27</v>
      </c>
      <c r="D935">
        <v>178</v>
      </c>
      <c r="E935">
        <v>93</v>
      </c>
      <c r="F935" s="3">
        <v>21.093864078689698</v>
      </c>
      <c r="G935" s="3" t="str">
        <f t="shared" si="14"/>
        <v>Normal Weight</v>
      </c>
      <c r="H935" t="s">
        <v>572</v>
      </c>
      <c r="I935" t="s">
        <v>24</v>
      </c>
      <c r="J935" t="s">
        <v>19</v>
      </c>
      <c r="K935" t="s">
        <v>22</v>
      </c>
      <c r="L935" t="s">
        <v>32</v>
      </c>
      <c r="M935" t="s">
        <v>19</v>
      </c>
      <c r="N935" t="s">
        <v>21</v>
      </c>
      <c r="O935" t="s">
        <v>19</v>
      </c>
      <c r="P935" t="s">
        <v>20</v>
      </c>
      <c r="Q935" t="s">
        <v>40</v>
      </c>
    </row>
    <row r="936" spans="1:17" x14ac:dyDescent="0.35">
      <c r="A936">
        <v>1056</v>
      </c>
      <c r="B936">
        <v>51</v>
      </c>
      <c r="C936" t="s">
        <v>16</v>
      </c>
      <c r="D936">
        <v>164</v>
      </c>
      <c r="E936">
        <v>53</v>
      </c>
      <c r="F936" s="3">
        <v>31.994064213842101</v>
      </c>
      <c r="G936" s="3" t="str">
        <f t="shared" si="14"/>
        <v>Obese</v>
      </c>
      <c r="H936" t="s">
        <v>838</v>
      </c>
      <c r="I936" t="s">
        <v>31</v>
      </c>
      <c r="J936" t="s">
        <v>19</v>
      </c>
      <c r="K936" t="s">
        <v>22</v>
      </c>
      <c r="L936" t="s">
        <v>14</v>
      </c>
      <c r="M936" t="s">
        <v>19</v>
      </c>
      <c r="N936" t="s">
        <v>21</v>
      </c>
      <c r="O936" t="s">
        <v>20</v>
      </c>
      <c r="P936" t="s">
        <v>20</v>
      </c>
      <c r="Q936" t="s">
        <v>18</v>
      </c>
    </row>
    <row r="937" spans="1:17" x14ac:dyDescent="0.35">
      <c r="A937">
        <v>1085</v>
      </c>
      <c r="B937">
        <v>51</v>
      </c>
      <c r="C937" t="s">
        <v>16</v>
      </c>
      <c r="D937">
        <v>152</v>
      </c>
      <c r="E937">
        <v>91</v>
      </c>
      <c r="F937" s="3">
        <v>28.293991697835899</v>
      </c>
      <c r="G937" s="3" t="str">
        <f t="shared" si="14"/>
        <v>Overweight</v>
      </c>
      <c r="H937" t="s">
        <v>855</v>
      </c>
      <c r="I937" t="s">
        <v>24</v>
      </c>
      <c r="J937" t="s">
        <v>19</v>
      </c>
      <c r="K937" t="s">
        <v>22</v>
      </c>
      <c r="L937" t="s">
        <v>29</v>
      </c>
      <c r="M937" t="s">
        <v>20</v>
      </c>
      <c r="N937" t="s">
        <v>25</v>
      </c>
      <c r="O937" t="s">
        <v>19</v>
      </c>
      <c r="P937" t="s">
        <v>19</v>
      </c>
      <c r="Q937" t="s">
        <v>40</v>
      </c>
    </row>
    <row r="938" spans="1:17" x14ac:dyDescent="0.35">
      <c r="A938">
        <v>1088</v>
      </c>
      <c r="B938">
        <v>51</v>
      </c>
      <c r="C938" t="s">
        <v>27</v>
      </c>
      <c r="D938">
        <v>177</v>
      </c>
      <c r="E938">
        <v>88</v>
      </c>
      <c r="F938" s="3">
        <v>21.154194842504101</v>
      </c>
      <c r="G938" s="3" t="str">
        <f t="shared" si="14"/>
        <v>Normal Weight</v>
      </c>
      <c r="H938" t="s">
        <v>857</v>
      </c>
      <c r="I938" t="s">
        <v>18</v>
      </c>
      <c r="J938" t="s">
        <v>20</v>
      </c>
      <c r="K938" t="s">
        <v>22</v>
      </c>
      <c r="L938" t="s">
        <v>29</v>
      </c>
      <c r="M938" t="s">
        <v>19</v>
      </c>
      <c r="N938" t="s">
        <v>21</v>
      </c>
      <c r="O938" t="s">
        <v>20</v>
      </c>
      <c r="P938" t="s">
        <v>19</v>
      </c>
      <c r="Q938" t="s">
        <v>22</v>
      </c>
    </row>
    <row r="939" spans="1:17" x14ac:dyDescent="0.35">
      <c r="A939">
        <v>958</v>
      </c>
      <c r="B939">
        <v>45</v>
      </c>
      <c r="C939" t="s">
        <v>16</v>
      </c>
      <c r="D939">
        <v>157</v>
      </c>
      <c r="E939">
        <v>53</v>
      </c>
      <c r="F939" s="3">
        <v>25.412239809083101</v>
      </c>
      <c r="G939" s="3" t="str">
        <f t="shared" si="14"/>
        <v>Overweight</v>
      </c>
      <c r="H939" t="s">
        <v>776</v>
      </c>
      <c r="I939" t="s">
        <v>18</v>
      </c>
      <c r="J939" t="s">
        <v>20</v>
      </c>
      <c r="K939" t="s">
        <v>18</v>
      </c>
      <c r="L939" t="s">
        <v>32</v>
      </c>
      <c r="M939" t="s">
        <v>20</v>
      </c>
      <c r="N939" t="s">
        <v>21</v>
      </c>
      <c r="O939" t="s">
        <v>19</v>
      </c>
      <c r="P939" t="s">
        <v>19</v>
      </c>
      <c r="Q939" t="s">
        <v>40</v>
      </c>
    </row>
    <row r="940" spans="1:17" x14ac:dyDescent="0.35">
      <c r="A940">
        <v>1119</v>
      </c>
      <c r="B940">
        <v>51</v>
      </c>
      <c r="C940" t="s">
        <v>27</v>
      </c>
      <c r="D940">
        <v>153</v>
      </c>
      <c r="E940">
        <v>62</v>
      </c>
      <c r="F940" s="3">
        <v>23.566947765444102</v>
      </c>
      <c r="G940" s="3" t="str">
        <f t="shared" si="14"/>
        <v>Normal Weight</v>
      </c>
      <c r="H940" t="s">
        <v>503</v>
      </c>
      <c r="I940" t="s">
        <v>18</v>
      </c>
      <c r="J940" t="s">
        <v>20</v>
      </c>
      <c r="K940" t="s">
        <v>22</v>
      </c>
      <c r="L940" t="s">
        <v>38</v>
      </c>
      <c r="M940" t="s">
        <v>20</v>
      </c>
      <c r="N940" t="s">
        <v>21</v>
      </c>
      <c r="O940" t="s">
        <v>19</v>
      </c>
      <c r="P940" t="s">
        <v>19</v>
      </c>
      <c r="Q940" t="s">
        <v>40</v>
      </c>
    </row>
    <row r="941" spans="1:17" x14ac:dyDescent="0.35">
      <c r="A941">
        <v>1171</v>
      </c>
      <c r="B941">
        <v>51</v>
      </c>
      <c r="C941" t="s">
        <v>16</v>
      </c>
      <c r="D941">
        <v>182</v>
      </c>
      <c r="E941">
        <v>58</v>
      </c>
      <c r="F941" s="3">
        <v>26.910480242254899</v>
      </c>
      <c r="G941" s="3" t="str">
        <f t="shared" si="14"/>
        <v>Overweight</v>
      </c>
      <c r="H941" t="s">
        <v>381</v>
      </c>
      <c r="I941" t="s">
        <v>18</v>
      </c>
      <c r="J941" t="s">
        <v>19</v>
      </c>
      <c r="K941" t="s">
        <v>22</v>
      </c>
      <c r="L941" t="s">
        <v>38</v>
      </c>
      <c r="M941" t="s">
        <v>19</v>
      </c>
      <c r="N941" t="s">
        <v>25</v>
      </c>
      <c r="O941" t="s">
        <v>19</v>
      </c>
      <c r="P941" t="s">
        <v>19</v>
      </c>
      <c r="Q941" t="s">
        <v>18</v>
      </c>
    </row>
    <row r="942" spans="1:17" x14ac:dyDescent="0.35">
      <c r="A942">
        <v>960</v>
      </c>
      <c r="B942">
        <v>54</v>
      </c>
      <c r="C942" t="s">
        <v>16</v>
      </c>
      <c r="D942">
        <v>181</v>
      </c>
      <c r="E942">
        <v>53</v>
      </c>
      <c r="F942" s="3">
        <v>19.8895146844221</v>
      </c>
      <c r="G942" s="3" t="str">
        <f t="shared" si="14"/>
        <v>Normal Weight</v>
      </c>
      <c r="H942" t="s">
        <v>420</v>
      </c>
      <c r="I942" t="s">
        <v>31</v>
      </c>
      <c r="J942" t="s">
        <v>19</v>
      </c>
      <c r="K942" t="s">
        <v>18</v>
      </c>
      <c r="L942" t="s">
        <v>38</v>
      </c>
      <c r="M942" t="s">
        <v>20</v>
      </c>
      <c r="N942" t="s">
        <v>21</v>
      </c>
      <c r="O942" t="s">
        <v>20</v>
      </c>
      <c r="P942" t="s">
        <v>19</v>
      </c>
      <c r="Q942" t="s">
        <v>18</v>
      </c>
    </row>
    <row r="943" spans="1:17" x14ac:dyDescent="0.35">
      <c r="A943">
        <v>1271</v>
      </c>
      <c r="B943">
        <v>51</v>
      </c>
      <c r="C943" t="s">
        <v>16</v>
      </c>
      <c r="D943">
        <v>169</v>
      </c>
      <c r="E943">
        <v>64</v>
      </c>
      <c r="F943" s="3">
        <v>20.502636755052201</v>
      </c>
      <c r="G943" s="3" t="str">
        <f t="shared" si="14"/>
        <v>Normal Weight</v>
      </c>
      <c r="H943" t="s">
        <v>963</v>
      </c>
      <c r="I943" t="s">
        <v>18</v>
      </c>
      <c r="J943" t="s">
        <v>20</v>
      </c>
      <c r="K943" t="s">
        <v>22</v>
      </c>
      <c r="L943" t="s">
        <v>14</v>
      </c>
      <c r="M943" t="s">
        <v>19</v>
      </c>
      <c r="N943" t="s">
        <v>25</v>
      </c>
      <c r="O943" t="s">
        <v>20</v>
      </c>
      <c r="P943" t="s">
        <v>19</v>
      </c>
      <c r="Q943" t="s">
        <v>22</v>
      </c>
    </row>
    <row r="944" spans="1:17" x14ac:dyDescent="0.35">
      <c r="A944">
        <v>961</v>
      </c>
      <c r="B944">
        <v>58</v>
      </c>
      <c r="C944" t="s">
        <v>16</v>
      </c>
      <c r="D944">
        <v>185</v>
      </c>
      <c r="E944">
        <v>92</v>
      </c>
      <c r="F944" s="3">
        <v>34.745502290205799</v>
      </c>
      <c r="G944" s="3" t="str">
        <f t="shared" si="14"/>
        <v>Obese</v>
      </c>
      <c r="H944" t="s">
        <v>616</v>
      </c>
      <c r="I944" t="s">
        <v>24</v>
      </c>
      <c r="J944" t="s">
        <v>19</v>
      </c>
      <c r="K944" t="s">
        <v>18</v>
      </c>
      <c r="L944" t="s">
        <v>32</v>
      </c>
      <c r="M944" t="s">
        <v>20</v>
      </c>
      <c r="N944" t="s">
        <v>25</v>
      </c>
      <c r="O944" t="s">
        <v>20</v>
      </c>
      <c r="P944" t="s">
        <v>20</v>
      </c>
      <c r="Q944" t="s">
        <v>22</v>
      </c>
    </row>
    <row r="945" spans="1:17" x14ac:dyDescent="0.35">
      <c r="A945">
        <v>1599</v>
      </c>
      <c r="B945">
        <v>51</v>
      </c>
      <c r="C945" t="s">
        <v>27</v>
      </c>
      <c r="D945">
        <v>162</v>
      </c>
      <c r="E945">
        <v>78</v>
      </c>
      <c r="F945" s="3">
        <v>31.056598718667601</v>
      </c>
      <c r="G945" s="3" t="str">
        <f t="shared" si="14"/>
        <v>Obese</v>
      </c>
      <c r="H945" t="s">
        <v>1114</v>
      </c>
      <c r="I945" t="s">
        <v>31</v>
      </c>
      <c r="J945" t="s">
        <v>20</v>
      </c>
      <c r="K945" t="s">
        <v>22</v>
      </c>
      <c r="L945" t="s">
        <v>29</v>
      </c>
      <c r="M945" t="s">
        <v>20</v>
      </c>
      <c r="N945" t="s">
        <v>25</v>
      </c>
      <c r="O945" t="s">
        <v>20</v>
      </c>
      <c r="P945" t="s">
        <v>19</v>
      </c>
      <c r="Q945" t="s">
        <v>22</v>
      </c>
    </row>
    <row r="946" spans="1:17" x14ac:dyDescent="0.35">
      <c r="A946">
        <v>965</v>
      </c>
      <c r="B946">
        <v>34</v>
      </c>
      <c r="C946" t="s">
        <v>16</v>
      </c>
      <c r="D946">
        <v>166</v>
      </c>
      <c r="E946">
        <v>56</v>
      </c>
      <c r="F946" s="3">
        <v>20.3064590401384</v>
      </c>
      <c r="G946" s="3" t="str">
        <f t="shared" si="14"/>
        <v>Normal Weight</v>
      </c>
      <c r="H946" t="s">
        <v>778</v>
      </c>
      <c r="I946" t="s">
        <v>31</v>
      </c>
      <c r="J946" t="s">
        <v>20</v>
      </c>
      <c r="K946" t="s">
        <v>18</v>
      </c>
      <c r="L946" t="s">
        <v>29</v>
      </c>
      <c r="M946" t="s">
        <v>20</v>
      </c>
      <c r="N946" t="s">
        <v>25</v>
      </c>
      <c r="O946" t="s">
        <v>20</v>
      </c>
      <c r="P946" t="s">
        <v>19</v>
      </c>
      <c r="Q946" t="s">
        <v>40</v>
      </c>
    </row>
    <row r="947" spans="1:17" x14ac:dyDescent="0.35">
      <c r="A947">
        <v>967</v>
      </c>
      <c r="B947">
        <v>50</v>
      </c>
      <c r="C947" t="s">
        <v>16</v>
      </c>
      <c r="D947">
        <v>173</v>
      </c>
      <c r="E947">
        <v>99</v>
      </c>
      <c r="F947" s="3">
        <v>21.383952300075499</v>
      </c>
      <c r="G947" s="3" t="str">
        <f t="shared" si="14"/>
        <v>Normal Weight</v>
      </c>
      <c r="H947" t="s">
        <v>780</v>
      </c>
      <c r="I947" t="s">
        <v>24</v>
      </c>
      <c r="J947" t="s">
        <v>19</v>
      </c>
      <c r="K947" t="s">
        <v>18</v>
      </c>
      <c r="L947" t="s">
        <v>29</v>
      </c>
      <c r="M947" t="s">
        <v>20</v>
      </c>
      <c r="N947" t="s">
        <v>21</v>
      </c>
      <c r="O947" t="s">
        <v>20</v>
      </c>
      <c r="P947" t="s">
        <v>20</v>
      </c>
      <c r="Q947" t="s">
        <v>18</v>
      </c>
    </row>
    <row r="948" spans="1:17" x14ac:dyDescent="0.35">
      <c r="A948">
        <v>969</v>
      </c>
      <c r="B948">
        <v>37</v>
      </c>
      <c r="C948" t="s">
        <v>27</v>
      </c>
      <c r="D948">
        <v>178</v>
      </c>
      <c r="E948">
        <v>84</v>
      </c>
      <c r="F948" s="3">
        <v>22.549998631892301</v>
      </c>
      <c r="G948" s="3" t="str">
        <f t="shared" si="14"/>
        <v>Normal Weight</v>
      </c>
      <c r="H948" t="s">
        <v>782</v>
      </c>
      <c r="I948" t="s">
        <v>24</v>
      </c>
      <c r="J948" t="s">
        <v>20</v>
      </c>
      <c r="K948" t="s">
        <v>18</v>
      </c>
      <c r="L948" t="s">
        <v>29</v>
      </c>
      <c r="M948" t="s">
        <v>20</v>
      </c>
      <c r="N948" t="s">
        <v>21</v>
      </c>
      <c r="O948" t="s">
        <v>19</v>
      </c>
      <c r="P948" t="s">
        <v>19</v>
      </c>
      <c r="Q948" t="s">
        <v>22</v>
      </c>
    </row>
    <row r="949" spans="1:17" x14ac:dyDescent="0.35">
      <c r="A949">
        <v>972</v>
      </c>
      <c r="B949">
        <v>65</v>
      </c>
      <c r="C949" t="s">
        <v>16</v>
      </c>
      <c r="D949">
        <v>186</v>
      </c>
      <c r="E949">
        <v>68</v>
      </c>
      <c r="F949" s="3">
        <v>29.611425527038602</v>
      </c>
      <c r="G949" s="3" t="str">
        <f t="shared" si="14"/>
        <v>Overweight</v>
      </c>
      <c r="H949" t="s">
        <v>784</v>
      </c>
      <c r="I949" t="s">
        <v>31</v>
      </c>
      <c r="J949" t="s">
        <v>19</v>
      </c>
      <c r="K949" t="s">
        <v>18</v>
      </c>
      <c r="L949" t="s">
        <v>38</v>
      </c>
      <c r="M949" t="s">
        <v>19</v>
      </c>
      <c r="N949" t="s">
        <v>25</v>
      </c>
      <c r="O949" t="s">
        <v>19</v>
      </c>
      <c r="P949" t="s">
        <v>19</v>
      </c>
      <c r="Q949" t="s">
        <v>18</v>
      </c>
    </row>
    <row r="950" spans="1:17" x14ac:dyDescent="0.35">
      <c r="A950">
        <v>1815</v>
      </c>
      <c r="B950">
        <v>51</v>
      </c>
      <c r="C950" t="s">
        <v>27</v>
      </c>
      <c r="D950">
        <v>168</v>
      </c>
      <c r="E950">
        <v>82</v>
      </c>
      <c r="F950" s="3">
        <v>20.361868984528499</v>
      </c>
      <c r="G950" s="3" t="str">
        <f t="shared" si="14"/>
        <v>Normal Weight</v>
      </c>
      <c r="H950" t="s">
        <v>1142</v>
      </c>
      <c r="I950" t="s">
        <v>31</v>
      </c>
      <c r="J950" t="s">
        <v>20</v>
      </c>
      <c r="K950" t="s">
        <v>22</v>
      </c>
      <c r="L950" t="s">
        <v>38</v>
      </c>
      <c r="M950" t="s">
        <v>19</v>
      </c>
      <c r="N950" t="s">
        <v>25</v>
      </c>
      <c r="O950" t="s">
        <v>19</v>
      </c>
      <c r="P950" t="s">
        <v>19</v>
      </c>
      <c r="Q950" t="s">
        <v>22</v>
      </c>
    </row>
    <row r="951" spans="1:17" x14ac:dyDescent="0.35">
      <c r="A951">
        <v>978</v>
      </c>
      <c r="B951">
        <v>23</v>
      </c>
      <c r="C951" t="s">
        <v>27</v>
      </c>
      <c r="D951">
        <v>170</v>
      </c>
      <c r="E951">
        <v>63</v>
      </c>
      <c r="F951" s="3">
        <v>34.8022303740794</v>
      </c>
      <c r="G951" s="3" t="str">
        <f t="shared" si="14"/>
        <v>Obese</v>
      </c>
      <c r="H951" t="s">
        <v>789</v>
      </c>
      <c r="I951" t="s">
        <v>24</v>
      </c>
      <c r="J951" t="s">
        <v>20</v>
      </c>
      <c r="K951" t="s">
        <v>18</v>
      </c>
      <c r="L951" t="s">
        <v>32</v>
      </c>
      <c r="M951" t="s">
        <v>19</v>
      </c>
      <c r="N951" t="s">
        <v>21</v>
      </c>
      <c r="O951" t="s">
        <v>19</v>
      </c>
      <c r="P951" t="s">
        <v>20</v>
      </c>
      <c r="Q951" t="s">
        <v>18</v>
      </c>
    </row>
    <row r="952" spans="1:17" x14ac:dyDescent="0.35">
      <c r="A952">
        <v>979</v>
      </c>
      <c r="B952">
        <v>35</v>
      </c>
      <c r="C952" t="s">
        <v>27</v>
      </c>
      <c r="D952">
        <v>173</v>
      </c>
      <c r="E952">
        <v>67</v>
      </c>
      <c r="F952" s="3">
        <v>24.924931364503401</v>
      </c>
      <c r="G952" s="3" t="str">
        <f t="shared" si="14"/>
        <v>Overweight</v>
      </c>
      <c r="H952" t="s">
        <v>790</v>
      </c>
      <c r="I952" t="s">
        <v>24</v>
      </c>
      <c r="J952" t="s">
        <v>20</v>
      </c>
      <c r="K952" t="s">
        <v>18</v>
      </c>
      <c r="L952" t="s">
        <v>32</v>
      </c>
      <c r="M952" t="s">
        <v>19</v>
      </c>
      <c r="N952" t="s">
        <v>21</v>
      </c>
      <c r="O952" t="s">
        <v>20</v>
      </c>
      <c r="P952" t="s">
        <v>19</v>
      </c>
      <c r="Q952" t="s">
        <v>40</v>
      </c>
    </row>
    <row r="953" spans="1:17" x14ac:dyDescent="0.35">
      <c r="A953">
        <v>982</v>
      </c>
      <c r="B953">
        <v>64</v>
      </c>
      <c r="C953" t="s">
        <v>27</v>
      </c>
      <c r="D953">
        <v>157</v>
      </c>
      <c r="E953">
        <v>65</v>
      </c>
      <c r="F953" s="3">
        <v>21.999340418376701</v>
      </c>
      <c r="G953" s="3" t="str">
        <f t="shared" si="14"/>
        <v>Normal Weight</v>
      </c>
      <c r="H953" t="s">
        <v>542</v>
      </c>
      <c r="I953" t="s">
        <v>31</v>
      </c>
      <c r="J953" t="s">
        <v>19</v>
      </c>
      <c r="K953" t="s">
        <v>18</v>
      </c>
      <c r="L953" t="s">
        <v>14</v>
      </c>
      <c r="M953" t="s">
        <v>20</v>
      </c>
      <c r="N953" t="s">
        <v>25</v>
      </c>
      <c r="O953" t="s">
        <v>19</v>
      </c>
      <c r="P953" t="s">
        <v>19</v>
      </c>
      <c r="Q953" t="s">
        <v>18</v>
      </c>
    </row>
    <row r="954" spans="1:17" x14ac:dyDescent="0.35">
      <c r="A954">
        <v>1918</v>
      </c>
      <c r="B954">
        <v>51</v>
      </c>
      <c r="C954" t="s">
        <v>27</v>
      </c>
      <c r="D954">
        <v>180</v>
      </c>
      <c r="E954">
        <v>66</v>
      </c>
      <c r="F954" s="3">
        <v>24.113679408445702</v>
      </c>
      <c r="G954" s="3" t="str">
        <f t="shared" si="14"/>
        <v>Normal Weight</v>
      </c>
      <c r="H954" t="s">
        <v>635</v>
      </c>
      <c r="I954" t="s">
        <v>24</v>
      </c>
      <c r="J954" t="s">
        <v>20</v>
      </c>
      <c r="K954" t="s">
        <v>22</v>
      </c>
      <c r="L954" t="s">
        <v>38</v>
      </c>
      <c r="M954" t="s">
        <v>20</v>
      </c>
      <c r="N954" t="s">
        <v>25</v>
      </c>
      <c r="O954" t="s">
        <v>19</v>
      </c>
      <c r="P954" t="s">
        <v>20</v>
      </c>
      <c r="Q954" t="s">
        <v>18</v>
      </c>
    </row>
    <row r="955" spans="1:17" x14ac:dyDescent="0.35">
      <c r="A955">
        <v>2000</v>
      </c>
      <c r="B955">
        <v>51</v>
      </c>
      <c r="C955" t="s">
        <v>27</v>
      </c>
      <c r="D955">
        <v>172</v>
      </c>
      <c r="E955">
        <v>88</v>
      </c>
      <c r="F955" s="3">
        <v>24.437110860503299</v>
      </c>
      <c r="G955" s="3" t="str">
        <f t="shared" si="14"/>
        <v>Normal Weight</v>
      </c>
      <c r="H955" t="s">
        <v>659</v>
      </c>
      <c r="I955" t="s">
        <v>18</v>
      </c>
      <c r="J955" t="s">
        <v>20</v>
      </c>
      <c r="K955" t="s">
        <v>22</v>
      </c>
      <c r="L955" t="s">
        <v>32</v>
      </c>
      <c r="M955" t="s">
        <v>19</v>
      </c>
      <c r="N955" t="s">
        <v>25</v>
      </c>
      <c r="O955" t="s">
        <v>20</v>
      </c>
      <c r="P955" t="s">
        <v>20</v>
      </c>
      <c r="Q955" t="s">
        <v>18</v>
      </c>
    </row>
    <row r="956" spans="1:17" x14ac:dyDescent="0.35">
      <c r="A956">
        <v>31</v>
      </c>
      <c r="B956">
        <v>50</v>
      </c>
      <c r="C956" t="s">
        <v>16</v>
      </c>
      <c r="D956">
        <v>173</v>
      </c>
      <c r="E956">
        <v>82</v>
      </c>
      <c r="F956" s="3">
        <v>30.5139212160467</v>
      </c>
      <c r="G956" s="3" t="str">
        <f t="shared" si="14"/>
        <v>Obese</v>
      </c>
      <c r="H956" t="s">
        <v>60</v>
      </c>
      <c r="I956" t="s">
        <v>31</v>
      </c>
      <c r="J956" t="s">
        <v>19</v>
      </c>
      <c r="K956" t="s">
        <v>22</v>
      </c>
      <c r="L956" t="s">
        <v>29</v>
      </c>
      <c r="M956" t="s">
        <v>20</v>
      </c>
      <c r="N956" t="s">
        <v>21</v>
      </c>
      <c r="O956" t="s">
        <v>20</v>
      </c>
      <c r="P956" t="s">
        <v>20</v>
      </c>
      <c r="Q956" t="s">
        <v>18</v>
      </c>
    </row>
    <row r="957" spans="1:17" x14ac:dyDescent="0.35">
      <c r="A957">
        <v>983</v>
      </c>
      <c r="B957">
        <v>42</v>
      </c>
      <c r="C957" t="s">
        <v>16</v>
      </c>
      <c r="D957">
        <v>176</v>
      </c>
      <c r="E957">
        <v>84</v>
      </c>
      <c r="F957" s="3">
        <v>22.443461723490501</v>
      </c>
      <c r="G957" s="3" t="str">
        <f t="shared" si="14"/>
        <v>Normal Weight</v>
      </c>
      <c r="H957" t="s">
        <v>204</v>
      </c>
      <c r="I957" t="s">
        <v>31</v>
      </c>
      <c r="J957" t="s">
        <v>19</v>
      </c>
      <c r="K957" t="s">
        <v>18</v>
      </c>
      <c r="L957" t="s">
        <v>14</v>
      </c>
      <c r="M957" t="s">
        <v>20</v>
      </c>
      <c r="N957" t="s">
        <v>21</v>
      </c>
      <c r="O957" t="s">
        <v>19</v>
      </c>
      <c r="P957" t="s">
        <v>19</v>
      </c>
      <c r="Q957" t="s">
        <v>40</v>
      </c>
    </row>
    <row r="958" spans="1:17" x14ac:dyDescent="0.35">
      <c r="A958">
        <v>985</v>
      </c>
      <c r="B958">
        <v>27</v>
      </c>
      <c r="C958" t="s">
        <v>27</v>
      </c>
      <c r="D958">
        <v>186</v>
      </c>
      <c r="E958">
        <v>80</v>
      </c>
      <c r="F958" s="3">
        <v>25.283600091279698</v>
      </c>
      <c r="G958" s="3" t="str">
        <f t="shared" si="14"/>
        <v>Overweight</v>
      </c>
      <c r="H958" t="s">
        <v>793</v>
      </c>
      <c r="I958" t="s">
        <v>31</v>
      </c>
      <c r="J958" t="s">
        <v>19</v>
      </c>
      <c r="K958" t="s">
        <v>18</v>
      </c>
      <c r="L958" t="s">
        <v>32</v>
      </c>
      <c r="M958" t="s">
        <v>20</v>
      </c>
      <c r="N958" t="s">
        <v>21</v>
      </c>
      <c r="O958" t="s">
        <v>19</v>
      </c>
      <c r="P958" t="s">
        <v>19</v>
      </c>
      <c r="Q958" t="s">
        <v>22</v>
      </c>
    </row>
    <row r="959" spans="1:17" x14ac:dyDescent="0.35">
      <c r="A959">
        <v>238</v>
      </c>
      <c r="B959">
        <v>50</v>
      </c>
      <c r="C959" t="s">
        <v>27</v>
      </c>
      <c r="D959">
        <v>163</v>
      </c>
      <c r="E959">
        <v>66</v>
      </c>
      <c r="F959" s="3">
        <v>33.835157483510997</v>
      </c>
      <c r="G959" s="3" t="str">
        <f t="shared" si="14"/>
        <v>Obese</v>
      </c>
      <c r="H959" t="s">
        <v>251</v>
      </c>
      <c r="I959" t="s">
        <v>24</v>
      </c>
      <c r="J959" t="s">
        <v>19</v>
      </c>
      <c r="K959" t="s">
        <v>22</v>
      </c>
      <c r="L959" t="s">
        <v>38</v>
      </c>
      <c r="M959" t="s">
        <v>20</v>
      </c>
      <c r="N959" t="s">
        <v>25</v>
      </c>
      <c r="O959" t="s">
        <v>20</v>
      </c>
      <c r="P959" t="s">
        <v>20</v>
      </c>
      <c r="Q959" t="s">
        <v>22</v>
      </c>
    </row>
    <row r="960" spans="1:17" x14ac:dyDescent="0.35">
      <c r="A960">
        <v>990</v>
      </c>
      <c r="B960">
        <v>62</v>
      </c>
      <c r="C960" t="s">
        <v>16</v>
      </c>
      <c r="D960">
        <v>159</v>
      </c>
      <c r="E960">
        <v>97</v>
      </c>
      <c r="F960" s="3">
        <v>24.135911386020801</v>
      </c>
      <c r="G960" s="3" t="str">
        <f t="shared" si="14"/>
        <v>Normal Weight</v>
      </c>
      <c r="H960" t="s">
        <v>797</v>
      </c>
      <c r="I960" t="s">
        <v>18</v>
      </c>
      <c r="J960" t="s">
        <v>20</v>
      </c>
      <c r="K960" t="s">
        <v>18</v>
      </c>
      <c r="L960" t="s">
        <v>14</v>
      </c>
      <c r="M960" t="s">
        <v>20</v>
      </c>
      <c r="N960" t="s">
        <v>25</v>
      </c>
      <c r="O960" t="s">
        <v>20</v>
      </c>
      <c r="P960" t="s">
        <v>20</v>
      </c>
      <c r="Q960" t="s">
        <v>22</v>
      </c>
    </row>
    <row r="961" spans="1:17" x14ac:dyDescent="0.35">
      <c r="A961">
        <v>991</v>
      </c>
      <c r="B961">
        <v>22</v>
      </c>
      <c r="C961" t="s">
        <v>27</v>
      </c>
      <c r="D961">
        <v>185</v>
      </c>
      <c r="E961">
        <v>95</v>
      </c>
      <c r="F961" s="3">
        <v>24.085363510520299</v>
      </c>
      <c r="G961" s="3" t="str">
        <f t="shared" si="14"/>
        <v>Normal Weight</v>
      </c>
      <c r="H961" t="s">
        <v>592</v>
      </c>
      <c r="I961" t="s">
        <v>24</v>
      </c>
      <c r="J961" t="s">
        <v>19</v>
      </c>
      <c r="K961" t="s">
        <v>18</v>
      </c>
      <c r="L961" t="s">
        <v>14</v>
      </c>
      <c r="M961" t="s">
        <v>20</v>
      </c>
      <c r="N961" t="s">
        <v>25</v>
      </c>
      <c r="O961" t="s">
        <v>20</v>
      </c>
      <c r="P961" t="s">
        <v>19</v>
      </c>
      <c r="Q961" t="s">
        <v>40</v>
      </c>
    </row>
    <row r="962" spans="1:17" x14ac:dyDescent="0.35">
      <c r="A962">
        <v>320</v>
      </c>
      <c r="B962">
        <v>50</v>
      </c>
      <c r="C962" t="s">
        <v>16</v>
      </c>
      <c r="D962">
        <v>169</v>
      </c>
      <c r="E962">
        <v>94</v>
      </c>
      <c r="F962" s="3">
        <v>22.253446460943401</v>
      </c>
      <c r="G962" s="3" t="str">
        <f t="shared" si="14"/>
        <v>Normal Weight</v>
      </c>
      <c r="H962" t="s">
        <v>325</v>
      </c>
      <c r="I962" t="s">
        <v>31</v>
      </c>
      <c r="J962" t="s">
        <v>19</v>
      </c>
      <c r="K962" t="s">
        <v>22</v>
      </c>
      <c r="L962" t="s">
        <v>29</v>
      </c>
      <c r="M962" t="s">
        <v>20</v>
      </c>
      <c r="N962" t="s">
        <v>21</v>
      </c>
      <c r="O962" t="s">
        <v>19</v>
      </c>
      <c r="P962" t="s">
        <v>20</v>
      </c>
      <c r="Q962" t="s">
        <v>40</v>
      </c>
    </row>
    <row r="963" spans="1:17" x14ac:dyDescent="0.35">
      <c r="A963">
        <v>992</v>
      </c>
      <c r="B963">
        <v>72</v>
      </c>
      <c r="C963" t="s">
        <v>27</v>
      </c>
      <c r="D963">
        <v>158</v>
      </c>
      <c r="E963">
        <v>75</v>
      </c>
      <c r="F963" s="3">
        <v>18.617014910777101</v>
      </c>
      <c r="G963" s="3" t="str">
        <f t="shared" ref="G963:G1026" si="15">_xlfn.IFS(F963&lt;18.5, "Underweight", F963&lt;=24.9, "Normal Weight", F963&lt;=29.9, "Overweight", TRUE, "Obese")</f>
        <v>Normal Weight</v>
      </c>
      <c r="H963" t="s">
        <v>523</v>
      </c>
      <c r="I963" t="s">
        <v>31</v>
      </c>
      <c r="J963" t="s">
        <v>20</v>
      </c>
      <c r="K963" t="s">
        <v>40</v>
      </c>
      <c r="L963" t="s">
        <v>29</v>
      </c>
      <c r="M963" t="s">
        <v>20</v>
      </c>
      <c r="N963" t="s">
        <v>25</v>
      </c>
      <c r="O963" t="s">
        <v>19</v>
      </c>
      <c r="P963" t="s">
        <v>19</v>
      </c>
      <c r="Q963" t="s">
        <v>18</v>
      </c>
    </row>
    <row r="964" spans="1:17" x14ac:dyDescent="0.35">
      <c r="A964">
        <v>994</v>
      </c>
      <c r="B964">
        <v>50</v>
      </c>
      <c r="C964" t="s">
        <v>27</v>
      </c>
      <c r="D964">
        <v>183</v>
      </c>
      <c r="E964">
        <v>88</v>
      </c>
      <c r="F964" s="3">
        <v>32.119758279852299</v>
      </c>
      <c r="G964" s="3" t="str">
        <f t="shared" si="15"/>
        <v>Obese</v>
      </c>
      <c r="H964" t="s">
        <v>799</v>
      </c>
      <c r="I964" t="s">
        <v>18</v>
      </c>
      <c r="J964" t="s">
        <v>19</v>
      </c>
      <c r="K964" t="s">
        <v>18</v>
      </c>
      <c r="L964" t="s">
        <v>38</v>
      </c>
      <c r="M964" t="s">
        <v>20</v>
      </c>
      <c r="N964" t="s">
        <v>21</v>
      </c>
      <c r="O964" t="s">
        <v>19</v>
      </c>
      <c r="P964" t="s">
        <v>20</v>
      </c>
      <c r="Q964" t="s">
        <v>22</v>
      </c>
    </row>
    <row r="965" spans="1:17" x14ac:dyDescent="0.35">
      <c r="A965">
        <v>415</v>
      </c>
      <c r="B965">
        <v>50</v>
      </c>
      <c r="C965" t="s">
        <v>27</v>
      </c>
      <c r="D965">
        <v>177</v>
      </c>
      <c r="E965">
        <v>54</v>
      </c>
      <c r="F965" s="3">
        <v>24.844510926153301</v>
      </c>
      <c r="G965" s="3" t="str">
        <f t="shared" si="15"/>
        <v>Normal Weight</v>
      </c>
      <c r="H965" t="s">
        <v>397</v>
      </c>
      <c r="I965" t="s">
        <v>31</v>
      </c>
      <c r="J965" t="s">
        <v>20</v>
      </c>
      <c r="K965" t="s">
        <v>22</v>
      </c>
      <c r="L965" t="s">
        <v>29</v>
      </c>
      <c r="M965" t="s">
        <v>19</v>
      </c>
      <c r="N965" t="s">
        <v>21</v>
      </c>
      <c r="O965" t="s">
        <v>19</v>
      </c>
      <c r="P965" t="s">
        <v>20</v>
      </c>
      <c r="Q965" t="s">
        <v>40</v>
      </c>
    </row>
    <row r="966" spans="1:17" x14ac:dyDescent="0.35">
      <c r="A966">
        <v>417</v>
      </c>
      <c r="B966">
        <v>50</v>
      </c>
      <c r="C966" t="s">
        <v>16</v>
      </c>
      <c r="D966">
        <v>167</v>
      </c>
      <c r="E966">
        <v>72</v>
      </c>
      <c r="F966" s="3">
        <v>25.624817069278301</v>
      </c>
      <c r="G966" s="3" t="str">
        <f t="shared" si="15"/>
        <v>Overweight</v>
      </c>
      <c r="H966" t="s">
        <v>399</v>
      </c>
      <c r="I966" t="s">
        <v>18</v>
      </c>
      <c r="J966" t="s">
        <v>20</v>
      </c>
      <c r="K966" t="s">
        <v>22</v>
      </c>
      <c r="L966" t="s">
        <v>38</v>
      </c>
      <c r="M966" t="s">
        <v>19</v>
      </c>
      <c r="N966" t="s">
        <v>25</v>
      </c>
      <c r="O966" t="s">
        <v>19</v>
      </c>
      <c r="P966" t="s">
        <v>20</v>
      </c>
      <c r="Q966" t="s">
        <v>22</v>
      </c>
    </row>
    <row r="967" spans="1:17" x14ac:dyDescent="0.35">
      <c r="A967">
        <v>997</v>
      </c>
      <c r="B967">
        <v>35</v>
      </c>
      <c r="C967" t="s">
        <v>27</v>
      </c>
      <c r="D967">
        <v>174</v>
      </c>
      <c r="E967">
        <v>79</v>
      </c>
      <c r="F967" s="3">
        <v>31.5363736245287</v>
      </c>
      <c r="G967" s="3" t="str">
        <f t="shared" si="15"/>
        <v>Obese</v>
      </c>
      <c r="H967" t="s">
        <v>801</v>
      </c>
      <c r="I967" t="s">
        <v>18</v>
      </c>
      <c r="J967" t="s">
        <v>20</v>
      </c>
      <c r="K967" t="s">
        <v>18</v>
      </c>
      <c r="L967" t="s">
        <v>14</v>
      </c>
      <c r="M967" t="s">
        <v>19</v>
      </c>
      <c r="N967" t="s">
        <v>21</v>
      </c>
      <c r="O967" t="s">
        <v>20</v>
      </c>
      <c r="P967" t="s">
        <v>19</v>
      </c>
      <c r="Q967" t="s">
        <v>18</v>
      </c>
    </row>
    <row r="968" spans="1:17" x14ac:dyDescent="0.35">
      <c r="A968">
        <v>448</v>
      </c>
      <c r="B968">
        <v>50</v>
      </c>
      <c r="C968" t="s">
        <v>16</v>
      </c>
      <c r="D968">
        <v>159</v>
      </c>
      <c r="E968">
        <v>61</v>
      </c>
      <c r="F968" s="3">
        <v>22.585922110678698</v>
      </c>
      <c r="G968" s="3" t="str">
        <f t="shared" si="15"/>
        <v>Normal Weight</v>
      </c>
      <c r="H968" t="s">
        <v>425</v>
      </c>
      <c r="I968" t="s">
        <v>18</v>
      </c>
      <c r="J968" t="s">
        <v>20</v>
      </c>
      <c r="K968" t="s">
        <v>22</v>
      </c>
      <c r="L968" t="s">
        <v>14</v>
      </c>
      <c r="M968" t="s">
        <v>20</v>
      </c>
      <c r="N968" t="s">
        <v>21</v>
      </c>
      <c r="O968" t="s">
        <v>20</v>
      </c>
      <c r="P968" t="s">
        <v>19</v>
      </c>
      <c r="Q968" t="s">
        <v>40</v>
      </c>
    </row>
    <row r="969" spans="1:17" x14ac:dyDescent="0.35">
      <c r="A969">
        <v>451</v>
      </c>
      <c r="B969">
        <v>50</v>
      </c>
      <c r="C969" t="s">
        <v>16</v>
      </c>
      <c r="D969">
        <v>184</v>
      </c>
      <c r="E969">
        <v>60</v>
      </c>
      <c r="F969" s="3">
        <v>34.449266644785702</v>
      </c>
      <c r="G969" s="3" t="str">
        <f t="shared" si="15"/>
        <v>Obese</v>
      </c>
      <c r="H969" t="s">
        <v>428</v>
      </c>
      <c r="I969" t="s">
        <v>31</v>
      </c>
      <c r="J969" t="s">
        <v>20</v>
      </c>
      <c r="K969" t="s">
        <v>22</v>
      </c>
      <c r="L969" t="s">
        <v>32</v>
      </c>
      <c r="M969" t="s">
        <v>20</v>
      </c>
      <c r="N969" t="s">
        <v>21</v>
      </c>
      <c r="O969" t="s">
        <v>20</v>
      </c>
      <c r="P969" t="s">
        <v>20</v>
      </c>
      <c r="Q969" t="s">
        <v>22</v>
      </c>
    </row>
    <row r="970" spans="1:17" x14ac:dyDescent="0.35">
      <c r="A970">
        <v>480</v>
      </c>
      <c r="B970">
        <v>50</v>
      </c>
      <c r="C970" t="s">
        <v>27</v>
      </c>
      <c r="D970">
        <v>172</v>
      </c>
      <c r="E970">
        <v>62</v>
      </c>
      <c r="F970" s="3">
        <v>30.703089424158701</v>
      </c>
      <c r="G970" s="3" t="str">
        <f t="shared" si="15"/>
        <v>Obese</v>
      </c>
      <c r="H970" t="s">
        <v>451</v>
      </c>
      <c r="I970" t="s">
        <v>24</v>
      </c>
      <c r="J970" t="s">
        <v>20</v>
      </c>
      <c r="K970" t="s">
        <v>22</v>
      </c>
      <c r="L970" t="s">
        <v>29</v>
      </c>
      <c r="M970" t="s">
        <v>19</v>
      </c>
      <c r="N970" t="s">
        <v>21</v>
      </c>
      <c r="O970" t="s">
        <v>19</v>
      </c>
      <c r="P970" t="s">
        <v>19</v>
      </c>
      <c r="Q970" t="s">
        <v>18</v>
      </c>
    </row>
    <row r="971" spans="1:17" x14ac:dyDescent="0.35">
      <c r="A971">
        <v>486</v>
      </c>
      <c r="B971">
        <v>50</v>
      </c>
      <c r="C971" t="s">
        <v>16</v>
      </c>
      <c r="D971">
        <v>162</v>
      </c>
      <c r="E971">
        <v>57</v>
      </c>
      <c r="F971" s="3">
        <v>22.0902010088721</v>
      </c>
      <c r="G971" s="3" t="str">
        <f t="shared" si="15"/>
        <v>Normal Weight</v>
      </c>
      <c r="H971" t="s">
        <v>454</v>
      </c>
      <c r="I971" t="s">
        <v>31</v>
      </c>
      <c r="J971" t="s">
        <v>19</v>
      </c>
      <c r="K971" t="s">
        <v>22</v>
      </c>
      <c r="L971" t="s">
        <v>32</v>
      </c>
      <c r="M971" t="s">
        <v>20</v>
      </c>
      <c r="N971" t="s">
        <v>25</v>
      </c>
      <c r="O971" t="s">
        <v>19</v>
      </c>
      <c r="P971" t="s">
        <v>19</v>
      </c>
      <c r="Q971" t="s">
        <v>22</v>
      </c>
    </row>
    <row r="972" spans="1:17" x14ac:dyDescent="0.35">
      <c r="A972">
        <v>1001</v>
      </c>
      <c r="B972">
        <v>28</v>
      </c>
      <c r="C972" t="s">
        <v>27</v>
      </c>
      <c r="D972">
        <v>169</v>
      </c>
      <c r="E972">
        <v>51</v>
      </c>
      <c r="F972" s="3">
        <v>23.597142426922101</v>
      </c>
      <c r="G972" s="3" t="str">
        <f t="shared" si="15"/>
        <v>Normal Weight</v>
      </c>
      <c r="H972" t="s">
        <v>804</v>
      </c>
      <c r="I972" t="s">
        <v>31</v>
      </c>
      <c r="J972" t="s">
        <v>20</v>
      </c>
      <c r="K972" t="s">
        <v>18</v>
      </c>
      <c r="L972" t="s">
        <v>29</v>
      </c>
      <c r="M972" t="s">
        <v>19</v>
      </c>
      <c r="N972" t="s">
        <v>21</v>
      </c>
      <c r="O972" t="s">
        <v>20</v>
      </c>
      <c r="P972" t="s">
        <v>20</v>
      </c>
      <c r="Q972" t="s">
        <v>40</v>
      </c>
    </row>
    <row r="973" spans="1:17" x14ac:dyDescent="0.35">
      <c r="A973">
        <v>565</v>
      </c>
      <c r="B973">
        <v>50</v>
      </c>
      <c r="C973" t="s">
        <v>27</v>
      </c>
      <c r="D973">
        <v>158</v>
      </c>
      <c r="E973">
        <v>58</v>
      </c>
      <c r="F973" s="3">
        <v>32.266359129865002</v>
      </c>
      <c r="G973" s="3" t="str">
        <f t="shared" si="15"/>
        <v>Obese</v>
      </c>
      <c r="H973" t="s">
        <v>518</v>
      </c>
      <c r="I973" t="s">
        <v>24</v>
      </c>
      <c r="J973" t="s">
        <v>19</v>
      </c>
      <c r="K973" t="s">
        <v>22</v>
      </c>
      <c r="L973" t="s">
        <v>14</v>
      </c>
      <c r="M973" t="s">
        <v>19</v>
      </c>
      <c r="N973" t="s">
        <v>21</v>
      </c>
      <c r="O973" t="s">
        <v>19</v>
      </c>
      <c r="P973" t="s">
        <v>19</v>
      </c>
      <c r="Q973" t="s">
        <v>18</v>
      </c>
    </row>
    <row r="974" spans="1:17" x14ac:dyDescent="0.35">
      <c r="A974">
        <v>1003</v>
      </c>
      <c r="B974">
        <v>43</v>
      </c>
      <c r="C974" t="s">
        <v>27</v>
      </c>
      <c r="D974">
        <v>179</v>
      </c>
      <c r="E974">
        <v>61</v>
      </c>
      <c r="F974" s="3">
        <v>31.200568401898501</v>
      </c>
      <c r="G974" s="3" t="str">
        <f t="shared" si="15"/>
        <v>Obese</v>
      </c>
      <c r="H974" t="s">
        <v>207</v>
      </c>
      <c r="I974" t="s">
        <v>31</v>
      </c>
      <c r="J974" t="s">
        <v>19</v>
      </c>
      <c r="K974" t="s">
        <v>18</v>
      </c>
      <c r="L974" t="s">
        <v>32</v>
      </c>
      <c r="M974" t="s">
        <v>19</v>
      </c>
      <c r="N974" t="s">
        <v>21</v>
      </c>
      <c r="O974" t="s">
        <v>19</v>
      </c>
      <c r="P974" t="s">
        <v>20</v>
      </c>
      <c r="Q974" t="s">
        <v>22</v>
      </c>
    </row>
    <row r="975" spans="1:17" x14ac:dyDescent="0.35">
      <c r="A975">
        <v>693</v>
      </c>
      <c r="B975">
        <v>50</v>
      </c>
      <c r="C975" t="s">
        <v>16</v>
      </c>
      <c r="D975">
        <v>167</v>
      </c>
      <c r="E975">
        <v>88</v>
      </c>
      <c r="F975" s="3">
        <v>28.823223563533901</v>
      </c>
      <c r="G975" s="3" t="str">
        <f t="shared" si="15"/>
        <v>Overweight</v>
      </c>
      <c r="H975" t="s">
        <v>50</v>
      </c>
      <c r="I975" t="s">
        <v>18</v>
      </c>
      <c r="J975" t="s">
        <v>19</v>
      </c>
      <c r="K975" t="s">
        <v>22</v>
      </c>
      <c r="L975" t="s">
        <v>38</v>
      </c>
      <c r="M975" t="s">
        <v>20</v>
      </c>
      <c r="N975" t="s">
        <v>25</v>
      </c>
      <c r="O975" t="s">
        <v>20</v>
      </c>
      <c r="P975" t="s">
        <v>19</v>
      </c>
      <c r="Q975" t="s">
        <v>22</v>
      </c>
    </row>
    <row r="976" spans="1:17" x14ac:dyDescent="0.35">
      <c r="A976">
        <v>1005</v>
      </c>
      <c r="B976">
        <v>39</v>
      </c>
      <c r="C976" t="s">
        <v>16</v>
      </c>
      <c r="D976">
        <v>184</v>
      </c>
      <c r="E976">
        <v>85</v>
      </c>
      <c r="F976" s="3">
        <v>25.105884342857198</v>
      </c>
      <c r="G976" s="3" t="str">
        <f t="shared" si="15"/>
        <v>Overweight</v>
      </c>
      <c r="H976" t="s">
        <v>737</v>
      </c>
      <c r="I976" t="s">
        <v>24</v>
      </c>
      <c r="J976" t="s">
        <v>20</v>
      </c>
      <c r="K976" t="s">
        <v>18</v>
      </c>
      <c r="L976" t="s">
        <v>14</v>
      </c>
      <c r="M976" t="s">
        <v>20</v>
      </c>
      <c r="N976" t="s">
        <v>21</v>
      </c>
      <c r="O976" t="s">
        <v>19</v>
      </c>
      <c r="P976" t="s">
        <v>20</v>
      </c>
      <c r="Q976" t="s">
        <v>22</v>
      </c>
    </row>
    <row r="977" spans="1:17" x14ac:dyDescent="0.35">
      <c r="A977">
        <v>702</v>
      </c>
      <c r="B977">
        <v>50</v>
      </c>
      <c r="C977" t="s">
        <v>16</v>
      </c>
      <c r="D977">
        <v>181</v>
      </c>
      <c r="E977">
        <v>63</v>
      </c>
      <c r="F977" s="3">
        <v>32.6669017652112</v>
      </c>
      <c r="G977" s="3" t="str">
        <f t="shared" si="15"/>
        <v>Obese</v>
      </c>
      <c r="H977" t="s">
        <v>626</v>
      </c>
      <c r="I977" t="s">
        <v>18</v>
      </c>
      <c r="J977" t="s">
        <v>19</v>
      </c>
      <c r="K977" t="s">
        <v>22</v>
      </c>
      <c r="L977" t="s">
        <v>14</v>
      </c>
      <c r="M977" t="s">
        <v>20</v>
      </c>
      <c r="N977" t="s">
        <v>21</v>
      </c>
      <c r="O977" t="s">
        <v>20</v>
      </c>
      <c r="P977" t="s">
        <v>19</v>
      </c>
      <c r="Q977" t="s">
        <v>18</v>
      </c>
    </row>
    <row r="978" spans="1:17" x14ac:dyDescent="0.35">
      <c r="A978">
        <v>1007</v>
      </c>
      <c r="B978">
        <v>44</v>
      </c>
      <c r="C978" t="s">
        <v>27</v>
      </c>
      <c r="D978">
        <v>176</v>
      </c>
      <c r="E978">
        <v>75</v>
      </c>
      <c r="F978" s="3">
        <v>25.206634846209099</v>
      </c>
      <c r="G978" s="3" t="str">
        <f t="shared" si="15"/>
        <v>Overweight</v>
      </c>
      <c r="H978" t="s">
        <v>806</v>
      </c>
      <c r="I978" t="s">
        <v>31</v>
      </c>
      <c r="J978" t="s">
        <v>20</v>
      </c>
      <c r="K978" t="s">
        <v>18</v>
      </c>
      <c r="L978" t="s">
        <v>32</v>
      </c>
      <c r="M978" t="s">
        <v>19</v>
      </c>
      <c r="N978" t="s">
        <v>21</v>
      </c>
      <c r="O978" t="s">
        <v>19</v>
      </c>
      <c r="P978" t="s">
        <v>20</v>
      </c>
      <c r="Q978" t="s">
        <v>40</v>
      </c>
    </row>
    <row r="979" spans="1:17" x14ac:dyDescent="0.35">
      <c r="A979">
        <v>1008</v>
      </c>
      <c r="B979">
        <v>66</v>
      </c>
      <c r="C979" t="s">
        <v>27</v>
      </c>
      <c r="D979">
        <v>175</v>
      </c>
      <c r="E979">
        <v>56</v>
      </c>
      <c r="F979" s="3">
        <v>31.235294581296799</v>
      </c>
      <c r="G979" s="3" t="str">
        <f t="shared" si="15"/>
        <v>Obese</v>
      </c>
      <c r="H979" t="s">
        <v>807</v>
      </c>
      <c r="I979" t="s">
        <v>18</v>
      </c>
      <c r="J979" t="s">
        <v>19</v>
      </c>
      <c r="K979" t="s">
        <v>18</v>
      </c>
      <c r="L979" t="s">
        <v>38</v>
      </c>
      <c r="M979" t="s">
        <v>20</v>
      </c>
      <c r="N979" t="s">
        <v>25</v>
      </c>
      <c r="O979" t="s">
        <v>19</v>
      </c>
      <c r="P979" t="s">
        <v>20</v>
      </c>
      <c r="Q979" t="s">
        <v>40</v>
      </c>
    </row>
    <row r="980" spans="1:17" x14ac:dyDescent="0.35">
      <c r="A980">
        <v>1013</v>
      </c>
      <c r="B980">
        <v>52</v>
      </c>
      <c r="C980" t="s">
        <v>16</v>
      </c>
      <c r="D980">
        <v>169</v>
      </c>
      <c r="E980">
        <v>94</v>
      </c>
      <c r="F980" s="3">
        <v>33.952139966618702</v>
      </c>
      <c r="G980" s="3" t="str">
        <f t="shared" si="15"/>
        <v>Obese</v>
      </c>
      <c r="H980" t="s">
        <v>499</v>
      </c>
      <c r="I980" t="s">
        <v>18</v>
      </c>
      <c r="J980" t="s">
        <v>19</v>
      </c>
      <c r="K980" t="s">
        <v>18</v>
      </c>
      <c r="L980" t="s">
        <v>14</v>
      </c>
      <c r="M980" t="s">
        <v>19</v>
      </c>
      <c r="N980" t="s">
        <v>21</v>
      </c>
      <c r="O980" t="s">
        <v>20</v>
      </c>
      <c r="P980" t="s">
        <v>20</v>
      </c>
      <c r="Q980" t="s">
        <v>18</v>
      </c>
    </row>
    <row r="981" spans="1:17" x14ac:dyDescent="0.35">
      <c r="A981">
        <v>1010</v>
      </c>
      <c r="B981">
        <v>50</v>
      </c>
      <c r="C981" t="s">
        <v>16</v>
      </c>
      <c r="D981">
        <v>166</v>
      </c>
      <c r="E981">
        <v>75</v>
      </c>
      <c r="F981" s="3">
        <v>33.3092833876143</v>
      </c>
      <c r="G981" s="3" t="str">
        <f t="shared" si="15"/>
        <v>Obese</v>
      </c>
      <c r="H981" t="s">
        <v>464</v>
      </c>
      <c r="I981" t="s">
        <v>31</v>
      </c>
      <c r="J981" t="s">
        <v>20</v>
      </c>
      <c r="K981" t="s">
        <v>22</v>
      </c>
      <c r="L981" t="s">
        <v>29</v>
      </c>
      <c r="M981" t="s">
        <v>19</v>
      </c>
      <c r="N981" t="s">
        <v>25</v>
      </c>
      <c r="O981" t="s">
        <v>19</v>
      </c>
      <c r="P981" t="s">
        <v>19</v>
      </c>
      <c r="Q981" t="s">
        <v>40</v>
      </c>
    </row>
    <row r="982" spans="1:17" x14ac:dyDescent="0.35">
      <c r="A982">
        <v>1015</v>
      </c>
      <c r="B982">
        <v>38</v>
      </c>
      <c r="C982" t="s">
        <v>16</v>
      </c>
      <c r="D982">
        <v>167</v>
      </c>
      <c r="E982">
        <v>55</v>
      </c>
      <c r="F982" s="3">
        <v>31.556626786159001</v>
      </c>
      <c r="G982" s="3" t="str">
        <f t="shared" si="15"/>
        <v>Obese</v>
      </c>
      <c r="H982" t="s">
        <v>401</v>
      </c>
      <c r="I982" t="s">
        <v>24</v>
      </c>
      <c r="J982" t="s">
        <v>20</v>
      </c>
      <c r="K982" t="s">
        <v>18</v>
      </c>
      <c r="L982" t="s">
        <v>14</v>
      </c>
      <c r="M982" t="s">
        <v>19</v>
      </c>
      <c r="N982" t="s">
        <v>25</v>
      </c>
      <c r="O982" t="s">
        <v>20</v>
      </c>
      <c r="P982" t="s">
        <v>20</v>
      </c>
      <c r="Q982" t="s">
        <v>18</v>
      </c>
    </row>
    <row r="983" spans="1:17" x14ac:dyDescent="0.35">
      <c r="A983">
        <v>1017</v>
      </c>
      <c r="B983">
        <v>72</v>
      </c>
      <c r="C983" t="s">
        <v>16</v>
      </c>
      <c r="D983">
        <v>150</v>
      </c>
      <c r="E983">
        <v>57</v>
      </c>
      <c r="F983" s="3">
        <v>31.7844669444519</v>
      </c>
      <c r="G983" s="3" t="str">
        <f t="shared" si="15"/>
        <v>Obese</v>
      </c>
      <c r="H983" t="s">
        <v>812</v>
      </c>
      <c r="I983" t="s">
        <v>18</v>
      </c>
      <c r="J983" t="s">
        <v>20</v>
      </c>
      <c r="K983" t="s">
        <v>40</v>
      </c>
      <c r="L983" t="s">
        <v>32</v>
      </c>
      <c r="M983" t="s">
        <v>20</v>
      </c>
      <c r="N983" t="s">
        <v>21</v>
      </c>
      <c r="O983" t="s">
        <v>19</v>
      </c>
      <c r="P983" t="s">
        <v>20</v>
      </c>
      <c r="Q983" t="s">
        <v>22</v>
      </c>
    </row>
    <row r="984" spans="1:17" x14ac:dyDescent="0.35">
      <c r="A984">
        <v>1018</v>
      </c>
      <c r="B984">
        <v>23</v>
      </c>
      <c r="C984" t="s">
        <v>27</v>
      </c>
      <c r="D984">
        <v>150</v>
      </c>
      <c r="E984">
        <v>73</v>
      </c>
      <c r="F984" s="3">
        <v>32.527190122303097</v>
      </c>
      <c r="G984" s="3" t="str">
        <f t="shared" si="15"/>
        <v>Obese</v>
      </c>
      <c r="H984" t="s">
        <v>813</v>
      </c>
      <c r="I984" t="s">
        <v>24</v>
      </c>
      <c r="J984" t="s">
        <v>20</v>
      </c>
      <c r="K984" t="s">
        <v>18</v>
      </c>
      <c r="L984" t="s">
        <v>38</v>
      </c>
      <c r="M984" t="s">
        <v>19</v>
      </c>
      <c r="N984" t="s">
        <v>21</v>
      </c>
      <c r="O984" t="s">
        <v>19</v>
      </c>
      <c r="P984" t="s">
        <v>19</v>
      </c>
      <c r="Q984" t="s">
        <v>40</v>
      </c>
    </row>
    <row r="985" spans="1:17" x14ac:dyDescent="0.35">
      <c r="A985">
        <v>1353</v>
      </c>
      <c r="B985">
        <v>50</v>
      </c>
      <c r="C985" t="s">
        <v>16</v>
      </c>
      <c r="D985">
        <v>179</v>
      </c>
      <c r="E985">
        <v>65</v>
      </c>
      <c r="F985" s="3">
        <v>27.178118518874001</v>
      </c>
      <c r="G985" s="3" t="str">
        <f t="shared" si="15"/>
        <v>Overweight</v>
      </c>
      <c r="H985" t="s">
        <v>168</v>
      </c>
      <c r="I985" t="s">
        <v>31</v>
      </c>
      <c r="J985" t="s">
        <v>19</v>
      </c>
      <c r="K985" t="s">
        <v>22</v>
      </c>
      <c r="L985" t="s">
        <v>14</v>
      </c>
      <c r="M985" t="s">
        <v>19</v>
      </c>
      <c r="N985" t="s">
        <v>25</v>
      </c>
      <c r="O985" t="s">
        <v>20</v>
      </c>
      <c r="P985" t="s">
        <v>19</v>
      </c>
      <c r="Q985" t="s">
        <v>18</v>
      </c>
    </row>
    <row r="986" spans="1:17" x14ac:dyDescent="0.35">
      <c r="A986">
        <v>1019</v>
      </c>
      <c r="B986">
        <v>45</v>
      </c>
      <c r="C986" t="s">
        <v>27</v>
      </c>
      <c r="D986">
        <v>175</v>
      </c>
      <c r="E986">
        <v>71</v>
      </c>
      <c r="F986" s="3">
        <v>23.270980518493399</v>
      </c>
      <c r="G986" s="3" t="str">
        <f t="shared" si="15"/>
        <v>Normal Weight</v>
      </c>
      <c r="H986" t="s">
        <v>127</v>
      </c>
      <c r="I986" t="s">
        <v>31</v>
      </c>
      <c r="J986" t="s">
        <v>19</v>
      </c>
      <c r="K986" t="s">
        <v>18</v>
      </c>
      <c r="L986" t="s">
        <v>38</v>
      </c>
      <c r="M986" t="s">
        <v>20</v>
      </c>
      <c r="N986" t="s">
        <v>21</v>
      </c>
      <c r="O986" t="s">
        <v>19</v>
      </c>
      <c r="P986" t="s">
        <v>19</v>
      </c>
      <c r="Q986" t="s">
        <v>18</v>
      </c>
    </row>
    <row r="987" spans="1:17" x14ac:dyDescent="0.35">
      <c r="A987">
        <v>1434</v>
      </c>
      <c r="B987">
        <v>50</v>
      </c>
      <c r="C987" t="s">
        <v>16</v>
      </c>
      <c r="D987">
        <v>155</v>
      </c>
      <c r="E987">
        <v>80</v>
      </c>
      <c r="F987" s="3">
        <v>27.821718026265799</v>
      </c>
      <c r="G987" s="3" t="str">
        <f t="shared" si="15"/>
        <v>Overweight</v>
      </c>
      <c r="H987" t="s">
        <v>948</v>
      </c>
      <c r="I987" t="s">
        <v>18</v>
      </c>
      <c r="J987" t="s">
        <v>19</v>
      </c>
      <c r="K987" t="s">
        <v>22</v>
      </c>
      <c r="L987" t="s">
        <v>14</v>
      </c>
      <c r="M987" t="s">
        <v>19</v>
      </c>
      <c r="N987" t="s">
        <v>25</v>
      </c>
      <c r="O987" t="s">
        <v>19</v>
      </c>
      <c r="P987" t="s">
        <v>20</v>
      </c>
      <c r="Q987" t="s">
        <v>40</v>
      </c>
    </row>
    <row r="988" spans="1:17" x14ac:dyDescent="0.35">
      <c r="A988">
        <v>1022</v>
      </c>
      <c r="B988">
        <v>48</v>
      </c>
      <c r="C988" t="s">
        <v>27</v>
      </c>
      <c r="D988">
        <v>159</v>
      </c>
      <c r="E988">
        <v>67</v>
      </c>
      <c r="F988" s="3">
        <v>20.973502678577798</v>
      </c>
      <c r="G988" s="3" t="str">
        <f t="shared" si="15"/>
        <v>Normal Weight</v>
      </c>
      <c r="H988" t="s">
        <v>814</v>
      </c>
      <c r="I988" t="s">
        <v>18</v>
      </c>
      <c r="J988" t="s">
        <v>19</v>
      </c>
      <c r="K988" t="s">
        <v>18</v>
      </c>
      <c r="L988" t="s">
        <v>32</v>
      </c>
      <c r="M988" t="s">
        <v>20</v>
      </c>
      <c r="N988" t="s">
        <v>21</v>
      </c>
      <c r="O988" t="s">
        <v>19</v>
      </c>
      <c r="P988" t="s">
        <v>19</v>
      </c>
      <c r="Q988" t="s">
        <v>40</v>
      </c>
    </row>
    <row r="989" spans="1:17" x14ac:dyDescent="0.35">
      <c r="A989">
        <v>1023</v>
      </c>
      <c r="B989">
        <v>22</v>
      </c>
      <c r="C989" t="s">
        <v>27</v>
      </c>
      <c r="D989">
        <v>160</v>
      </c>
      <c r="E989">
        <v>80</v>
      </c>
      <c r="F989" s="3">
        <v>27.370088777849901</v>
      </c>
      <c r="G989" s="3" t="str">
        <f t="shared" si="15"/>
        <v>Overweight</v>
      </c>
      <c r="H989" t="s">
        <v>504</v>
      </c>
      <c r="I989" t="s">
        <v>24</v>
      </c>
      <c r="J989" t="s">
        <v>19</v>
      </c>
      <c r="K989" t="s">
        <v>18</v>
      </c>
      <c r="L989" t="s">
        <v>29</v>
      </c>
      <c r="M989" t="s">
        <v>19</v>
      </c>
      <c r="N989" t="s">
        <v>21</v>
      </c>
      <c r="O989" t="s">
        <v>20</v>
      </c>
      <c r="P989" t="s">
        <v>19</v>
      </c>
      <c r="Q989" t="s">
        <v>22</v>
      </c>
    </row>
    <row r="990" spans="1:17" x14ac:dyDescent="0.35">
      <c r="A990">
        <v>1468</v>
      </c>
      <c r="B990">
        <v>50</v>
      </c>
      <c r="C990" t="s">
        <v>16</v>
      </c>
      <c r="D990">
        <v>159</v>
      </c>
      <c r="E990">
        <v>87</v>
      </c>
      <c r="F990" s="3">
        <v>22.827526309947199</v>
      </c>
      <c r="G990" s="3" t="str">
        <f t="shared" si="15"/>
        <v>Normal Weight</v>
      </c>
      <c r="H990" t="s">
        <v>1027</v>
      </c>
      <c r="I990" t="s">
        <v>18</v>
      </c>
      <c r="J990" t="s">
        <v>19</v>
      </c>
      <c r="K990" t="s">
        <v>22</v>
      </c>
      <c r="L990" t="s">
        <v>29</v>
      </c>
      <c r="M990" t="s">
        <v>19</v>
      </c>
      <c r="N990" t="s">
        <v>25</v>
      </c>
      <c r="O990" t="s">
        <v>20</v>
      </c>
      <c r="P990" t="s">
        <v>19</v>
      </c>
      <c r="Q990" t="s">
        <v>22</v>
      </c>
    </row>
    <row r="991" spans="1:17" x14ac:dyDescent="0.35">
      <c r="A991">
        <v>1024</v>
      </c>
      <c r="B991">
        <v>55</v>
      </c>
      <c r="C991" t="s">
        <v>16</v>
      </c>
      <c r="D991">
        <v>154</v>
      </c>
      <c r="E991">
        <v>86</v>
      </c>
      <c r="F991" s="3">
        <v>28.000575773518101</v>
      </c>
      <c r="G991" s="3" t="str">
        <f t="shared" si="15"/>
        <v>Overweight</v>
      </c>
      <c r="H991" t="s">
        <v>815</v>
      </c>
      <c r="I991" t="s">
        <v>24</v>
      </c>
      <c r="J991" t="s">
        <v>19</v>
      </c>
      <c r="K991" t="s">
        <v>18</v>
      </c>
      <c r="L991" t="s">
        <v>29</v>
      </c>
      <c r="M991" t="s">
        <v>20</v>
      </c>
      <c r="N991" t="s">
        <v>25</v>
      </c>
      <c r="O991" t="s">
        <v>20</v>
      </c>
      <c r="P991" t="s">
        <v>20</v>
      </c>
      <c r="Q991" t="s">
        <v>40</v>
      </c>
    </row>
    <row r="992" spans="1:17" x14ac:dyDescent="0.35">
      <c r="A992">
        <v>1025</v>
      </c>
      <c r="B992">
        <v>20</v>
      </c>
      <c r="C992" t="s">
        <v>27</v>
      </c>
      <c r="D992">
        <v>150</v>
      </c>
      <c r="E992">
        <v>79</v>
      </c>
      <c r="F992" s="3">
        <v>29.1449763744649</v>
      </c>
      <c r="G992" s="3" t="str">
        <f t="shared" si="15"/>
        <v>Overweight</v>
      </c>
      <c r="H992" t="s">
        <v>816</v>
      </c>
      <c r="I992" t="s">
        <v>24</v>
      </c>
      <c r="J992" t="s">
        <v>20</v>
      </c>
      <c r="K992" t="s">
        <v>18</v>
      </c>
      <c r="L992" t="s">
        <v>14</v>
      </c>
      <c r="M992" t="s">
        <v>19</v>
      </c>
      <c r="N992" t="s">
        <v>25</v>
      </c>
      <c r="O992" t="s">
        <v>19</v>
      </c>
      <c r="P992" t="s">
        <v>20</v>
      </c>
      <c r="Q992" t="s">
        <v>40</v>
      </c>
    </row>
    <row r="993" spans="1:17" x14ac:dyDescent="0.35">
      <c r="A993">
        <v>1026</v>
      </c>
      <c r="B993">
        <v>70</v>
      </c>
      <c r="C993" t="s">
        <v>16</v>
      </c>
      <c r="D993">
        <v>166</v>
      </c>
      <c r="E993">
        <v>91</v>
      </c>
      <c r="F993" s="3">
        <v>18.779990633705101</v>
      </c>
      <c r="G993" s="3" t="str">
        <f t="shared" si="15"/>
        <v>Normal Weight</v>
      </c>
      <c r="H993" t="s">
        <v>734</v>
      </c>
      <c r="I993" t="s">
        <v>31</v>
      </c>
      <c r="J993" t="s">
        <v>20</v>
      </c>
      <c r="K993" t="s">
        <v>40</v>
      </c>
      <c r="L993" t="s">
        <v>14</v>
      </c>
      <c r="M993" t="s">
        <v>20</v>
      </c>
      <c r="N993" t="s">
        <v>21</v>
      </c>
      <c r="O993" t="s">
        <v>19</v>
      </c>
      <c r="P993" t="s">
        <v>20</v>
      </c>
      <c r="Q993" t="s">
        <v>22</v>
      </c>
    </row>
    <row r="994" spans="1:17" x14ac:dyDescent="0.35">
      <c r="A994">
        <v>1028</v>
      </c>
      <c r="B994">
        <v>54</v>
      </c>
      <c r="C994" t="s">
        <v>27</v>
      </c>
      <c r="D994">
        <v>183</v>
      </c>
      <c r="E994">
        <v>59</v>
      </c>
      <c r="F994" s="3">
        <v>19.235703530113302</v>
      </c>
      <c r="G994" s="3" t="str">
        <f t="shared" si="15"/>
        <v>Normal Weight</v>
      </c>
      <c r="H994" t="s">
        <v>817</v>
      </c>
      <c r="I994" t="s">
        <v>31</v>
      </c>
      <c r="J994" t="s">
        <v>19</v>
      </c>
      <c r="K994" t="s">
        <v>18</v>
      </c>
      <c r="L994" t="s">
        <v>32</v>
      </c>
      <c r="M994" t="s">
        <v>20</v>
      </c>
      <c r="N994" t="s">
        <v>21</v>
      </c>
      <c r="O994" t="s">
        <v>20</v>
      </c>
      <c r="P994" t="s">
        <v>20</v>
      </c>
      <c r="Q994" t="s">
        <v>40</v>
      </c>
    </row>
    <row r="995" spans="1:17" x14ac:dyDescent="0.35">
      <c r="A995">
        <v>1686</v>
      </c>
      <c r="B995">
        <v>50</v>
      </c>
      <c r="C995" t="s">
        <v>27</v>
      </c>
      <c r="D995">
        <v>164</v>
      </c>
      <c r="E995">
        <v>92</v>
      </c>
      <c r="F995" s="3">
        <v>31.603220268582401</v>
      </c>
      <c r="G995" s="3" t="str">
        <f t="shared" si="15"/>
        <v>Obese</v>
      </c>
      <c r="H995" t="s">
        <v>985</v>
      </c>
      <c r="I995" t="s">
        <v>24</v>
      </c>
      <c r="J995" t="s">
        <v>20</v>
      </c>
      <c r="K995" t="s">
        <v>22</v>
      </c>
      <c r="L995" t="s">
        <v>29</v>
      </c>
      <c r="M995" t="s">
        <v>19</v>
      </c>
      <c r="N995" t="s">
        <v>25</v>
      </c>
      <c r="O995" t="s">
        <v>19</v>
      </c>
      <c r="P995" t="s">
        <v>20</v>
      </c>
      <c r="Q995" t="s">
        <v>22</v>
      </c>
    </row>
    <row r="996" spans="1:17" x14ac:dyDescent="0.35">
      <c r="A996">
        <v>1032</v>
      </c>
      <c r="B996">
        <v>27</v>
      </c>
      <c r="C996" t="s">
        <v>16</v>
      </c>
      <c r="D996">
        <v>160</v>
      </c>
      <c r="E996">
        <v>76</v>
      </c>
      <c r="F996" s="3">
        <v>33.882403584696</v>
      </c>
      <c r="G996" s="3" t="str">
        <f t="shared" si="15"/>
        <v>Obese</v>
      </c>
      <c r="H996" t="s">
        <v>820</v>
      </c>
      <c r="I996" t="s">
        <v>24</v>
      </c>
      <c r="J996" t="s">
        <v>20</v>
      </c>
      <c r="K996" t="s">
        <v>18</v>
      </c>
      <c r="L996" t="s">
        <v>32</v>
      </c>
      <c r="M996" t="s">
        <v>19</v>
      </c>
      <c r="N996" t="s">
        <v>21</v>
      </c>
      <c r="O996" t="s">
        <v>19</v>
      </c>
      <c r="P996" t="s">
        <v>19</v>
      </c>
      <c r="Q996" t="s">
        <v>18</v>
      </c>
    </row>
    <row r="997" spans="1:17" x14ac:dyDescent="0.35">
      <c r="A997">
        <v>1737</v>
      </c>
      <c r="B997">
        <v>50</v>
      </c>
      <c r="C997" t="s">
        <v>27</v>
      </c>
      <c r="D997">
        <v>167</v>
      </c>
      <c r="E997">
        <v>69</v>
      </c>
      <c r="F997" s="3">
        <v>29.671123945553099</v>
      </c>
      <c r="G997" s="3" t="str">
        <f t="shared" si="15"/>
        <v>Overweight</v>
      </c>
      <c r="H997" t="s">
        <v>1175</v>
      </c>
      <c r="I997" t="s">
        <v>18</v>
      </c>
      <c r="J997" t="s">
        <v>19</v>
      </c>
      <c r="K997" t="s">
        <v>22</v>
      </c>
      <c r="L997" t="s">
        <v>14</v>
      </c>
      <c r="M997" t="s">
        <v>20</v>
      </c>
      <c r="N997" t="s">
        <v>21</v>
      </c>
      <c r="O997" t="s">
        <v>19</v>
      </c>
      <c r="P997" t="s">
        <v>20</v>
      </c>
      <c r="Q997" t="s">
        <v>18</v>
      </c>
    </row>
    <row r="998" spans="1:17" x14ac:dyDescent="0.35">
      <c r="A998">
        <v>1878</v>
      </c>
      <c r="B998">
        <v>50</v>
      </c>
      <c r="C998" t="s">
        <v>16</v>
      </c>
      <c r="D998">
        <v>161</v>
      </c>
      <c r="E998">
        <v>81</v>
      </c>
      <c r="F998" s="3">
        <v>33.655605252311503</v>
      </c>
      <c r="G998" s="3" t="str">
        <f t="shared" si="15"/>
        <v>Obese</v>
      </c>
      <c r="H998" t="s">
        <v>1228</v>
      </c>
      <c r="I998" t="s">
        <v>31</v>
      </c>
      <c r="J998" t="s">
        <v>19</v>
      </c>
      <c r="K998" t="s">
        <v>22</v>
      </c>
      <c r="L998" t="s">
        <v>14</v>
      </c>
      <c r="M998" t="s">
        <v>19</v>
      </c>
      <c r="N998" t="s">
        <v>21</v>
      </c>
      <c r="O998" t="s">
        <v>19</v>
      </c>
      <c r="P998" t="s">
        <v>20</v>
      </c>
      <c r="Q998" t="s">
        <v>18</v>
      </c>
    </row>
    <row r="999" spans="1:17" x14ac:dyDescent="0.35">
      <c r="A999">
        <v>194</v>
      </c>
      <c r="B999">
        <v>49</v>
      </c>
      <c r="C999" t="s">
        <v>27</v>
      </c>
      <c r="D999">
        <v>164</v>
      </c>
      <c r="E999">
        <v>97</v>
      </c>
      <c r="F999" s="3">
        <v>20.666251538079599</v>
      </c>
      <c r="G999" s="3" t="str">
        <f t="shared" si="15"/>
        <v>Normal Weight</v>
      </c>
      <c r="H999" t="s">
        <v>212</v>
      </c>
      <c r="I999" t="s">
        <v>24</v>
      </c>
      <c r="J999" t="s">
        <v>20</v>
      </c>
      <c r="K999" t="s">
        <v>22</v>
      </c>
      <c r="L999" t="s">
        <v>29</v>
      </c>
      <c r="M999" t="s">
        <v>20</v>
      </c>
      <c r="N999" t="s">
        <v>21</v>
      </c>
      <c r="O999" t="s">
        <v>19</v>
      </c>
      <c r="P999" t="s">
        <v>20</v>
      </c>
      <c r="Q999" t="s">
        <v>22</v>
      </c>
    </row>
    <row r="1000" spans="1:17" x14ac:dyDescent="0.35">
      <c r="A1000">
        <v>199</v>
      </c>
      <c r="B1000">
        <v>49</v>
      </c>
      <c r="C1000" t="s">
        <v>27</v>
      </c>
      <c r="D1000">
        <v>172</v>
      </c>
      <c r="E1000">
        <v>60</v>
      </c>
      <c r="F1000" s="3">
        <v>29.660573087015099</v>
      </c>
      <c r="G1000" s="3" t="str">
        <f t="shared" si="15"/>
        <v>Overweight</v>
      </c>
      <c r="H1000" t="s">
        <v>217</v>
      </c>
      <c r="I1000" t="s">
        <v>31</v>
      </c>
      <c r="J1000" t="s">
        <v>19</v>
      </c>
      <c r="K1000" t="s">
        <v>22</v>
      </c>
      <c r="L1000" t="s">
        <v>29</v>
      </c>
      <c r="M1000" t="s">
        <v>20</v>
      </c>
      <c r="N1000" t="s">
        <v>25</v>
      </c>
      <c r="O1000" t="s">
        <v>20</v>
      </c>
      <c r="P1000" t="s">
        <v>19</v>
      </c>
      <c r="Q1000" t="s">
        <v>18</v>
      </c>
    </row>
    <row r="1001" spans="1:17" x14ac:dyDescent="0.35">
      <c r="A1001">
        <v>211</v>
      </c>
      <c r="B1001">
        <v>49</v>
      </c>
      <c r="C1001" t="s">
        <v>16</v>
      </c>
      <c r="D1001">
        <v>174</v>
      </c>
      <c r="E1001">
        <v>80</v>
      </c>
      <c r="F1001" s="3">
        <v>21.950106515728599</v>
      </c>
      <c r="G1001" s="3" t="str">
        <f t="shared" si="15"/>
        <v>Normal Weight</v>
      </c>
      <c r="H1001" t="s">
        <v>227</v>
      </c>
      <c r="I1001" t="s">
        <v>18</v>
      </c>
      <c r="J1001" t="s">
        <v>19</v>
      </c>
      <c r="K1001" t="s">
        <v>22</v>
      </c>
      <c r="L1001" t="s">
        <v>38</v>
      </c>
      <c r="M1001" t="s">
        <v>19</v>
      </c>
      <c r="N1001" t="s">
        <v>21</v>
      </c>
      <c r="O1001" t="s">
        <v>20</v>
      </c>
      <c r="P1001" t="s">
        <v>19</v>
      </c>
      <c r="Q1001" t="s">
        <v>18</v>
      </c>
    </row>
    <row r="1002" spans="1:17" x14ac:dyDescent="0.35">
      <c r="A1002">
        <v>1033</v>
      </c>
      <c r="B1002">
        <v>36</v>
      </c>
      <c r="C1002" t="s">
        <v>16</v>
      </c>
      <c r="D1002">
        <v>170</v>
      </c>
      <c r="E1002">
        <v>88</v>
      </c>
      <c r="F1002" s="3">
        <v>29.488128240327601</v>
      </c>
      <c r="G1002" s="3" t="str">
        <f t="shared" si="15"/>
        <v>Overweight</v>
      </c>
      <c r="H1002" t="s">
        <v>821</v>
      </c>
      <c r="I1002" t="s">
        <v>24</v>
      </c>
      <c r="J1002" t="s">
        <v>20</v>
      </c>
      <c r="K1002" t="s">
        <v>18</v>
      </c>
      <c r="L1002" t="s">
        <v>38</v>
      </c>
      <c r="M1002" t="s">
        <v>19</v>
      </c>
      <c r="N1002" t="s">
        <v>21</v>
      </c>
      <c r="O1002" t="s">
        <v>19</v>
      </c>
      <c r="P1002" t="s">
        <v>19</v>
      </c>
      <c r="Q1002" t="s">
        <v>40</v>
      </c>
    </row>
    <row r="1003" spans="1:17" x14ac:dyDescent="0.35">
      <c r="A1003">
        <v>1034</v>
      </c>
      <c r="B1003">
        <v>34</v>
      </c>
      <c r="C1003" t="s">
        <v>16</v>
      </c>
      <c r="D1003">
        <v>184</v>
      </c>
      <c r="E1003">
        <v>58</v>
      </c>
      <c r="F1003" s="3">
        <v>32.073848229927002</v>
      </c>
      <c r="G1003" s="3" t="str">
        <f t="shared" si="15"/>
        <v>Obese</v>
      </c>
      <c r="H1003" t="s">
        <v>146</v>
      </c>
      <c r="I1003" t="s">
        <v>18</v>
      </c>
      <c r="J1003" t="s">
        <v>19</v>
      </c>
      <c r="K1003" t="s">
        <v>18</v>
      </c>
      <c r="L1003" t="s">
        <v>29</v>
      </c>
      <c r="M1003" t="s">
        <v>20</v>
      </c>
      <c r="N1003" t="s">
        <v>21</v>
      </c>
      <c r="O1003" t="s">
        <v>19</v>
      </c>
      <c r="P1003" t="s">
        <v>20</v>
      </c>
      <c r="Q1003" t="s">
        <v>22</v>
      </c>
    </row>
    <row r="1004" spans="1:17" x14ac:dyDescent="0.35">
      <c r="A1004">
        <v>291</v>
      </c>
      <c r="B1004">
        <v>49</v>
      </c>
      <c r="C1004" t="s">
        <v>16</v>
      </c>
      <c r="D1004">
        <v>171</v>
      </c>
      <c r="E1004">
        <v>69</v>
      </c>
      <c r="F1004" s="3">
        <v>31.663777242127601</v>
      </c>
      <c r="G1004" s="3" t="str">
        <f t="shared" si="15"/>
        <v>Obese</v>
      </c>
      <c r="H1004" t="s">
        <v>299</v>
      </c>
      <c r="I1004" t="s">
        <v>31</v>
      </c>
      <c r="J1004" t="s">
        <v>19</v>
      </c>
      <c r="K1004" t="s">
        <v>22</v>
      </c>
      <c r="L1004" t="s">
        <v>32</v>
      </c>
      <c r="M1004" t="s">
        <v>20</v>
      </c>
      <c r="N1004" t="s">
        <v>25</v>
      </c>
      <c r="O1004" t="s">
        <v>20</v>
      </c>
      <c r="P1004" t="s">
        <v>19</v>
      </c>
      <c r="Q1004" t="s">
        <v>22</v>
      </c>
    </row>
    <row r="1005" spans="1:17" x14ac:dyDescent="0.35">
      <c r="A1005">
        <v>1035</v>
      </c>
      <c r="B1005">
        <v>38</v>
      </c>
      <c r="C1005" t="s">
        <v>27</v>
      </c>
      <c r="D1005">
        <v>161</v>
      </c>
      <c r="E1005">
        <v>70</v>
      </c>
      <c r="F1005" s="3">
        <v>18.719139857066502</v>
      </c>
      <c r="G1005" s="3" t="str">
        <f t="shared" si="15"/>
        <v>Normal Weight</v>
      </c>
      <c r="H1005" t="s">
        <v>822</v>
      </c>
      <c r="I1005" t="s">
        <v>24</v>
      </c>
      <c r="J1005" t="s">
        <v>20</v>
      </c>
      <c r="K1005" t="s">
        <v>18</v>
      </c>
      <c r="L1005" t="s">
        <v>38</v>
      </c>
      <c r="M1005" t="s">
        <v>20</v>
      </c>
      <c r="N1005" t="s">
        <v>25</v>
      </c>
      <c r="O1005" t="s">
        <v>20</v>
      </c>
      <c r="P1005" t="s">
        <v>19</v>
      </c>
      <c r="Q1005" t="s">
        <v>40</v>
      </c>
    </row>
    <row r="1006" spans="1:17" x14ac:dyDescent="0.35">
      <c r="A1006">
        <v>302</v>
      </c>
      <c r="B1006">
        <v>49</v>
      </c>
      <c r="C1006" t="s">
        <v>27</v>
      </c>
      <c r="D1006">
        <v>187</v>
      </c>
      <c r="E1006">
        <v>99</v>
      </c>
      <c r="F1006" s="3">
        <v>27.570334710194601</v>
      </c>
      <c r="G1006" s="3" t="str">
        <f t="shared" si="15"/>
        <v>Overweight</v>
      </c>
      <c r="H1006" t="s">
        <v>310</v>
      </c>
      <c r="I1006" t="s">
        <v>31</v>
      </c>
      <c r="J1006" t="s">
        <v>20</v>
      </c>
      <c r="K1006" t="s">
        <v>22</v>
      </c>
      <c r="L1006" t="s">
        <v>38</v>
      </c>
      <c r="M1006" t="s">
        <v>19</v>
      </c>
      <c r="N1006" t="s">
        <v>21</v>
      </c>
      <c r="O1006" t="s">
        <v>19</v>
      </c>
      <c r="P1006" t="s">
        <v>19</v>
      </c>
      <c r="Q1006" t="s">
        <v>18</v>
      </c>
    </row>
    <row r="1007" spans="1:17" x14ac:dyDescent="0.35">
      <c r="A1007">
        <v>337</v>
      </c>
      <c r="B1007">
        <v>49</v>
      </c>
      <c r="C1007" t="s">
        <v>16</v>
      </c>
      <c r="D1007">
        <v>162</v>
      </c>
      <c r="E1007">
        <v>57</v>
      </c>
      <c r="F1007" s="3">
        <v>19.149471017025501</v>
      </c>
      <c r="G1007" s="3" t="str">
        <f t="shared" si="15"/>
        <v>Normal Weight</v>
      </c>
      <c r="H1007" t="s">
        <v>341</v>
      </c>
      <c r="I1007" t="s">
        <v>31</v>
      </c>
      <c r="J1007" t="s">
        <v>19</v>
      </c>
      <c r="K1007" t="s">
        <v>22</v>
      </c>
      <c r="L1007" t="s">
        <v>38</v>
      </c>
      <c r="M1007" t="s">
        <v>19</v>
      </c>
      <c r="N1007" t="s">
        <v>21</v>
      </c>
      <c r="O1007" t="s">
        <v>20</v>
      </c>
      <c r="P1007" t="s">
        <v>19</v>
      </c>
      <c r="Q1007" t="s">
        <v>40</v>
      </c>
    </row>
    <row r="1008" spans="1:17" x14ac:dyDescent="0.35">
      <c r="A1008">
        <v>1039</v>
      </c>
      <c r="B1008">
        <v>18</v>
      </c>
      <c r="C1008" t="s">
        <v>27</v>
      </c>
      <c r="D1008">
        <v>156</v>
      </c>
      <c r="E1008">
        <v>92</v>
      </c>
      <c r="F1008" s="3">
        <v>19.691517558030601</v>
      </c>
      <c r="G1008" s="3" t="str">
        <f t="shared" si="15"/>
        <v>Normal Weight</v>
      </c>
      <c r="H1008" t="s">
        <v>824</v>
      </c>
      <c r="I1008" t="s">
        <v>24</v>
      </c>
      <c r="J1008" t="s">
        <v>20</v>
      </c>
      <c r="K1008" t="s">
        <v>18</v>
      </c>
      <c r="L1008" t="s">
        <v>29</v>
      </c>
      <c r="M1008" t="s">
        <v>19</v>
      </c>
      <c r="N1008" t="s">
        <v>21</v>
      </c>
      <c r="O1008" t="s">
        <v>19</v>
      </c>
      <c r="P1008" t="s">
        <v>20</v>
      </c>
      <c r="Q1008" t="s">
        <v>40</v>
      </c>
    </row>
    <row r="1009" spans="1:17" x14ac:dyDescent="0.35">
      <c r="A1009">
        <v>1040</v>
      </c>
      <c r="B1009">
        <v>68</v>
      </c>
      <c r="C1009" t="s">
        <v>16</v>
      </c>
      <c r="D1009">
        <v>175</v>
      </c>
      <c r="E1009">
        <v>64</v>
      </c>
      <c r="F1009" s="3">
        <v>29.793183457643501</v>
      </c>
      <c r="G1009" s="3" t="str">
        <f t="shared" si="15"/>
        <v>Overweight</v>
      </c>
      <c r="H1009" t="s">
        <v>626</v>
      </c>
      <c r="I1009" t="s">
        <v>24</v>
      </c>
      <c r="J1009" t="s">
        <v>20</v>
      </c>
      <c r="K1009" t="s">
        <v>18</v>
      </c>
      <c r="L1009" t="s">
        <v>29</v>
      </c>
      <c r="M1009" t="s">
        <v>19</v>
      </c>
      <c r="N1009" t="s">
        <v>25</v>
      </c>
      <c r="O1009" t="s">
        <v>20</v>
      </c>
      <c r="P1009" t="s">
        <v>20</v>
      </c>
      <c r="Q1009" t="s">
        <v>18</v>
      </c>
    </row>
    <row r="1010" spans="1:17" x14ac:dyDescent="0.35">
      <c r="A1010">
        <v>499</v>
      </c>
      <c r="B1010">
        <v>49</v>
      </c>
      <c r="C1010" t="s">
        <v>27</v>
      </c>
      <c r="D1010">
        <v>181</v>
      </c>
      <c r="E1010">
        <v>63</v>
      </c>
      <c r="F1010" s="3">
        <v>30.1165189677623</v>
      </c>
      <c r="G1010" s="3" t="str">
        <f t="shared" si="15"/>
        <v>Obese</v>
      </c>
      <c r="H1010" t="s">
        <v>268</v>
      </c>
      <c r="I1010" t="s">
        <v>24</v>
      </c>
      <c r="J1010" t="s">
        <v>20</v>
      </c>
      <c r="K1010" t="s">
        <v>22</v>
      </c>
      <c r="L1010" t="s">
        <v>38</v>
      </c>
      <c r="M1010" t="s">
        <v>19</v>
      </c>
      <c r="N1010" t="s">
        <v>25</v>
      </c>
      <c r="O1010" t="s">
        <v>20</v>
      </c>
      <c r="P1010" t="s">
        <v>19</v>
      </c>
      <c r="Q1010" t="s">
        <v>22</v>
      </c>
    </row>
    <row r="1011" spans="1:17" x14ac:dyDescent="0.35">
      <c r="A1011">
        <v>1041</v>
      </c>
      <c r="B1011">
        <v>62</v>
      </c>
      <c r="C1011" t="s">
        <v>27</v>
      </c>
      <c r="D1011">
        <v>189</v>
      </c>
      <c r="E1011">
        <v>51</v>
      </c>
      <c r="F1011" s="3">
        <v>26.803136845167401</v>
      </c>
      <c r="G1011" s="3" t="str">
        <f t="shared" si="15"/>
        <v>Overweight</v>
      </c>
      <c r="H1011" t="s">
        <v>825</v>
      </c>
      <c r="I1011" t="s">
        <v>24</v>
      </c>
      <c r="J1011" t="s">
        <v>19</v>
      </c>
      <c r="K1011" t="s">
        <v>18</v>
      </c>
      <c r="L1011" t="s">
        <v>38</v>
      </c>
      <c r="M1011" t="s">
        <v>20</v>
      </c>
      <c r="N1011" t="s">
        <v>25</v>
      </c>
      <c r="O1011" t="s">
        <v>20</v>
      </c>
      <c r="P1011" t="s">
        <v>20</v>
      </c>
      <c r="Q1011" t="s">
        <v>40</v>
      </c>
    </row>
    <row r="1012" spans="1:17" x14ac:dyDescent="0.35">
      <c r="A1012">
        <v>576</v>
      </c>
      <c r="B1012">
        <v>49</v>
      </c>
      <c r="C1012" t="s">
        <v>16</v>
      </c>
      <c r="D1012">
        <v>162</v>
      </c>
      <c r="E1012">
        <v>80</v>
      </c>
      <c r="F1012" s="3">
        <v>20.701369536132901</v>
      </c>
      <c r="G1012" s="3" t="str">
        <f t="shared" si="15"/>
        <v>Normal Weight</v>
      </c>
      <c r="H1012" t="s">
        <v>528</v>
      </c>
      <c r="I1012" t="s">
        <v>31</v>
      </c>
      <c r="J1012" t="s">
        <v>20</v>
      </c>
      <c r="K1012" t="s">
        <v>22</v>
      </c>
      <c r="L1012" t="s">
        <v>14</v>
      </c>
      <c r="M1012" t="s">
        <v>20</v>
      </c>
      <c r="N1012" t="s">
        <v>25</v>
      </c>
      <c r="O1012" t="s">
        <v>20</v>
      </c>
      <c r="P1012" t="s">
        <v>20</v>
      </c>
      <c r="Q1012" t="s">
        <v>18</v>
      </c>
    </row>
    <row r="1013" spans="1:17" x14ac:dyDescent="0.35">
      <c r="A1013">
        <v>612</v>
      </c>
      <c r="B1013">
        <v>49</v>
      </c>
      <c r="C1013" t="s">
        <v>16</v>
      </c>
      <c r="D1013">
        <v>154</v>
      </c>
      <c r="E1013">
        <v>91</v>
      </c>
      <c r="F1013" s="3">
        <v>30.467885447141899</v>
      </c>
      <c r="G1013" s="3" t="str">
        <f t="shared" si="15"/>
        <v>Obese</v>
      </c>
      <c r="H1013" t="s">
        <v>556</v>
      </c>
      <c r="I1013" t="s">
        <v>31</v>
      </c>
      <c r="J1013" t="s">
        <v>19</v>
      </c>
      <c r="K1013" t="s">
        <v>22</v>
      </c>
      <c r="L1013" t="s">
        <v>32</v>
      </c>
      <c r="M1013" t="s">
        <v>19</v>
      </c>
      <c r="N1013" t="s">
        <v>21</v>
      </c>
      <c r="O1013" t="s">
        <v>20</v>
      </c>
      <c r="P1013" t="s">
        <v>19</v>
      </c>
      <c r="Q1013" t="s">
        <v>40</v>
      </c>
    </row>
    <row r="1014" spans="1:17" x14ac:dyDescent="0.35">
      <c r="A1014">
        <v>1042</v>
      </c>
      <c r="B1014">
        <v>30</v>
      </c>
      <c r="C1014" t="s">
        <v>16</v>
      </c>
      <c r="D1014">
        <v>154</v>
      </c>
      <c r="E1014">
        <v>88</v>
      </c>
      <c r="F1014" s="3">
        <v>31.124956022710801</v>
      </c>
      <c r="G1014" s="3" t="str">
        <f t="shared" si="15"/>
        <v>Obese</v>
      </c>
      <c r="H1014" t="s">
        <v>826</v>
      </c>
      <c r="I1014" t="s">
        <v>24</v>
      </c>
      <c r="J1014" t="s">
        <v>19</v>
      </c>
      <c r="K1014" t="s">
        <v>18</v>
      </c>
      <c r="L1014" t="s">
        <v>32</v>
      </c>
      <c r="M1014" t="s">
        <v>19</v>
      </c>
      <c r="N1014" t="s">
        <v>25</v>
      </c>
      <c r="O1014" t="s">
        <v>20</v>
      </c>
      <c r="P1014" t="s">
        <v>20</v>
      </c>
      <c r="Q1014" t="s">
        <v>18</v>
      </c>
    </row>
    <row r="1015" spans="1:17" x14ac:dyDescent="0.35">
      <c r="A1015">
        <v>1043</v>
      </c>
      <c r="B1015">
        <v>21</v>
      </c>
      <c r="C1015" t="s">
        <v>16</v>
      </c>
      <c r="D1015">
        <v>170</v>
      </c>
      <c r="E1015">
        <v>93</v>
      </c>
      <c r="F1015" s="3">
        <v>26.507295462018298</v>
      </c>
      <c r="G1015" s="3" t="str">
        <f t="shared" si="15"/>
        <v>Overweight</v>
      </c>
      <c r="H1015" t="s">
        <v>827</v>
      </c>
      <c r="I1015" t="s">
        <v>18</v>
      </c>
      <c r="J1015" t="s">
        <v>19</v>
      </c>
      <c r="K1015" t="s">
        <v>18</v>
      </c>
      <c r="L1015" t="s">
        <v>29</v>
      </c>
      <c r="M1015" t="s">
        <v>20</v>
      </c>
      <c r="N1015" t="s">
        <v>25</v>
      </c>
      <c r="O1015" t="s">
        <v>19</v>
      </c>
      <c r="P1015" t="s">
        <v>20</v>
      </c>
      <c r="Q1015" t="s">
        <v>18</v>
      </c>
    </row>
    <row r="1016" spans="1:17" x14ac:dyDescent="0.35">
      <c r="A1016">
        <v>756</v>
      </c>
      <c r="B1016">
        <v>49</v>
      </c>
      <c r="C1016" t="s">
        <v>27</v>
      </c>
      <c r="D1016">
        <v>186</v>
      </c>
      <c r="E1016">
        <v>89</v>
      </c>
      <c r="F1016" s="3">
        <v>34.477394841637697</v>
      </c>
      <c r="G1016" s="3" t="str">
        <f t="shared" si="15"/>
        <v>Obese</v>
      </c>
      <c r="H1016" t="s">
        <v>660</v>
      </c>
      <c r="I1016" t="s">
        <v>18</v>
      </c>
      <c r="J1016" t="s">
        <v>19</v>
      </c>
      <c r="K1016" t="s">
        <v>22</v>
      </c>
      <c r="L1016" t="s">
        <v>32</v>
      </c>
      <c r="M1016" t="s">
        <v>19</v>
      </c>
      <c r="N1016" t="s">
        <v>25</v>
      </c>
      <c r="O1016" t="s">
        <v>19</v>
      </c>
      <c r="P1016" t="s">
        <v>20</v>
      </c>
      <c r="Q1016" t="s">
        <v>22</v>
      </c>
    </row>
    <row r="1017" spans="1:17" x14ac:dyDescent="0.35">
      <c r="A1017">
        <v>1044</v>
      </c>
      <c r="B1017">
        <v>79</v>
      </c>
      <c r="C1017" t="s">
        <v>27</v>
      </c>
      <c r="D1017">
        <v>163</v>
      </c>
      <c r="E1017">
        <v>67</v>
      </c>
      <c r="F1017" s="3">
        <v>20.964796997736102</v>
      </c>
      <c r="G1017" s="3" t="str">
        <f t="shared" si="15"/>
        <v>Normal Weight</v>
      </c>
      <c r="H1017" t="s">
        <v>519</v>
      </c>
      <c r="I1017" t="s">
        <v>18</v>
      </c>
      <c r="J1017" t="s">
        <v>19</v>
      </c>
      <c r="K1017" t="s">
        <v>40</v>
      </c>
      <c r="L1017" t="s">
        <v>14</v>
      </c>
      <c r="M1017" t="s">
        <v>20</v>
      </c>
      <c r="N1017" t="s">
        <v>25</v>
      </c>
      <c r="O1017" t="s">
        <v>19</v>
      </c>
      <c r="P1017" t="s">
        <v>19</v>
      </c>
      <c r="Q1017" t="s">
        <v>40</v>
      </c>
    </row>
    <row r="1018" spans="1:17" x14ac:dyDescent="0.35">
      <c r="A1018">
        <v>1047</v>
      </c>
      <c r="B1018">
        <v>57</v>
      </c>
      <c r="C1018" t="s">
        <v>16</v>
      </c>
      <c r="D1018">
        <v>169</v>
      </c>
      <c r="E1018">
        <v>92</v>
      </c>
      <c r="F1018" s="3">
        <v>32.894510295354401</v>
      </c>
      <c r="G1018" s="3" t="str">
        <f t="shared" si="15"/>
        <v>Obese</v>
      </c>
      <c r="H1018" t="s">
        <v>830</v>
      </c>
      <c r="I1018" t="s">
        <v>18</v>
      </c>
      <c r="J1018" t="s">
        <v>19</v>
      </c>
      <c r="K1018" t="s">
        <v>18</v>
      </c>
      <c r="L1018" t="s">
        <v>32</v>
      </c>
      <c r="M1018" t="s">
        <v>19</v>
      </c>
      <c r="N1018" t="s">
        <v>25</v>
      </c>
      <c r="O1018" t="s">
        <v>19</v>
      </c>
      <c r="P1018" t="s">
        <v>20</v>
      </c>
      <c r="Q1018" t="s">
        <v>18</v>
      </c>
    </row>
    <row r="1019" spans="1:17" x14ac:dyDescent="0.35">
      <c r="A1019">
        <v>941</v>
      </c>
      <c r="B1019">
        <v>49</v>
      </c>
      <c r="C1019" t="s">
        <v>16</v>
      </c>
      <c r="D1019">
        <v>174</v>
      </c>
      <c r="E1019">
        <v>56</v>
      </c>
      <c r="F1019" s="3">
        <v>33.594895472552302</v>
      </c>
      <c r="G1019" s="3" t="str">
        <f t="shared" si="15"/>
        <v>Obese</v>
      </c>
      <c r="H1019" t="s">
        <v>486</v>
      </c>
      <c r="I1019" t="s">
        <v>18</v>
      </c>
      <c r="J1019" t="s">
        <v>20</v>
      </c>
      <c r="K1019" t="s">
        <v>22</v>
      </c>
      <c r="L1019" t="s">
        <v>32</v>
      </c>
      <c r="M1019" t="s">
        <v>20</v>
      </c>
      <c r="N1019" t="s">
        <v>25</v>
      </c>
      <c r="O1019" t="s">
        <v>19</v>
      </c>
      <c r="P1019" t="s">
        <v>19</v>
      </c>
      <c r="Q1019" t="s">
        <v>22</v>
      </c>
    </row>
    <row r="1020" spans="1:17" x14ac:dyDescent="0.35">
      <c r="A1020">
        <v>998</v>
      </c>
      <c r="B1020">
        <v>49</v>
      </c>
      <c r="C1020" t="s">
        <v>16</v>
      </c>
      <c r="D1020">
        <v>178</v>
      </c>
      <c r="E1020">
        <v>79</v>
      </c>
      <c r="F1020" s="3">
        <v>28.668797347843299</v>
      </c>
      <c r="G1020" s="3" t="str">
        <f t="shared" si="15"/>
        <v>Overweight</v>
      </c>
      <c r="H1020" t="s">
        <v>802</v>
      </c>
      <c r="I1020" t="s">
        <v>24</v>
      </c>
      <c r="J1020" t="s">
        <v>19</v>
      </c>
      <c r="K1020" t="s">
        <v>22</v>
      </c>
      <c r="L1020" t="s">
        <v>14</v>
      </c>
      <c r="M1020" t="s">
        <v>20</v>
      </c>
      <c r="N1020" t="s">
        <v>25</v>
      </c>
      <c r="O1020" t="s">
        <v>20</v>
      </c>
      <c r="P1020" t="s">
        <v>20</v>
      </c>
      <c r="Q1020" t="s">
        <v>40</v>
      </c>
    </row>
    <row r="1021" spans="1:17" x14ac:dyDescent="0.35">
      <c r="A1021">
        <v>1048</v>
      </c>
      <c r="B1021">
        <v>49</v>
      </c>
      <c r="C1021" t="s">
        <v>16</v>
      </c>
      <c r="D1021">
        <v>164</v>
      </c>
      <c r="E1021">
        <v>67</v>
      </c>
      <c r="F1021" s="3">
        <v>28.6164179446424</v>
      </c>
      <c r="G1021" s="3" t="str">
        <f t="shared" si="15"/>
        <v>Overweight</v>
      </c>
      <c r="H1021" t="s">
        <v>831</v>
      </c>
      <c r="I1021" t="s">
        <v>24</v>
      </c>
      <c r="J1021" t="s">
        <v>20</v>
      </c>
      <c r="K1021" t="s">
        <v>22</v>
      </c>
      <c r="L1021" t="s">
        <v>32</v>
      </c>
      <c r="M1021" t="s">
        <v>20</v>
      </c>
      <c r="N1021" t="s">
        <v>25</v>
      </c>
      <c r="O1021" t="s">
        <v>19</v>
      </c>
      <c r="P1021" t="s">
        <v>20</v>
      </c>
      <c r="Q1021" t="s">
        <v>22</v>
      </c>
    </row>
    <row r="1022" spans="1:17" x14ac:dyDescent="0.35">
      <c r="A1022">
        <v>1052</v>
      </c>
      <c r="B1022">
        <v>25</v>
      </c>
      <c r="C1022" t="s">
        <v>27</v>
      </c>
      <c r="D1022">
        <v>188</v>
      </c>
      <c r="E1022">
        <v>82</v>
      </c>
      <c r="F1022" s="3">
        <v>19.7028244558823</v>
      </c>
      <c r="G1022" s="3" t="str">
        <f t="shared" si="15"/>
        <v>Normal Weight</v>
      </c>
      <c r="H1022" t="s">
        <v>834</v>
      </c>
      <c r="I1022" t="s">
        <v>18</v>
      </c>
      <c r="J1022" t="s">
        <v>20</v>
      </c>
      <c r="K1022" t="s">
        <v>18</v>
      </c>
      <c r="L1022" t="s">
        <v>29</v>
      </c>
      <c r="M1022" t="s">
        <v>19</v>
      </c>
      <c r="N1022" t="s">
        <v>21</v>
      </c>
      <c r="O1022" t="s">
        <v>19</v>
      </c>
      <c r="P1022" t="s">
        <v>20</v>
      </c>
      <c r="Q1022" t="s">
        <v>22</v>
      </c>
    </row>
    <row r="1023" spans="1:17" x14ac:dyDescent="0.35">
      <c r="A1023">
        <v>1054</v>
      </c>
      <c r="B1023">
        <v>43</v>
      </c>
      <c r="C1023" t="s">
        <v>27</v>
      </c>
      <c r="D1023">
        <v>176</v>
      </c>
      <c r="E1023">
        <v>80</v>
      </c>
      <c r="F1023" s="3">
        <v>22.677781965711301</v>
      </c>
      <c r="G1023" s="3" t="str">
        <f t="shared" si="15"/>
        <v>Normal Weight</v>
      </c>
      <c r="H1023" t="s">
        <v>836</v>
      </c>
      <c r="I1023" t="s">
        <v>31</v>
      </c>
      <c r="J1023" t="s">
        <v>20</v>
      </c>
      <c r="K1023" t="s">
        <v>18</v>
      </c>
      <c r="L1023" t="s">
        <v>38</v>
      </c>
      <c r="M1023" t="s">
        <v>20</v>
      </c>
      <c r="N1023" t="s">
        <v>21</v>
      </c>
      <c r="O1023" t="s">
        <v>20</v>
      </c>
      <c r="P1023" t="s">
        <v>20</v>
      </c>
      <c r="Q1023" t="s">
        <v>22</v>
      </c>
    </row>
    <row r="1024" spans="1:17" x14ac:dyDescent="0.35">
      <c r="A1024">
        <v>1055</v>
      </c>
      <c r="B1024">
        <v>75</v>
      </c>
      <c r="C1024" t="s">
        <v>16</v>
      </c>
      <c r="D1024">
        <v>153</v>
      </c>
      <c r="E1024">
        <v>60</v>
      </c>
      <c r="F1024" s="3">
        <v>31.760941955975401</v>
      </c>
      <c r="G1024" s="3" t="str">
        <f t="shared" si="15"/>
        <v>Obese</v>
      </c>
      <c r="H1024" t="s">
        <v>837</v>
      </c>
      <c r="I1024" t="s">
        <v>31</v>
      </c>
      <c r="J1024" t="s">
        <v>19</v>
      </c>
      <c r="K1024" t="s">
        <v>40</v>
      </c>
      <c r="L1024" t="s">
        <v>32</v>
      </c>
      <c r="M1024" t="s">
        <v>19</v>
      </c>
      <c r="N1024" t="s">
        <v>21</v>
      </c>
      <c r="O1024" t="s">
        <v>19</v>
      </c>
      <c r="P1024" t="s">
        <v>20</v>
      </c>
      <c r="Q1024" t="s">
        <v>40</v>
      </c>
    </row>
    <row r="1025" spans="1:17" x14ac:dyDescent="0.35">
      <c r="A1025">
        <v>1639</v>
      </c>
      <c r="B1025">
        <v>49</v>
      </c>
      <c r="C1025" t="s">
        <v>27</v>
      </c>
      <c r="D1025">
        <v>164</v>
      </c>
      <c r="E1025">
        <v>86</v>
      </c>
      <c r="F1025" s="3">
        <v>30.858483787181701</v>
      </c>
      <c r="G1025" s="3" t="str">
        <f t="shared" si="15"/>
        <v>Obese</v>
      </c>
      <c r="H1025" t="s">
        <v>165</v>
      </c>
      <c r="I1025" t="s">
        <v>31</v>
      </c>
      <c r="J1025" t="s">
        <v>20</v>
      </c>
      <c r="K1025" t="s">
        <v>22</v>
      </c>
      <c r="L1025" t="s">
        <v>32</v>
      </c>
      <c r="M1025" t="s">
        <v>20</v>
      </c>
      <c r="N1025" t="s">
        <v>21</v>
      </c>
      <c r="O1025" t="s">
        <v>19</v>
      </c>
      <c r="P1025" t="s">
        <v>20</v>
      </c>
      <c r="Q1025" t="s">
        <v>18</v>
      </c>
    </row>
    <row r="1026" spans="1:17" x14ac:dyDescent="0.35">
      <c r="A1026">
        <v>1648</v>
      </c>
      <c r="B1026">
        <v>49</v>
      </c>
      <c r="C1026" t="s">
        <v>27</v>
      </c>
      <c r="D1026">
        <v>161</v>
      </c>
      <c r="E1026">
        <v>71</v>
      </c>
      <c r="F1026" s="3">
        <v>31.8172658352719</v>
      </c>
      <c r="G1026" s="3" t="str">
        <f t="shared" si="15"/>
        <v>Obese</v>
      </c>
      <c r="H1026" t="s">
        <v>740</v>
      </c>
      <c r="I1026" t="s">
        <v>18</v>
      </c>
      <c r="J1026" t="s">
        <v>19</v>
      </c>
      <c r="K1026" t="s">
        <v>22</v>
      </c>
      <c r="L1026" t="s">
        <v>14</v>
      </c>
      <c r="M1026" t="s">
        <v>20</v>
      </c>
      <c r="N1026" t="s">
        <v>25</v>
      </c>
      <c r="O1026" t="s">
        <v>20</v>
      </c>
      <c r="P1026" t="s">
        <v>19</v>
      </c>
      <c r="Q1026" t="s">
        <v>18</v>
      </c>
    </row>
    <row r="1027" spans="1:17" x14ac:dyDescent="0.35">
      <c r="A1027">
        <v>1679</v>
      </c>
      <c r="B1027">
        <v>49</v>
      </c>
      <c r="C1027" t="s">
        <v>27</v>
      </c>
      <c r="D1027">
        <v>176</v>
      </c>
      <c r="E1027">
        <v>73</v>
      </c>
      <c r="F1027" s="3">
        <v>29.0496842089557</v>
      </c>
      <c r="G1027" s="3" t="str">
        <f t="shared" ref="G1027:G1090" si="16">_xlfn.IFS(F1027&lt;18.5, "Underweight", F1027&lt;=24.9, "Normal Weight", F1027&lt;=29.9, "Overweight", TRUE, "Obese")</f>
        <v>Overweight</v>
      </c>
      <c r="H1027" t="s">
        <v>1018</v>
      </c>
      <c r="I1027" t="s">
        <v>31</v>
      </c>
      <c r="J1027" t="s">
        <v>20</v>
      </c>
      <c r="K1027" t="s">
        <v>22</v>
      </c>
      <c r="L1027" t="s">
        <v>38</v>
      </c>
      <c r="M1027" t="s">
        <v>19</v>
      </c>
      <c r="N1027" t="s">
        <v>25</v>
      </c>
      <c r="O1027" t="s">
        <v>19</v>
      </c>
      <c r="P1027" t="s">
        <v>20</v>
      </c>
      <c r="Q1027" t="s">
        <v>40</v>
      </c>
    </row>
    <row r="1028" spans="1:17" x14ac:dyDescent="0.35">
      <c r="A1028">
        <v>1690</v>
      </c>
      <c r="B1028">
        <v>49</v>
      </c>
      <c r="C1028" t="s">
        <v>16</v>
      </c>
      <c r="D1028">
        <v>160</v>
      </c>
      <c r="E1028">
        <v>64</v>
      </c>
      <c r="F1028" s="3">
        <v>25.274878504431399</v>
      </c>
      <c r="G1028" s="3" t="str">
        <f t="shared" si="16"/>
        <v>Overweight</v>
      </c>
      <c r="H1028" t="s">
        <v>1149</v>
      </c>
      <c r="I1028" t="s">
        <v>31</v>
      </c>
      <c r="J1028" t="s">
        <v>19</v>
      </c>
      <c r="K1028" t="s">
        <v>22</v>
      </c>
      <c r="L1028" t="s">
        <v>32</v>
      </c>
      <c r="M1028" t="s">
        <v>19</v>
      </c>
      <c r="N1028" t="s">
        <v>21</v>
      </c>
      <c r="O1028" t="s">
        <v>19</v>
      </c>
      <c r="P1028" t="s">
        <v>19</v>
      </c>
      <c r="Q1028" t="s">
        <v>22</v>
      </c>
    </row>
    <row r="1029" spans="1:17" x14ac:dyDescent="0.35">
      <c r="A1029">
        <v>1716</v>
      </c>
      <c r="B1029">
        <v>49</v>
      </c>
      <c r="C1029" t="s">
        <v>27</v>
      </c>
      <c r="D1029">
        <v>159</v>
      </c>
      <c r="E1029">
        <v>61</v>
      </c>
      <c r="F1029" s="3">
        <v>31.827089089226899</v>
      </c>
      <c r="G1029" s="3" t="str">
        <f t="shared" si="16"/>
        <v>Obese</v>
      </c>
      <c r="H1029" t="s">
        <v>431</v>
      </c>
      <c r="I1029" t="s">
        <v>18</v>
      </c>
      <c r="J1029" t="s">
        <v>20</v>
      </c>
      <c r="K1029" t="s">
        <v>22</v>
      </c>
      <c r="L1029" t="s">
        <v>38</v>
      </c>
      <c r="M1029" t="s">
        <v>20</v>
      </c>
      <c r="N1029" t="s">
        <v>21</v>
      </c>
      <c r="O1029" t="s">
        <v>20</v>
      </c>
      <c r="P1029" t="s">
        <v>20</v>
      </c>
      <c r="Q1029" t="s">
        <v>18</v>
      </c>
    </row>
    <row r="1030" spans="1:17" x14ac:dyDescent="0.35">
      <c r="A1030">
        <v>1057</v>
      </c>
      <c r="B1030">
        <v>71</v>
      </c>
      <c r="C1030" t="s">
        <v>27</v>
      </c>
      <c r="D1030">
        <v>184</v>
      </c>
      <c r="E1030">
        <v>67</v>
      </c>
      <c r="F1030" s="3">
        <v>34.652631371601899</v>
      </c>
      <c r="G1030" s="3" t="str">
        <f t="shared" si="16"/>
        <v>Obese</v>
      </c>
      <c r="H1030" t="s">
        <v>839</v>
      </c>
      <c r="I1030" t="s">
        <v>31</v>
      </c>
      <c r="J1030" t="s">
        <v>19</v>
      </c>
      <c r="K1030" t="s">
        <v>40</v>
      </c>
      <c r="L1030" t="s">
        <v>32</v>
      </c>
      <c r="M1030" t="s">
        <v>19</v>
      </c>
      <c r="N1030" t="s">
        <v>25</v>
      </c>
      <c r="O1030" t="s">
        <v>20</v>
      </c>
      <c r="P1030" t="s">
        <v>19</v>
      </c>
      <c r="Q1030" t="s">
        <v>22</v>
      </c>
    </row>
    <row r="1031" spans="1:17" x14ac:dyDescent="0.35">
      <c r="A1031">
        <v>1782</v>
      </c>
      <c r="B1031">
        <v>49</v>
      </c>
      <c r="C1031" t="s">
        <v>27</v>
      </c>
      <c r="D1031">
        <v>157</v>
      </c>
      <c r="E1031">
        <v>56</v>
      </c>
      <c r="F1031" s="3">
        <v>18.563199793255301</v>
      </c>
      <c r="G1031" s="3" t="str">
        <f t="shared" si="16"/>
        <v>Normal Weight</v>
      </c>
      <c r="H1031" t="s">
        <v>400</v>
      </c>
      <c r="I1031" t="s">
        <v>31</v>
      </c>
      <c r="J1031" t="s">
        <v>19</v>
      </c>
      <c r="K1031" t="s">
        <v>22</v>
      </c>
      <c r="L1031" t="s">
        <v>14</v>
      </c>
      <c r="M1031" t="s">
        <v>19</v>
      </c>
      <c r="N1031" t="s">
        <v>25</v>
      </c>
      <c r="O1031" t="s">
        <v>20</v>
      </c>
      <c r="P1031" t="s">
        <v>19</v>
      </c>
      <c r="Q1031" t="s">
        <v>22</v>
      </c>
    </row>
    <row r="1032" spans="1:17" x14ac:dyDescent="0.35">
      <c r="A1032">
        <v>1059</v>
      </c>
      <c r="B1032">
        <v>20</v>
      </c>
      <c r="C1032" t="s">
        <v>27</v>
      </c>
      <c r="D1032">
        <v>150</v>
      </c>
      <c r="E1032">
        <v>98</v>
      </c>
      <c r="F1032" s="3">
        <v>26.006788515507601</v>
      </c>
      <c r="G1032" s="3" t="str">
        <f t="shared" si="16"/>
        <v>Overweight</v>
      </c>
      <c r="H1032" t="s">
        <v>841</v>
      </c>
      <c r="I1032" t="s">
        <v>24</v>
      </c>
      <c r="J1032" t="s">
        <v>20</v>
      </c>
      <c r="K1032" t="s">
        <v>18</v>
      </c>
      <c r="L1032" t="s">
        <v>38</v>
      </c>
      <c r="M1032" t="s">
        <v>19</v>
      </c>
      <c r="N1032" t="s">
        <v>21</v>
      </c>
      <c r="O1032" t="s">
        <v>19</v>
      </c>
      <c r="P1032" t="s">
        <v>20</v>
      </c>
      <c r="Q1032" t="s">
        <v>18</v>
      </c>
    </row>
    <row r="1033" spans="1:17" x14ac:dyDescent="0.35">
      <c r="A1033">
        <v>105</v>
      </c>
      <c r="B1033">
        <v>48</v>
      </c>
      <c r="C1033" t="s">
        <v>27</v>
      </c>
      <c r="D1033">
        <v>160</v>
      </c>
      <c r="E1033">
        <v>74</v>
      </c>
      <c r="F1033" s="3">
        <v>33.8923168870894</v>
      </c>
      <c r="G1033" s="3" t="str">
        <f t="shared" si="16"/>
        <v>Obese</v>
      </c>
      <c r="H1033" t="s">
        <v>132</v>
      </c>
      <c r="I1033" t="s">
        <v>24</v>
      </c>
      <c r="J1033" t="s">
        <v>19</v>
      </c>
      <c r="K1033" t="s">
        <v>22</v>
      </c>
      <c r="L1033" t="s">
        <v>14</v>
      </c>
      <c r="M1033" t="s">
        <v>20</v>
      </c>
      <c r="N1033" t="s">
        <v>25</v>
      </c>
      <c r="O1033" t="s">
        <v>20</v>
      </c>
      <c r="P1033" t="s">
        <v>20</v>
      </c>
      <c r="Q1033" t="s">
        <v>18</v>
      </c>
    </row>
    <row r="1034" spans="1:17" x14ac:dyDescent="0.35">
      <c r="A1034">
        <v>353</v>
      </c>
      <c r="B1034">
        <v>48</v>
      </c>
      <c r="C1034" t="s">
        <v>16</v>
      </c>
      <c r="D1034">
        <v>154</v>
      </c>
      <c r="E1034">
        <v>92</v>
      </c>
      <c r="F1034" s="3">
        <v>33.1425048336109</v>
      </c>
      <c r="G1034" s="3" t="str">
        <f t="shared" si="16"/>
        <v>Obese</v>
      </c>
      <c r="H1034" t="s">
        <v>355</v>
      </c>
      <c r="I1034" t="s">
        <v>24</v>
      </c>
      <c r="J1034" t="s">
        <v>19</v>
      </c>
      <c r="K1034" t="s">
        <v>22</v>
      </c>
      <c r="L1034" t="s">
        <v>32</v>
      </c>
      <c r="M1034" t="s">
        <v>19</v>
      </c>
      <c r="N1034" t="s">
        <v>25</v>
      </c>
      <c r="O1034" t="s">
        <v>19</v>
      </c>
      <c r="P1034" t="s">
        <v>20</v>
      </c>
      <c r="Q1034" t="s">
        <v>22</v>
      </c>
    </row>
    <row r="1035" spans="1:17" x14ac:dyDescent="0.35">
      <c r="A1035">
        <v>1060</v>
      </c>
      <c r="B1035">
        <v>76</v>
      </c>
      <c r="C1035" t="s">
        <v>16</v>
      </c>
      <c r="D1035">
        <v>152</v>
      </c>
      <c r="E1035">
        <v>83</v>
      </c>
      <c r="F1035" s="3">
        <v>30.932347489866899</v>
      </c>
      <c r="G1035" s="3" t="str">
        <f t="shared" si="16"/>
        <v>Obese</v>
      </c>
      <c r="H1035" t="s">
        <v>842</v>
      </c>
      <c r="I1035" t="s">
        <v>31</v>
      </c>
      <c r="J1035" t="s">
        <v>19</v>
      </c>
      <c r="K1035" t="s">
        <v>40</v>
      </c>
      <c r="L1035" t="s">
        <v>32</v>
      </c>
      <c r="M1035" t="s">
        <v>19</v>
      </c>
      <c r="N1035" t="s">
        <v>25</v>
      </c>
      <c r="O1035" t="s">
        <v>20</v>
      </c>
      <c r="P1035" t="s">
        <v>19</v>
      </c>
      <c r="Q1035" t="s">
        <v>18</v>
      </c>
    </row>
    <row r="1036" spans="1:17" x14ac:dyDescent="0.35">
      <c r="A1036">
        <v>491</v>
      </c>
      <c r="B1036">
        <v>48</v>
      </c>
      <c r="C1036" t="s">
        <v>27</v>
      </c>
      <c r="D1036">
        <v>154</v>
      </c>
      <c r="E1036">
        <v>77</v>
      </c>
      <c r="F1036" s="3">
        <v>24.239068732645201</v>
      </c>
      <c r="G1036" s="3" t="str">
        <f t="shared" si="16"/>
        <v>Normal Weight</v>
      </c>
      <c r="H1036" t="s">
        <v>285</v>
      </c>
      <c r="I1036" t="s">
        <v>18</v>
      </c>
      <c r="J1036" t="s">
        <v>20</v>
      </c>
      <c r="K1036" t="s">
        <v>22</v>
      </c>
      <c r="L1036" t="s">
        <v>29</v>
      </c>
      <c r="M1036" t="s">
        <v>19</v>
      </c>
      <c r="N1036" t="s">
        <v>25</v>
      </c>
      <c r="O1036" t="s">
        <v>20</v>
      </c>
      <c r="P1036" t="s">
        <v>19</v>
      </c>
      <c r="Q1036" t="s">
        <v>18</v>
      </c>
    </row>
    <row r="1037" spans="1:17" x14ac:dyDescent="0.35">
      <c r="A1037">
        <v>1063</v>
      </c>
      <c r="B1037">
        <v>18</v>
      </c>
      <c r="C1037" t="s">
        <v>16</v>
      </c>
      <c r="D1037">
        <v>189</v>
      </c>
      <c r="E1037">
        <v>71</v>
      </c>
      <c r="F1037" s="3">
        <v>27.513085402159</v>
      </c>
      <c r="G1037" s="3" t="str">
        <f t="shared" si="16"/>
        <v>Overweight</v>
      </c>
      <c r="H1037" t="s">
        <v>844</v>
      </c>
      <c r="I1037" t="s">
        <v>18</v>
      </c>
      <c r="J1037" t="s">
        <v>19</v>
      </c>
      <c r="K1037" t="s">
        <v>18</v>
      </c>
      <c r="L1037" t="s">
        <v>32</v>
      </c>
      <c r="M1037" t="s">
        <v>19</v>
      </c>
      <c r="N1037" t="s">
        <v>25</v>
      </c>
      <c r="O1037" t="s">
        <v>19</v>
      </c>
      <c r="P1037" t="s">
        <v>19</v>
      </c>
      <c r="Q1037" t="s">
        <v>22</v>
      </c>
    </row>
    <row r="1038" spans="1:17" x14ac:dyDescent="0.35">
      <c r="A1038">
        <v>710</v>
      </c>
      <c r="B1038">
        <v>48</v>
      </c>
      <c r="C1038" t="s">
        <v>16</v>
      </c>
      <c r="D1038">
        <v>154</v>
      </c>
      <c r="E1038">
        <v>71</v>
      </c>
      <c r="F1038" s="3">
        <v>31.394124464452702</v>
      </c>
      <c r="G1038" s="3" t="str">
        <f t="shared" si="16"/>
        <v>Obese</v>
      </c>
      <c r="H1038" t="s">
        <v>325</v>
      </c>
      <c r="I1038" t="s">
        <v>31</v>
      </c>
      <c r="J1038" t="s">
        <v>19</v>
      </c>
      <c r="K1038" t="s">
        <v>22</v>
      </c>
      <c r="L1038" t="s">
        <v>29</v>
      </c>
      <c r="M1038" t="s">
        <v>19</v>
      </c>
      <c r="N1038" t="s">
        <v>21</v>
      </c>
      <c r="O1038" t="s">
        <v>19</v>
      </c>
      <c r="P1038" t="s">
        <v>20</v>
      </c>
      <c r="Q1038" t="s">
        <v>22</v>
      </c>
    </row>
    <row r="1039" spans="1:17" x14ac:dyDescent="0.35">
      <c r="A1039">
        <v>792</v>
      </c>
      <c r="B1039">
        <v>48</v>
      </c>
      <c r="C1039" t="s">
        <v>16</v>
      </c>
      <c r="D1039">
        <v>189</v>
      </c>
      <c r="E1039">
        <v>88</v>
      </c>
      <c r="F1039" s="3">
        <v>34.6692648814115</v>
      </c>
      <c r="G1039" s="3" t="str">
        <f t="shared" si="16"/>
        <v>Obese</v>
      </c>
      <c r="H1039" t="s">
        <v>685</v>
      </c>
      <c r="I1039" t="s">
        <v>31</v>
      </c>
      <c r="J1039" t="s">
        <v>20</v>
      </c>
      <c r="K1039" t="s">
        <v>22</v>
      </c>
      <c r="L1039" t="s">
        <v>32</v>
      </c>
      <c r="M1039" t="s">
        <v>19</v>
      </c>
      <c r="N1039" t="s">
        <v>21</v>
      </c>
      <c r="O1039" t="s">
        <v>20</v>
      </c>
      <c r="P1039" t="s">
        <v>20</v>
      </c>
      <c r="Q1039" t="s">
        <v>40</v>
      </c>
    </row>
    <row r="1040" spans="1:17" x14ac:dyDescent="0.35">
      <c r="A1040">
        <v>1065</v>
      </c>
      <c r="B1040">
        <v>61</v>
      </c>
      <c r="C1040" t="s">
        <v>16</v>
      </c>
      <c r="D1040">
        <v>183</v>
      </c>
      <c r="E1040">
        <v>93</v>
      </c>
      <c r="F1040" s="3">
        <v>25.396737410863999</v>
      </c>
      <c r="G1040" s="3" t="str">
        <f t="shared" si="16"/>
        <v>Overweight</v>
      </c>
      <c r="H1040" t="s">
        <v>845</v>
      </c>
      <c r="I1040" t="s">
        <v>24</v>
      </c>
      <c r="J1040" t="s">
        <v>20</v>
      </c>
      <c r="K1040" t="s">
        <v>18</v>
      </c>
      <c r="L1040" t="s">
        <v>14</v>
      </c>
      <c r="M1040" t="s">
        <v>20</v>
      </c>
      <c r="N1040" t="s">
        <v>25</v>
      </c>
      <c r="O1040" t="s">
        <v>20</v>
      </c>
      <c r="P1040" t="s">
        <v>19</v>
      </c>
      <c r="Q1040" t="s">
        <v>40</v>
      </c>
    </row>
    <row r="1041" spans="1:17" x14ac:dyDescent="0.35">
      <c r="A1041">
        <v>1067</v>
      </c>
      <c r="B1041">
        <v>47</v>
      </c>
      <c r="C1041" t="s">
        <v>16</v>
      </c>
      <c r="D1041">
        <v>173</v>
      </c>
      <c r="E1041">
        <v>91</v>
      </c>
      <c r="F1041" s="3">
        <v>32.626534762911803</v>
      </c>
      <c r="G1041" s="3" t="str">
        <f t="shared" si="16"/>
        <v>Obese</v>
      </c>
      <c r="H1041" t="s">
        <v>847</v>
      </c>
      <c r="I1041" t="s">
        <v>18</v>
      </c>
      <c r="J1041" t="s">
        <v>19</v>
      </c>
      <c r="K1041" t="s">
        <v>18</v>
      </c>
      <c r="L1041" t="s">
        <v>14</v>
      </c>
      <c r="M1041" t="s">
        <v>20</v>
      </c>
      <c r="N1041" t="s">
        <v>21</v>
      </c>
      <c r="O1041" t="s">
        <v>19</v>
      </c>
      <c r="P1041" t="s">
        <v>19</v>
      </c>
      <c r="Q1041" t="s">
        <v>40</v>
      </c>
    </row>
    <row r="1042" spans="1:17" x14ac:dyDescent="0.35">
      <c r="A1042">
        <v>929</v>
      </c>
      <c r="B1042">
        <v>48</v>
      </c>
      <c r="C1042" t="s">
        <v>16</v>
      </c>
      <c r="D1042">
        <v>162</v>
      </c>
      <c r="E1042">
        <v>78</v>
      </c>
      <c r="F1042" s="3">
        <v>26.423028001821098</v>
      </c>
      <c r="G1042" s="3" t="str">
        <f t="shared" si="16"/>
        <v>Overweight</v>
      </c>
      <c r="H1042" t="s">
        <v>187</v>
      </c>
      <c r="I1042" t="s">
        <v>24</v>
      </c>
      <c r="J1042" t="s">
        <v>19</v>
      </c>
      <c r="K1042" t="s">
        <v>22</v>
      </c>
      <c r="L1042" t="s">
        <v>38</v>
      </c>
      <c r="M1042" t="s">
        <v>19</v>
      </c>
      <c r="N1042" t="s">
        <v>25</v>
      </c>
      <c r="O1042" t="s">
        <v>20</v>
      </c>
      <c r="P1042" t="s">
        <v>20</v>
      </c>
      <c r="Q1042" t="s">
        <v>22</v>
      </c>
    </row>
    <row r="1043" spans="1:17" x14ac:dyDescent="0.35">
      <c r="A1043">
        <v>1068</v>
      </c>
      <c r="B1043">
        <v>47</v>
      </c>
      <c r="C1043" t="s">
        <v>27</v>
      </c>
      <c r="D1043">
        <v>173</v>
      </c>
      <c r="E1043">
        <v>74</v>
      </c>
      <c r="F1043" s="3">
        <v>20.137421471174701</v>
      </c>
      <c r="G1043" s="3" t="str">
        <f t="shared" si="16"/>
        <v>Normal Weight</v>
      </c>
      <c r="H1043" t="s">
        <v>738</v>
      </c>
      <c r="I1043" t="s">
        <v>31</v>
      </c>
      <c r="J1043" t="s">
        <v>20</v>
      </c>
      <c r="K1043" t="s">
        <v>18</v>
      </c>
      <c r="L1043" t="s">
        <v>32</v>
      </c>
      <c r="M1043" t="s">
        <v>20</v>
      </c>
      <c r="N1043" t="s">
        <v>25</v>
      </c>
      <c r="O1043" t="s">
        <v>20</v>
      </c>
      <c r="P1043" t="s">
        <v>19</v>
      </c>
      <c r="Q1043" t="s">
        <v>22</v>
      </c>
    </row>
    <row r="1044" spans="1:17" x14ac:dyDescent="0.35">
      <c r="A1044">
        <v>1051</v>
      </c>
      <c r="B1044">
        <v>48</v>
      </c>
      <c r="C1044" t="s">
        <v>27</v>
      </c>
      <c r="D1044">
        <v>168</v>
      </c>
      <c r="E1044">
        <v>86</v>
      </c>
      <c r="F1044" s="3">
        <v>27.0530301450327</v>
      </c>
      <c r="G1044" s="3" t="str">
        <f t="shared" si="16"/>
        <v>Overweight</v>
      </c>
      <c r="H1044" t="s">
        <v>833</v>
      </c>
      <c r="I1044" t="s">
        <v>24</v>
      </c>
      <c r="J1044" t="s">
        <v>19</v>
      </c>
      <c r="K1044" t="s">
        <v>22</v>
      </c>
      <c r="L1044" t="s">
        <v>38</v>
      </c>
      <c r="M1044" t="s">
        <v>20</v>
      </c>
      <c r="N1044" t="s">
        <v>21</v>
      </c>
      <c r="O1044" t="s">
        <v>20</v>
      </c>
      <c r="P1044" t="s">
        <v>19</v>
      </c>
      <c r="Q1044" t="s">
        <v>22</v>
      </c>
    </row>
    <row r="1045" spans="1:17" x14ac:dyDescent="0.35">
      <c r="A1045">
        <v>1069</v>
      </c>
      <c r="B1045">
        <v>76</v>
      </c>
      <c r="C1045" t="s">
        <v>27</v>
      </c>
      <c r="D1045">
        <v>153</v>
      </c>
      <c r="E1045">
        <v>70</v>
      </c>
      <c r="F1045" s="3">
        <v>19.996894565339201</v>
      </c>
      <c r="G1045" s="3" t="str">
        <f t="shared" si="16"/>
        <v>Normal Weight</v>
      </c>
      <c r="H1045" t="s">
        <v>127</v>
      </c>
      <c r="I1045" t="s">
        <v>18</v>
      </c>
      <c r="J1045" t="s">
        <v>19</v>
      </c>
      <c r="K1045" t="s">
        <v>40</v>
      </c>
      <c r="L1045" t="s">
        <v>29</v>
      </c>
      <c r="M1045" t="s">
        <v>20</v>
      </c>
      <c r="N1045" t="s">
        <v>21</v>
      </c>
      <c r="O1045" t="s">
        <v>20</v>
      </c>
      <c r="P1045" t="s">
        <v>19</v>
      </c>
      <c r="Q1045" t="s">
        <v>40</v>
      </c>
    </row>
    <row r="1046" spans="1:17" x14ac:dyDescent="0.35">
      <c r="A1046">
        <v>1070</v>
      </c>
      <c r="B1046">
        <v>74</v>
      </c>
      <c r="C1046" t="s">
        <v>16</v>
      </c>
      <c r="D1046">
        <v>152</v>
      </c>
      <c r="E1046">
        <v>65</v>
      </c>
      <c r="F1046" s="3">
        <v>22.834475370531901</v>
      </c>
      <c r="G1046" s="3" t="str">
        <f t="shared" si="16"/>
        <v>Normal Weight</v>
      </c>
      <c r="H1046" t="s">
        <v>464</v>
      </c>
      <c r="I1046" t="s">
        <v>24</v>
      </c>
      <c r="J1046" t="s">
        <v>20</v>
      </c>
      <c r="K1046" t="s">
        <v>40</v>
      </c>
      <c r="L1046" t="s">
        <v>32</v>
      </c>
      <c r="M1046" t="s">
        <v>20</v>
      </c>
      <c r="N1046" t="s">
        <v>25</v>
      </c>
      <c r="O1046" t="s">
        <v>19</v>
      </c>
      <c r="P1046" t="s">
        <v>19</v>
      </c>
      <c r="Q1046" t="s">
        <v>18</v>
      </c>
    </row>
    <row r="1047" spans="1:17" x14ac:dyDescent="0.35">
      <c r="A1047">
        <v>1071</v>
      </c>
      <c r="B1047">
        <v>34</v>
      </c>
      <c r="C1047" t="s">
        <v>16</v>
      </c>
      <c r="D1047">
        <v>183</v>
      </c>
      <c r="E1047">
        <v>80</v>
      </c>
      <c r="F1047" s="3">
        <v>32.933640032140801</v>
      </c>
      <c r="G1047" s="3" t="str">
        <f t="shared" si="16"/>
        <v>Obese</v>
      </c>
      <c r="H1047" t="s">
        <v>83</v>
      </c>
      <c r="I1047" t="s">
        <v>18</v>
      </c>
      <c r="J1047" t="s">
        <v>19</v>
      </c>
      <c r="K1047" t="s">
        <v>18</v>
      </c>
      <c r="L1047" t="s">
        <v>14</v>
      </c>
      <c r="M1047" t="s">
        <v>20</v>
      </c>
      <c r="N1047" t="s">
        <v>25</v>
      </c>
      <c r="O1047" t="s">
        <v>19</v>
      </c>
      <c r="P1047" t="s">
        <v>19</v>
      </c>
      <c r="Q1047" t="s">
        <v>40</v>
      </c>
    </row>
    <row r="1048" spans="1:17" x14ac:dyDescent="0.35">
      <c r="A1048">
        <v>1073</v>
      </c>
      <c r="B1048">
        <v>64</v>
      </c>
      <c r="C1048" t="s">
        <v>16</v>
      </c>
      <c r="D1048">
        <v>172</v>
      </c>
      <c r="E1048">
        <v>88</v>
      </c>
      <c r="F1048" s="3">
        <v>30.379947243352799</v>
      </c>
      <c r="G1048" s="3" t="str">
        <f t="shared" si="16"/>
        <v>Obese</v>
      </c>
      <c r="H1048" t="s">
        <v>144</v>
      </c>
      <c r="I1048" t="s">
        <v>24</v>
      </c>
      <c r="J1048" t="s">
        <v>20</v>
      </c>
      <c r="K1048" t="s">
        <v>18</v>
      </c>
      <c r="L1048" t="s">
        <v>14</v>
      </c>
      <c r="M1048" t="s">
        <v>19</v>
      </c>
      <c r="N1048" t="s">
        <v>21</v>
      </c>
      <c r="O1048" t="s">
        <v>20</v>
      </c>
      <c r="P1048" t="s">
        <v>20</v>
      </c>
      <c r="Q1048" t="s">
        <v>22</v>
      </c>
    </row>
    <row r="1049" spans="1:17" x14ac:dyDescent="0.35">
      <c r="A1049">
        <v>1379</v>
      </c>
      <c r="B1049">
        <v>48</v>
      </c>
      <c r="C1049" t="s">
        <v>16</v>
      </c>
      <c r="D1049">
        <v>189</v>
      </c>
      <c r="E1049">
        <v>58</v>
      </c>
      <c r="F1049" s="3">
        <v>22.511554751974</v>
      </c>
      <c r="G1049" s="3" t="str">
        <f t="shared" si="16"/>
        <v>Normal Weight</v>
      </c>
      <c r="H1049" t="s">
        <v>371</v>
      </c>
      <c r="I1049" t="s">
        <v>18</v>
      </c>
      <c r="J1049" t="s">
        <v>19</v>
      </c>
      <c r="K1049" t="s">
        <v>22</v>
      </c>
      <c r="L1049" t="s">
        <v>29</v>
      </c>
      <c r="M1049" t="s">
        <v>20</v>
      </c>
      <c r="N1049" t="s">
        <v>25</v>
      </c>
      <c r="O1049" t="s">
        <v>20</v>
      </c>
      <c r="P1049" t="s">
        <v>19</v>
      </c>
      <c r="Q1049" t="s">
        <v>22</v>
      </c>
    </row>
    <row r="1050" spans="1:17" x14ac:dyDescent="0.35">
      <c r="A1050">
        <v>1486</v>
      </c>
      <c r="B1050">
        <v>48</v>
      </c>
      <c r="C1050" t="s">
        <v>27</v>
      </c>
      <c r="D1050">
        <v>159</v>
      </c>
      <c r="E1050">
        <v>62</v>
      </c>
      <c r="F1050" s="3">
        <v>18.847108890597699</v>
      </c>
      <c r="G1050" s="3" t="str">
        <f t="shared" si="16"/>
        <v>Normal Weight</v>
      </c>
      <c r="H1050" t="s">
        <v>1064</v>
      </c>
      <c r="I1050" t="s">
        <v>31</v>
      </c>
      <c r="J1050" t="s">
        <v>19</v>
      </c>
      <c r="K1050" t="s">
        <v>22</v>
      </c>
      <c r="L1050" t="s">
        <v>29</v>
      </c>
      <c r="M1050" t="s">
        <v>20</v>
      </c>
      <c r="N1050" t="s">
        <v>21</v>
      </c>
      <c r="O1050" t="s">
        <v>19</v>
      </c>
      <c r="P1050" t="s">
        <v>20</v>
      </c>
      <c r="Q1050" t="s">
        <v>40</v>
      </c>
    </row>
    <row r="1051" spans="1:17" x14ac:dyDescent="0.35">
      <c r="A1051">
        <v>1504</v>
      </c>
      <c r="B1051">
        <v>48</v>
      </c>
      <c r="C1051" t="s">
        <v>27</v>
      </c>
      <c r="D1051">
        <v>175</v>
      </c>
      <c r="E1051">
        <v>75</v>
      </c>
      <c r="F1051" s="3">
        <v>24.230259826044001</v>
      </c>
      <c r="G1051" s="3" t="str">
        <f t="shared" si="16"/>
        <v>Normal Weight</v>
      </c>
      <c r="H1051" t="s">
        <v>1007</v>
      </c>
      <c r="I1051" t="s">
        <v>18</v>
      </c>
      <c r="J1051" t="s">
        <v>19</v>
      </c>
      <c r="K1051" t="s">
        <v>22</v>
      </c>
      <c r="L1051" t="s">
        <v>38</v>
      </c>
      <c r="M1051" t="s">
        <v>19</v>
      </c>
      <c r="N1051" t="s">
        <v>21</v>
      </c>
      <c r="O1051" t="s">
        <v>19</v>
      </c>
      <c r="P1051" t="s">
        <v>20</v>
      </c>
      <c r="Q1051" t="s">
        <v>40</v>
      </c>
    </row>
    <row r="1052" spans="1:17" x14ac:dyDescent="0.35">
      <c r="A1052">
        <v>1550</v>
      </c>
      <c r="B1052">
        <v>48</v>
      </c>
      <c r="C1052" t="s">
        <v>16</v>
      </c>
      <c r="D1052">
        <v>169</v>
      </c>
      <c r="E1052">
        <v>84</v>
      </c>
      <c r="F1052" s="3">
        <v>31.825826847788999</v>
      </c>
      <c r="G1052" s="3" t="str">
        <f t="shared" si="16"/>
        <v>Obese</v>
      </c>
      <c r="H1052" t="s">
        <v>1093</v>
      </c>
      <c r="I1052" t="s">
        <v>24</v>
      </c>
      <c r="J1052" t="s">
        <v>19</v>
      </c>
      <c r="K1052" t="s">
        <v>22</v>
      </c>
      <c r="L1052" t="s">
        <v>14</v>
      </c>
      <c r="M1052" t="s">
        <v>19</v>
      </c>
      <c r="N1052" t="s">
        <v>21</v>
      </c>
      <c r="O1052" t="s">
        <v>19</v>
      </c>
      <c r="P1052" t="s">
        <v>19</v>
      </c>
      <c r="Q1052" t="s">
        <v>40</v>
      </c>
    </row>
    <row r="1053" spans="1:17" x14ac:dyDescent="0.35">
      <c r="A1053">
        <v>1076</v>
      </c>
      <c r="B1053">
        <v>54</v>
      </c>
      <c r="C1053" t="s">
        <v>16</v>
      </c>
      <c r="D1053">
        <v>155</v>
      </c>
      <c r="E1053">
        <v>77</v>
      </c>
      <c r="F1053" s="3">
        <v>24.3751104354658</v>
      </c>
      <c r="G1053" s="3" t="str">
        <f t="shared" si="16"/>
        <v>Normal Weight</v>
      </c>
      <c r="H1053" t="s">
        <v>343</v>
      </c>
      <c r="I1053" t="s">
        <v>31</v>
      </c>
      <c r="J1053" t="s">
        <v>19</v>
      </c>
      <c r="K1053" t="s">
        <v>18</v>
      </c>
      <c r="L1053" t="s">
        <v>38</v>
      </c>
      <c r="M1053" t="s">
        <v>19</v>
      </c>
      <c r="N1053" t="s">
        <v>21</v>
      </c>
      <c r="O1053" t="s">
        <v>20</v>
      </c>
      <c r="P1053" t="s">
        <v>19</v>
      </c>
      <c r="Q1053" t="s">
        <v>18</v>
      </c>
    </row>
    <row r="1054" spans="1:17" x14ac:dyDescent="0.35">
      <c r="A1054">
        <v>1077</v>
      </c>
      <c r="B1054">
        <v>38</v>
      </c>
      <c r="C1054" t="s">
        <v>27</v>
      </c>
      <c r="D1054">
        <v>186</v>
      </c>
      <c r="E1054">
        <v>98</v>
      </c>
      <c r="F1054" s="3">
        <v>31.517080388936801</v>
      </c>
      <c r="G1054" s="3" t="str">
        <f t="shared" si="16"/>
        <v>Obese</v>
      </c>
      <c r="H1054" t="s">
        <v>850</v>
      </c>
      <c r="I1054" t="s">
        <v>18</v>
      </c>
      <c r="J1054" t="s">
        <v>20</v>
      </c>
      <c r="K1054" t="s">
        <v>18</v>
      </c>
      <c r="L1054" t="s">
        <v>38</v>
      </c>
      <c r="M1054" t="s">
        <v>20</v>
      </c>
      <c r="N1054" t="s">
        <v>25</v>
      </c>
      <c r="O1054" t="s">
        <v>19</v>
      </c>
      <c r="P1054" t="s">
        <v>19</v>
      </c>
      <c r="Q1054" t="s">
        <v>18</v>
      </c>
    </row>
    <row r="1055" spans="1:17" x14ac:dyDescent="0.35">
      <c r="A1055">
        <v>1079</v>
      </c>
      <c r="B1055">
        <v>19</v>
      </c>
      <c r="C1055" t="s">
        <v>16</v>
      </c>
      <c r="D1055">
        <v>189</v>
      </c>
      <c r="E1055">
        <v>94</v>
      </c>
      <c r="F1055" s="3">
        <v>29.046830184934301</v>
      </c>
      <c r="G1055" s="3" t="str">
        <f t="shared" si="16"/>
        <v>Overweight</v>
      </c>
      <c r="H1055" t="s">
        <v>852</v>
      </c>
      <c r="I1055" t="s">
        <v>31</v>
      </c>
      <c r="J1055" t="s">
        <v>20</v>
      </c>
      <c r="K1055" t="s">
        <v>18</v>
      </c>
      <c r="L1055" t="s">
        <v>14</v>
      </c>
      <c r="M1055" t="s">
        <v>20</v>
      </c>
      <c r="N1055" t="s">
        <v>25</v>
      </c>
      <c r="O1055" t="s">
        <v>19</v>
      </c>
      <c r="P1055" t="s">
        <v>20</v>
      </c>
      <c r="Q1055" t="s">
        <v>22</v>
      </c>
    </row>
    <row r="1056" spans="1:17" x14ac:dyDescent="0.35">
      <c r="A1056">
        <v>1983</v>
      </c>
      <c r="B1056">
        <v>48</v>
      </c>
      <c r="C1056" t="s">
        <v>27</v>
      </c>
      <c r="D1056">
        <v>188</v>
      </c>
      <c r="E1056">
        <v>84</v>
      </c>
      <c r="F1056" s="3">
        <v>26.716151777607301</v>
      </c>
      <c r="G1056" s="3" t="str">
        <f t="shared" si="16"/>
        <v>Overweight</v>
      </c>
      <c r="H1056" t="s">
        <v>67</v>
      </c>
      <c r="I1056" t="s">
        <v>24</v>
      </c>
      <c r="J1056" t="s">
        <v>20</v>
      </c>
      <c r="K1056" t="s">
        <v>22</v>
      </c>
      <c r="L1056" t="s">
        <v>29</v>
      </c>
      <c r="M1056" t="s">
        <v>19</v>
      </c>
      <c r="N1056" t="s">
        <v>25</v>
      </c>
      <c r="O1056" t="s">
        <v>19</v>
      </c>
      <c r="P1056" t="s">
        <v>20</v>
      </c>
      <c r="Q1056" t="s">
        <v>22</v>
      </c>
    </row>
    <row r="1057" spans="1:17" x14ac:dyDescent="0.35">
      <c r="A1057">
        <v>1080</v>
      </c>
      <c r="B1057">
        <v>28</v>
      </c>
      <c r="C1057" t="s">
        <v>16</v>
      </c>
      <c r="D1057">
        <v>156</v>
      </c>
      <c r="E1057">
        <v>71</v>
      </c>
      <c r="F1057" s="3">
        <v>22.388761820502101</v>
      </c>
      <c r="G1057" s="3" t="str">
        <f t="shared" si="16"/>
        <v>Normal Weight</v>
      </c>
      <c r="H1057" t="s">
        <v>60</v>
      </c>
      <c r="I1057" t="s">
        <v>31</v>
      </c>
      <c r="J1057" t="s">
        <v>19</v>
      </c>
      <c r="K1057" t="s">
        <v>18</v>
      </c>
      <c r="L1057" t="s">
        <v>29</v>
      </c>
      <c r="M1057" t="s">
        <v>20</v>
      </c>
      <c r="N1057" t="s">
        <v>21</v>
      </c>
      <c r="O1057" t="s">
        <v>20</v>
      </c>
      <c r="P1057" t="s">
        <v>20</v>
      </c>
      <c r="Q1057" t="s">
        <v>18</v>
      </c>
    </row>
    <row r="1058" spans="1:17" x14ac:dyDescent="0.35">
      <c r="A1058">
        <v>1087</v>
      </c>
      <c r="B1058">
        <v>67</v>
      </c>
      <c r="C1058" t="s">
        <v>16</v>
      </c>
      <c r="D1058">
        <v>153</v>
      </c>
      <c r="E1058">
        <v>59</v>
      </c>
      <c r="F1058" s="3">
        <v>25.554440613435201</v>
      </c>
      <c r="G1058" s="3" t="str">
        <f t="shared" si="16"/>
        <v>Overweight</v>
      </c>
      <c r="H1058" t="s">
        <v>856</v>
      </c>
      <c r="I1058" t="s">
        <v>24</v>
      </c>
      <c r="J1058" t="s">
        <v>19</v>
      </c>
      <c r="K1058" t="s">
        <v>18</v>
      </c>
      <c r="L1058" t="s">
        <v>38</v>
      </c>
      <c r="M1058" t="s">
        <v>19</v>
      </c>
      <c r="N1058" t="s">
        <v>25</v>
      </c>
      <c r="O1058" t="s">
        <v>20</v>
      </c>
      <c r="P1058" t="s">
        <v>20</v>
      </c>
      <c r="Q1058" t="s">
        <v>18</v>
      </c>
    </row>
    <row r="1059" spans="1:17" x14ac:dyDescent="0.35">
      <c r="A1059">
        <v>201</v>
      </c>
      <c r="B1059">
        <v>47</v>
      </c>
      <c r="C1059" t="s">
        <v>27</v>
      </c>
      <c r="D1059">
        <v>183</v>
      </c>
      <c r="E1059">
        <v>93</v>
      </c>
      <c r="F1059" s="3">
        <v>21.5367387388285</v>
      </c>
      <c r="G1059" s="3" t="str">
        <f t="shared" si="16"/>
        <v>Normal Weight</v>
      </c>
      <c r="H1059" t="s">
        <v>219</v>
      </c>
      <c r="I1059" t="s">
        <v>18</v>
      </c>
      <c r="J1059" t="s">
        <v>20</v>
      </c>
      <c r="K1059" t="s">
        <v>22</v>
      </c>
      <c r="L1059" t="s">
        <v>32</v>
      </c>
      <c r="M1059" t="s">
        <v>19</v>
      </c>
      <c r="N1059" t="s">
        <v>21</v>
      </c>
      <c r="O1059" t="s">
        <v>20</v>
      </c>
      <c r="P1059" t="s">
        <v>20</v>
      </c>
      <c r="Q1059" t="s">
        <v>18</v>
      </c>
    </row>
    <row r="1060" spans="1:17" x14ac:dyDescent="0.35">
      <c r="A1060">
        <v>1090</v>
      </c>
      <c r="B1060">
        <v>47</v>
      </c>
      <c r="C1060" t="s">
        <v>27</v>
      </c>
      <c r="D1060">
        <v>187</v>
      </c>
      <c r="E1060">
        <v>56</v>
      </c>
      <c r="F1060" s="3">
        <v>31.021324217896101</v>
      </c>
      <c r="G1060" s="3" t="str">
        <f t="shared" si="16"/>
        <v>Obese</v>
      </c>
      <c r="H1060" t="s">
        <v>858</v>
      </c>
      <c r="I1060" t="s">
        <v>24</v>
      </c>
      <c r="J1060" t="s">
        <v>20</v>
      </c>
      <c r="K1060" t="s">
        <v>18</v>
      </c>
      <c r="L1060" t="s">
        <v>29</v>
      </c>
      <c r="M1060" t="s">
        <v>20</v>
      </c>
      <c r="N1060" t="s">
        <v>21</v>
      </c>
      <c r="O1060" t="s">
        <v>20</v>
      </c>
      <c r="P1060" t="s">
        <v>19</v>
      </c>
      <c r="Q1060" t="s">
        <v>40</v>
      </c>
    </row>
    <row r="1061" spans="1:17" x14ac:dyDescent="0.35">
      <c r="A1061">
        <v>354</v>
      </c>
      <c r="B1061">
        <v>47</v>
      </c>
      <c r="C1061" t="s">
        <v>16</v>
      </c>
      <c r="D1061">
        <v>157</v>
      </c>
      <c r="E1061">
        <v>94</v>
      </c>
      <c r="F1061" s="3">
        <v>33.249902926054801</v>
      </c>
      <c r="G1061" s="3" t="str">
        <f t="shared" si="16"/>
        <v>Obese</v>
      </c>
      <c r="H1061" t="s">
        <v>356</v>
      </c>
      <c r="I1061" t="s">
        <v>18</v>
      </c>
      <c r="J1061" t="s">
        <v>19</v>
      </c>
      <c r="K1061" t="s">
        <v>22</v>
      </c>
      <c r="L1061" t="s">
        <v>32</v>
      </c>
      <c r="M1061" t="s">
        <v>19</v>
      </c>
      <c r="N1061" t="s">
        <v>21</v>
      </c>
      <c r="O1061" t="s">
        <v>20</v>
      </c>
      <c r="P1061" t="s">
        <v>19</v>
      </c>
      <c r="Q1061" t="s">
        <v>40</v>
      </c>
    </row>
    <row r="1062" spans="1:17" x14ac:dyDescent="0.35">
      <c r="A1062">
        <v>1091</v>
      </c>
      <c r="B1062">
        <v>32</v>
      </c>
      <c r="C1062" t="s">
        <v>16</v>
      </c>
      <c r="D1062">
        <v>185</v>
      </c>
      <c r="E1062">
        <v>78</v>
      </c>
      <c r="F1062" s="3">
        <v>20.245642584501098</v>
      </c>
      <c r="G1062" s="3" t="str">
        <f t="shared" si="16"/>
        <v>Normal Weight</v>
      </c>
      <c r="H1062" t="s">
        <v>859</v>
      </c>
      <c r="I1062" t="s">
        <v>31</v>
      </c>
      <c r="J1062" t="s">
        <v>19</v>
      </c>
      <c r="K1062" t="s">
        <v>18</v>
      </c>
      <c r="L1062" t="s">
        <v>14</v>
      </c>
      <c r="M1062" t="s">
        <v>20</v>
      </c>
      <c r="N1062" t="s">
        <v>25</v>
      </c>
      <c r="O1062" t="s">
        <v>20</v>
      </c>
      <c r="P1062" t="s">
        <v>19</v>
      </c>
      <c r="Q1062" t="s">
        <v>18</v>
      </c>
    </row>
    <row r="1063" spans="1:17" x14ac:dyDescent="0.35">
      <c r="A1063">
        <v>1092</v>
      </c>
      <c r="B1063">
        <v>44</v>
      </c>
      <c r="C1063" t="s">
        <v>27</v>
      </c>
      <c r="D1063">
        <v>154</v>
      </c>
      <c r="E1063">
        <v>96</v>
      </c>
      <c r="F1063" s="3">
        <v>26.8513075694616</v>
      </c>
      <c r="G1063" s="3" t="str">
        <f t="shared" si="16"/>
        <v>Overweight</v>
      </c>
      <c r="H1063" t="s">
        <v>860</v>
      </c>
      <c r="I1063" t="s">
        <v>24</v>
      </c>
      <c r="J1063" t="s">
        <v>20</v>
      </c>
      <c r="K1063" t="s">
        <v>18</v>
      </c>
      <c r="L1063" t="s">
        <v>32</v>
      </c>
      <c r="M1063" t="s">
        <v>19</v>
      </c>
      <c r="N1063" t="s">
        <v>25</v>
      </c>
      <c r="O1063" t="s">
        <v>19</v>
      </c>
      <c r="P1063" t="s">
        <v>19</v>
      </c>
      <c r="Q1063" t="s">
        <v>22</v>
      </c>
    </row>
    <row r="1064" spans="1:17" x14ac:dyDescent="0.35">
      <c r="A1064">
        <v>1093</v>
      </c>
      <c r="B1064">
        <v>68</v>
      </c>
      <c r="C1064" t="s">
        <v>16</v>
      </c>
      <c r="D1064">
        <v>162</v>
      </c>
      <c r="E1064">
        <v>52</v>
      </c>
      <c r="F1064" s="3">
        <v>31.941313424427602</v>
      </c>
      <c r="G1064" s="3" t="str">
        <f t="shared" si="16"/>
        <v>Obese</v>
      </c>
      <c r="H1064" t="s">
        <v>841</v>
      </c>
      <c r="I1064" t="s">
        <v>18</v>
      </c>
      <c r="J1064" t="s">
        <v>20</v>
      </c>
      <c r="K1064" t="s">
        <v>18</v>
      </c>
      <c r="L1064" t="s">
        <v>32</v>
      </c>
      <c r="M1064" t="s">
        <v>19</v>
      </c>
      <c r="N1064" t="s">
        <v>21</v>
      </c>
      <c r="O1064" t="s">
        <v>19</v>
      </c>
      <c r="P1064" t="s">
        <v>19</v>
      </c>
      <c r="Q1064" t="s">
        <v>18</v>
      </c>
    </row>
    <row r="1065" spans="1:17" x14ac:dyDescent="0.35">
      <c r="A1065">
        <v>578</v>
      </c>
      <c r="B1065">
        <v>47</v>
      </c>
      <c r="C1065" t="s">
        <v>27</v>
      </c>
      <c r="D1065">
        <v>165</v>
      </c>
      <c r="E1065">
        <v>80</v>
      </c>
      <c r="F1065" s="3">
        <v>31.617690359319699</v>
      </c>
      <c r="G1065" s="3" t="str">
        <f t="shared" si="16"/>
        <v>Obese</v>
      </c>
      <c r="H1065" t="s">
        <v>530</v>
      </c>
      <c r="I1065" t="s">
        <v>18</v>
      </c>
      <c r="J1065" t="s">
        <v>20</v>
      </c>
      <c r="K1065" t="s">
        <v>22</v>
      </c>
      <c r="L1065" t="s">
        <v>38</v>
      </c>
      <c r="M1065" t="s">
        <v>19</v>
      </c>
      <c r="N1065" t="s">
        <v>21</v>
      </c>
      <c r="O1065" t="s">
        <v>20</v>
      </c>
      <c r="P1065" t="s">
        <v>19</v>
      </c>
      <c r="Q1065" t="s">
        <v>22</v>
      </c>
    </row>
    <row r="1066" spans="1:17" x14ac:dyDescent="0.35">
      <c r="A1066">
        <v>1094</v>
      </c>
      <c r="B1066">
        <v>51</v>
      </c>
      <c r="C1066" t="s">
        <v>27</v>
      </c>
      <c r="D1066">
        <v>172</v>
      </c>
      <c r="E1066">
        <v>68</v>
      </c>
      <c r="F1066" s="3">
        <v>33.9466901855914</v>
      </c>
      <c r="G1066" s="3" t="str">
        <f t="shared" si="16"/>
        <v>Obese</v>
      </c>
      <c r="H1066" t="s">
        <v>861</v>
      </c>
      <c r="I1066" t="s">
        <v>31</v>
      </c>
      <c r="J1066" t="s">
        <v>19</v>
      </c>
      <c r="K1066" t="s">
        <v>18</v>
      </c>
      <c r="L1066" t="s">
        <v>29</v>
      </c>
      <c r="M1066" t="s">
        <v>20</v>
      </c>
      <c r="N1066" t="s">
        <v>21</v>
      </c>
      <c r="O1066" t="s">
        <v>20</v>
      </c>
      <c r="P1066" t="s">
        <v>19</v>
      </c>
      <c r="Q1066" t="s">
        <v>18</v>
      </c>
    </row>
    <row r="1067" spans="1:17" x14ac:dyDescent="0.35">
      <c r="A1067">
        <v>642</v>
      </c>
      <c r="B1067">
        <v>47</v>
      </c>
      <c r="C1067" t="s">
        <v>27</v>
      </c>
      <c r="D1067">
        <v>165</v>
      </c>
      <c r="E1067">
        <v>81</v>
      </c>
      <c r="F1067" s="3">
        <v>29.761443546917299</v>
      </c>
      <c r="G1067" s="3" t="str">
        <f t="shared" si="16"/>
        <v>Overweight</v>
      </c>
      <c r="H1067" t="s">
        <v>581</v>
      </c>
      <c r="I1067" t="s">
        <v>24</v>
      </c>
      <c r="J1067" t="s">
        <v>20</v>
      </c>
      <c r="K1067" t="s">
        <v>22</v>
      </c>
      <c r="L1067" t="s">
        <v>29</v>
      </c>
      <c r="M1067" t="s">
        <v>20</v>
      </c>
      <c r="N1067" t="s">
        <v>21</v>
      </c>
      <c r="O1067" t="s">
        <v>20</v>
      </c>
      <c r="P1067" t="s">
        <v>19</v>
      </c>
      <c r="Q1067" t="s">
        <v>40</v>
      </c>
    </row>
    <row r="1068" spans="1:17" x14ac:dyDescent="0.35">
      <c r="A1068">
        <v>1095</v>
      </c>
      <c r="B1068">
        <v>69</v>
      </c>
      <c r="C1068" t="s">
        <v>16</v>
      </c>
      <c r="D1068">
        <v>179</v>
      </c>
      <c r="E1068">
        <v>59</v>
      </c>
      <c r="F1068" s="3">
        <v>26.973044801239201</v>
      </c>
      <c r="G1068" s="3" t="str">
        <f t="shared" si="16"/>
        <v>Overweight</v>
      </c>
      <c r="H1068" t="s">
        <v>158</v>
      </c>
      <c r="I1068" t="s">
        <v>31</v>
      </c>
      <c r="J1068" t="s">
        <v>20</v>
      </c>
      <c r="K1068" t="s">
        <v>18</v>
      </c>
      <c r="L1068" t="s">
        <v>32</v>
      </c>
      <c r="M1068" t="s">
        <v>20</v>
      </c>
      <c r="N1068" t="s">
        <v>25</v>
      </c>
      <c r="O1068" t="s">
        <v>20</v>
      </c>
      <c r="P1068" t="s">
        <v>20</v>
      </c>
      <c r="Q1068" t="s">
        <v>40</v>
      </c>
    </row>
    <row r="1069" spans="1:17" x14ac:dyDescent="0.35">
      <c r="A1069">
        <v>1097</v>
      </c>
      <c r="B1069">
        <v>55</v>
      </c>
      <c r="C1069" t="s">
        <v>16</v>
      </c>
      <c r="D1069">
        <v>174</v>
      </c>
      <c r="E1069">
        <v>78</v>
      </c>
      <c r="F1069" s="3">
        <v>27.338868012524401</v>
      </c>
      <c r="G1069" s="3" t="str">
        <f t="shared" si="16"/>
        <v>Overweight</v>
      </c>
      <c r="H1069" t="s">
        <v>863</v>
      </c>
      <c r="I1069" t="s">
        <v>31</v>
      </c>
      <c r="J1069" t="s">
        <v>19</v>
      </c>
      <c r="K1069" t="s">
        <v>18</v>
      </c>
      <c r="L1069" t="s">
        <v>32</v>
      </c>
      <c r="M1069" t="s">
        <v>20</v>
      </c>
      <c r="N1069" t="s">
        <v>21</v>
      </c>
      <c r="O1069" t="s">
        <v>20</v>
      </c>
      <c r="P1069" t="s">
        <v>19</v>
      </c>
      <c r="Q1069" t="s">
        <v>18</v>
      </c>
    </row>
    <row r="1070" spans="1:17" x14ac:dyDescent="0.35">
      <c r="A1070">
        <v>987</v>
      </c>
      <c r="B1070">
        <v>47</v>
      </c>
      <c r="C1070" t="s">
        <v>16</v>
      </c>
      <c r="D1070">
        <v>178</v>
      </c>
      <c r="E1070">
        <v>86</v>
      </c>
      <c r="F1070" s="3">
        <v>18.8242494653229</v>
      </c>
      <c r="G1070" s="3" t="str">
        <f t="shared" si="16"/>
        <v>Normal Weight</v>
      </c>
      <c r="H1070" t="s">
        <v>795</v>
      </c>
      <c r="I1070" t="s">
        <v>24</v>
      </c>
      <c r="J1070" t="s">
        <v>19</v>
      </c>
      <c r="K1070" t="s">
        <v>22</v>
      </c>
      <c r="L1070" t="s">
        <v>38</v>
      </c>
      <c r="M1070" t="s">
        <v>19</v>
      </c>
      <c r="N1070" t="s">
        <v>21</v>
      </c>
      <c r="O1070" t="s">
        <v>20</v>
      </c>
      <c r="P1070" t="s">
        <v>20</v>
      </c>
      <c r="Q1070" t="s">
        <v>40</v>
      </c>
    </row>
    <row r="1071" spans="1:17" x14ac:dyDescent="0.35">
      <c r="A1071">
        <v>1098</v>
      </c>
      <c r="B1071">
        <v>50</v>
      </c>
      <c r="C1071" t="s">
        <v>27</v>
      </c>
      <c r="D1071">
        <v>176</v>
      </c>
      <c r="E1071">
        <v>64</v>
      </c>
      <c r="F1071" s="3">
        <v>25.004143160898401</v>
      </c>
      <c r="G1071" s="3" t="str">
        <f t="shared" si="16"/>
        <v>Overweight</v>
      </c>
      <c r="H1071" t="s">
        <v>864</v>
      </c>
      <c r="I1071" t="s">
        <v>24</v>
      </c>
      <c r="J1071" t="s">
        <v>19</v>
      </c>
      <c r="K1071" t="s">
        <v>18</v>
      </c>
      <c r="L1071" t="s">
        <v>38</v>
      </c>
      <c r="M1071" t="s">
        <v>20</v>
      </c>
      <c r="N1071" t="s">
        <v>25</v>
      </c>
      <c r="O1071" t="s">
        <v>19</v>
      </c>
      <c r="P1071" t="s">
        <v>19</v>
      </c>
      <c r="Q1071" t="s">
        <v>40</v>
      </c>
    </row>
    <row r="1072" spans="1:17" x14ac:dyDescent="0.35">
      <c r="A1072">
        <v>1099</v>
      </c>
      <c r="B1072">
        <v>41</v>
      </c>
      <c r="C1072" t="s">
        <v>16</v>
      </c>
      <c r="D1072">
        <v>163</v>
      </c>
      <c r="E1072">
        <v>84</v>
      </c>
      <c r="F1072" s="3">
        <v>32.495351621122701</v>
      </c>
      <c r="G1072" s="3" t="str">
        <f t="shared" si="16"/>
        <v>Obese</v>
      </c>
      <c r="H1072" t="s">
        <v>865</v>
      </c>
      <c r="I1072" t="s">
        <v>18</v>
      </c>
      <c r="J1072" t="s">
        <v>19</v>
      </c>
      <c r="K1072" t="s">
        <v>18</v>
      </c>
      <c r="L1072" t="s">
        <v>14</v>
      </c>
      <c r="M1072" t="s">
        <v>19</v>
      </c>
      <c r="N1072" t="s">
        <v>25</v>
      </c>
      <c r="O1072" t="s">
        <v>20</v>
      </c>
      <c r="P1072" t="s">
        <v>20</v>
      </c>
      <c r="Q1072" t="s">
        <v>18</v>
      </c>
    </row>
    <row r="1073" spans="1:17" x14ac:dyDescent="0.35">
      <c r="A1073">
        <v>1100</v>
      </c>
      <c r="B1073">
        <v>32</v>
      </c>
      <c r="C1073" t="s">
        <v>27</v>
      </c>
      <c r="D1073">
        <v>185</v>
      </c>
      <c r="E1073">
        <v>55</v>
      </c>
      <c r="F1073" s="3">
        <v>26.634214722558401</v>
      </c>
      <c r="G1073" s="3" t="str">
        <f t="shared" si="16"/>
        <v>Overweight</v>
      </c>
      <c r="H1073" t="s">
        <v>573</v>
      </c>
      <c r="I1073" t="s">
        <v>18</v>
      </c>
      <c r="J1073" t="s">
        <v>19</v>
      </c>
      <c r="K1073" t="s">
        <v>18</v>
      </c>
      <c r="L1073" t="s">
        <v>32</v>
      </c>
      <c r="M1073" t="s">
        <v>19</v>
      </c>
      <c r="N1073" t="s">
        <v>21</v>
      </c>
      <c r="O1073" t="s">
        <v>20</v>
      </c>
      <c r="P1073" t="s">
        <v>20</v>
      </c>
      <c r="Q1073" t="s">
        <v>18</v>
      </c>
    </row>
    <row r="1074" spans="1:17" x14ac:dyDescent="0.35">
      <c r="A1074">
        <v>1102</v>
      </c>
      <c r="B1074">
        <v>47</v>
      </c>
      <c r="C1074" t="s">
        <v>16</v>
      </c>
      <c r="D1074">
        <v>165</v>
      </c>
      <c r="E1074">
        <v>96</v>
      </c>
      <c r="F1074" s="3">
        <v>26.590156075262101</v>
      </c>
      <c r="G1074" s="3" t="str">
        <f t="shared" si="16"/>
        <v>Overweight</v>
      </c>
      <c r="H1074" t="s">
        <v>90</v>
      </c>
      <c r="I1074" t="s">
        <v>18</v>
      </c>
      <c r="J1074" t="s">
        <v>19</v>
      </c>
      <c r="K1074" t="s">
        <v>18</v>
      </c>
      <c r="L1074" t="s">
        <v>14</v>
      </c>
      <c r="M1074" t="s">
        <v>20</v>
      </c>
      <c r="N1074" t="s">
        <v>25</v>
      </c>
      <c r="O1074" t="s">
        <v>20</v>
      </c>
      <c r="P1074" t="s">
        <v>20</v>
      </c>
      <c r="Q1074" t="s">
        <v>22</v>
      </c>
    </row>
    <row r="1075" spans="1:17" x14ac:dyDescent="0.35">
      <c r="A1075">
        <v>1103</v>
      </c>
      <c r="B1075">
        <v>72</v>
      </c>
      <c r="C1075" t="s">
        <v>16</v>
      </c>
      <c r="D1075">
        <v>171</v>
      </c>
      <c r="E1075">
        <v>87</v>
      </c>
      <c r="F1075" s="3">
        <v>32.4719525308508</v>
      </c>
      <c r="G1075" s="3" t="str">
        <f t="shared" si="16"/>
        <v>Obese</v>
      </c>
      <c r="H1075" t="s">
        <v>867</v>
      </c>
      <c r="I1075" t="s">
        <v>31</v>
      </c>
      <c r="J1075" t="s">
        <v>20</v>
      </c>
      <c r="K1075" t="s">
        <v>40</v>
      </c>
      <c r="L1075" t="s">
        <v>32</v>
      </c>
      <c r="M1075" t="s">
        <v>20</v>
      </c>
      <c r="N1075" t="s">
        <v>21</v>
      </c>
      <c r="O1075" t="s">
        <v>19</v>
      </c>
      <c r="P1075" t="s">
        <v>20</v>
      </c>
      <c r="Q1075" t="s">
        <v>22</v>
      </c>
    </row>
    <row r="1076" spans="1:17" x14ac:dyDescent="0.35">
      <c r="A1076">
        <v>1288</v>
      </c>
      <c r="B1076">
        <v>47</v>
      </c>
      <c r="C1076" t="s">
        <v>27</v>
      </c>
      <c r="D1076">
        <v>181</v>
      </c>
      <c r="E1076">
        <v>76</v>
      </c>
      <c r="F1076" s="3">
        <v>30.718407100102201</v>
      </c>
      <c r="G1076" s="3" t="str">
        <f t="shared" si="16"/>
        <v>Obese</v>
      </c>
      <c r="H1076" t="s">
        <v>976</v>
      </c>
      <c r="I1076" t="s">
        <v>31</v>
      </c>
      <c r="J1076" t="s">
        <v>20</v>
      </c>
      <c r="K1076" t="s">
        <v>22</v>
      </c>
      <c r="L1076" t="s">
        <v>29</v>
      </c>
      <c r="M1076" t="s">
        <v>19</v>
      </c>
      <c r="N1076" t="s">
        <v>25</v>
      </c>
      <c r="O1076" t="s">
        <v>19</v>
      </c>
      <c r="P1076" t="s">
        <v>19</v>
      </c>
      <c r="Q1076" t="s">
        <v>40</v>
      </c>
    </row>
    <row r="1077" spans="1:17" x14ac:dyDescent="0.35">
      <c r="A1077">
        <v>1107</v>
      </c>
      <c r="B1077">
        <v>22</v>
      </c>
      <c r="C1077" t="s">
        <v>27</v>
      </c>
      <c r="D1077">
        <v>165</v>
      </c>
      <c r="E1077">
        <v>52</v>
      </c>
      <c r="F1077" s="3">
        <v>26.616812396645599</v>
      </c>
      <c r="G1077" s="3" t="str">
        <f t="shared" si="16"/>
        <v>Overweight</v>
      </c>
      <c r="H1077" t="s">
        <v>769</v>
      </c>
      <c r="I1077" t="s">
        <v>18</v>
      </c>
      <c r="J1077" t="s">
        <v>19</v>
      </c>
      <c r="K1077" t="s">
        <v>18</v>
      </c>
      <c r="L1077" t="s">
        <v>14</v>
      </c>
      <c r="M1077" t="s">
        <v>20</v>
      </c>
      <c r="N1077" t="s">
        <v>25</v>
      </c>
      <c r="O1077" t="s">
        <v>20</v>
      </c>
      <c r="P1077" t="s">
        <v>20</v>
      </c>
      <c r="Q1077" t="s">
        <v>18</v>
      </c>
    </row>
    <row r="1078" spans="1:17" x14ac:dyDescent="0.35">
      <c r="A1078">
        <v>1111</v>
      </c>
      <c r="B1078">
        <v>73</v>
      </c>
      <c r="C1078" t="s">
        <v>16</v>
      </c>
      <c r="D1078">
        <v>183</v>
      </c>
      <c r="E1078">
        <v>96</v>
      </c>
      <c r="F1078" s="3">
        <v>26.526965634584901</v>
      </c>
      <c r="G1078" s="3" t="str">
        <f t="shared" si="16"/>
        <v>Overweight</v>
      </c>
      <c r="H1078" t="s">
        <v>870</v>
      </c>
      <c r="I1078" t="s">
        <v>24</v>
      </c>
      <c r="J1078" t="s">
        <v>20</v>
      </c>
      <c r="K1078" t="s">
        <v>40</v>
      </c>
      <c r="L1078" t="s">
        <v>14</v>
      </c>
      <c r="M1078" t="s">
        <v>19</v>
      </c>
      <c r="N1078" t="s">
        <v>25</v>
      </c>
      <c r="O1078" t="s">
        <v>20</v>
      </c>
      <c r="P1078" t="s">
        <v>19</v>
      </c>
      <c r="Q1078" t="s">
        <v>40</v>
      </c>
    </row>
    <row r="1079" spans="1:17" x14ac:dyDescent="0.35">
      <c r="A1079">
        <v>1378</v>
      </c>
      <c r="B1079">
        <v>47</v>
      </c>
      <c r="C1079" t="s">
        <v>16</v>
      </c>
      <c r="D1079">
        <v>187</v>
      </c>
      <c r="E1079">
        <v>89</v>
      </c>
      <c r="F1079" s="3">
        <v>26.893648739568398</v>
      </c>
      <c r="G1079" s="3" t="str">
        <f t="shared" si="16"/>
        <v>Overweight</v>
      </c>
      <c r="H1079" t="s">
        <v>1017</v>
      </c>
      <c r="I1079" t="s">
        <v>31</v>
      </c>
      <c r="J1079" t="s">
        <v>19</v>
      </c>
      <c r="K1079" t="s">
        <v>22</v>
      </c>
      <c r="L1079" t="s">
        <v>29</v>
      </c>
      <c r="M1079" t="s">
        <v>19</v>
      </c>
      <c r="N1079" t="s">
        <v>25</v>
      </c>
      <c r="O1079" t="s">
        <v>19</v>
      </c>
      <c r="P1079" t="s">
        <v>20</v>
      </c>
      <c r="Q1079" t="s">
        <v>22</v>
      </c>
    </row>
    <row r="1080" spans="1:17" x14ac:dyDescent="0.35">
      <c r="A1080">
        <v>1112</v>
      </c>
      <c r="B1080">
        <v>34</v>
      </c>
      <c r="C1080" t="s">
        <v>16</v>
      </c>
      <c r="D1080">
        <v>158</v>
      </c>
      <c r="E1080">
        <v>53</v>
      </c>
      <c r="F1080" s="3">
        <v>24.011751548929301</v>
      </c>
      <c r="G1080" s="3" t="str">
        <f t="shared" si="16"/>
        <v>Normal Weight</v>
      </c>
      <c r="H1080" t="s">
        <v>871</v>
      </c>
      <c r="I1080" t="s">
        <v>18</v>
      </c>
      <c r="J1080" t="s">
        <v>19</v>
      </c>
      <c r="K1080" t="s">
        <v>18</v>
      </c>
      <c r="L1080" t="s">
        <v>38</v>
      </c>
      <c r="M1080" t="s">
        <v>19</v>
      </c>
      <c r="N1080" t="s">
        <v>21</v>
      </c>
      <c r="O1080" t="s">
        <v>19</v>
      </c>
      <c r="P1080" t="s">
        <v>19</v>
      </c>
      <c r="Q1080" t="s">
        <v>40</v>
      </c>
    </row>
    <row r="1081" spans="1:17" x14ac:dyDescent="0.35">
      <c r="A1081">
        <v>1461</v>
      </c>
      <c r="B1081">
        <v>47</v>
      </c>
      <c r="C1081" t="s">
        <v>27</v>
      </c>
      <c r="D1081">
        <v>179</v>
      </c>
      <c r="E1081">
        <v>64</v>
      </c>
      <c r="F1081" s="3">
        <v>24.861616274612501</v>
      </c>
      <c r="G1081" s="3" t="str">
        <f t="shared" si="16"/>
        <v>Normal Weight</v>
      </c>
      <c r="H1081" t="s">
        <v>389</v>
      </c>
      <c r="I1081" t="s">
        <v>18</v>
      </c>
      <c r="J1081" t="s">
        <v>19</v>
      </c>
      <c r="K1081" t="s">
        <v>22</v>
      </c>
      <c r="L1081" t="s">
        <v>32</v>
      </c>
      <c r="M1081" t="s">
        <v>19</v>
      </c>
      <c r="N1081" t="s">
        <v>25</v>
      </c>
      <c r="O1081" t="s">
        <v>19</v>
      </c>
      <c r="P1081" t="s">
        <v>20</v>
      </c>
      <c r="Q1081" t="s">
        <v>18</v>
      </c>
    </row>
    <row r="1082" spans="1:17" x14ac:dyDescent="0.35">
      <c r="A1082">
        <v>1114</v>
      </c>
      <c r="B1082">
        <v>34</v>
      </c>
      <c r="C1082" t="s">
        <v>16</v>
      </c>
      <c r="D1082">
        <v>160</v>
      </c>
      <c r="E1082">
        <v>52</v>
      </c>
      <c r="F1082" s="3">
        <v>22.440945146659502</v>
      </c>
      <c r="G1082" s="3" t="str">
        <f t="shared" si="16"/>
        <v>Normal Weight</v>
      </c>
      <c r="H1082" t="s">
        <v>872</v>
      </c>
      <c r="I1082" t="s">
        <v>31</v>
      </c>
      <c r="J1082" t="s">
        <v>20</v>
      </c>
      <c r="K1082" t="s">
        <v>18</v>
      </c>
      <c r="L1082" t="s">
        <v>14</v>
      </c>
      <c r="M1082" t="s">
        <v>19</v>
      </c>
      <c r="N1082" t="s">
        <v>21</v>
      </c>
      <c r="O1082" t="s">
        <v>19</v>
      </c>
      <c r="P1082" t="s">
        <v>20</v>
      </c>
      <c r="Q1082" t="s">
        <v>18</v>
      </c>
    </row>
    <row r="1083" spans="1:17" x14ac:dyDescent="0.35">
      <c r="A1083">
        <v>1115</v>
      </c>
      <c r="B1083">
        <v>77</v>
      </c>
      <c r="C1083" t="s">
        <v>27</v>
      </c>
      <c r="D1083">
        <v>181</v>
      </c>
      <c r="E1083">
        <v>94</v>
      </c>
      <c r="F1083" s="3">
        <v>34.163139333973703</v>
      </c>
      <c r="G1083" s="3" t="str">
        <f t="shared" si="16"/>
        <v>Obese</v>
      </c>
      <c r="H1083" t="s">
        <v>710</v>
      </c>
      <c r="I1083" t="s">
        <v>24</v>
      </c>
      <c r="J1083" t="s">
        <v>19</v>
      </c>
      <c r="K1083" t="s">
        <v>40</v>
      </c>
      <c r="L1083" t="s">
        <v>38</v>
      </c>
      <c r="M1083" t="s">
        <v>20</v>
      </c>
      <c r="N1083" t="s">
        <v>21</v>
      </c>
      <c r="O1083" t="s">
        <v>19</v>
      </c>
      <c r="P1083" t="s">
        <v>20</v>
      </c>
      <c r="Q1083" t="s">
        <v>18</v>
      </c>
    </row>
    <row r="1084" spans="1:17" x14ac:dyDescent="0.35">
      <c r="A1084">
        <v>1116</v>
      </c>
      <c r="B1084">
        <v>37</v>
      </c>
      <c r="C1084" t="s">
        <v>27</v>
      </c>
      <c r="D1084">
        <v>159</v>
      </c>
      <c r="E1084">
        <v>57</v>
      </c>
      <c r="F1084" s="3">
        <v>23.534144832522099</v>
      </c>
      <c r="G1084" s="3" t="str">
        <f t="shared" si="16"/>
        <v>Normal Weight</v>
      </c>
      <c r="H1084" t="s">
        <v>675</v>
      </c>
      <c r="I1084" t="s">
        <v>18</v>
      </c>
      <c r="J1084" t="s">
        <v>19</v>
      </c>
      <c r="K1084" t="s">
        <v>18</v>
      </c>
      <c r="L1084" t="s">
        <v>38</v>
      </c>
      <c r="M1084" t="s">
        <v>20</v>
      </c>
      <c r="N1084" t="s">
        <v>21</v>
      </c>
      <c r="O1084" t="s">
        <v>19</v>
      </c>
      <c r="P1084" t="s">
        <v>19</v>
      </c>
      <c r="Q1084" t="s">
        <v>40</v>
      </c>
    </row>
    <row r="1085" spans="1:17" x14ac:dyDescent="0.35">
      <c r="A1085">
        <v>1117</v>
      </c>
      <c r="B1085">
        <v>41</v>
      </c>
      <c r="C1085" t="s">
        <v>27</v>
      </c>
      <c r="D1085">
        <v>171</v>
      </c>
      <c r="E1085">
        <v>72</v>
      </c>
      <c r="F1085" s="3">
        <v>21.286178274556001</v>
      </c>
      <c r="G1085" s="3" t="str">
        <f t="shared" si="16"/>
        <v>Normal Weight</v>
      </c>
      <c r="H1085" t="s">
        <v>421</v>
      </c>
      <c r="I1085" t="s">
        <v>18</v>
      </c>
      <c r="J1085" t="s">
        <v>19</v>
      </c>
      <c r="K1085" t="s">
        <v>18</v>
      </c>
      <c r="L1085" t="s">
        <v>32</v>
      </c>
      <c r="M1085" t="s">
        <v>19</v>
      </c>
      <c r="N1085" t="s">
        <v>25</v>
      </c>
      <c r="O1085" t="s">
        <v>20</v>
      </c>
      <c r="P1085" t="s">
        <v>19</v>
      </c>
      <c r="Q1085" t="s">
        <v>18</v>
      </c>
    </row>
    <row r="1086" spans="1:17" x14ac:dyDescent="0.35">
      <c r="A1086">
        <v>1118</v>
      </c>
      <c r="B1086">
        <v>22</v>
      </c>
      <c r="C1086" t="s">
        <v>16</v>
      </c>
      <c r="D1086">
        <v>166</v>
      </c>
      <c r="E1086">
        <v>65</v>
      </c>
      <c r="F1086" s="3">
        <v>26.101101062307301</v>
      </c>
      <c r="G1086" s="3" t="str">
        <f t="shared" si="16"/>
        <v>Overweight</v>
      </c>
      <c r="H1086" t="s">
        <v>873</v>
      </c>
      <c r="I1086" t="s">
        <v>24</v>
      </c>
      <c r="J1086" t="s">
        <v>19</v>
      </c>
      <c r="K1086" t="s">
        <v>18</v>
      </c>
      <c r="L1086" t="s">
        <v>38</v>
      </c>
      <c r="M1086" t="s">
        <v>20</v>
      </c>
      <c r="N1086" t="s">
        <v>21</v>
      </c>
      <c r="O1086" t="s">
        <v>20</v>
      </c>
      <c r="P1086" t="s">
        <v>19</v>
      </c>
      <c r="Q1086" t="s">
        <v>40</v>
      </c>
    </row>
    <row r="1087" spans="1:17" x14ac:dyDescent="0.35">
      <c r="A1087">
        <v>1123</v>
      </c>
      <c r="B1087">
        <v>30</v>
      </c>
      <c r="C1087" t="s">
        <v>27</v>
      </c>
      <c r="D1087">
        <v>187</v>
      </c>
      <c r="E1087">
        <v>63</v>
      </c>
      <c r="F1087" s="3">
        <v>27.603254138329401</v>
      </c>
      <c r="G1087" s="3" t="str">
        <f t="shared" si="16"/>
        <v>Overweight</v>
      </c>
      <c r="H1087" t="s">
        <v>875</v>
      </c>
      <c r="I1087" t="s">
        <v>24</v>
      </c>
      <c r="J1087" t="s">
        <v>19</v>
      </c>
      <c r="K1087" t="s">
        <v>18</v>
      </c>
      <c r="L1087" t="s">
        <v>14</v>
      </c>
      <c r="M1087" t="s">
        <v>19</v>
      </c>
      <c r="N1087" t="s">
        <v>21</v>
      </c>
      <c r="O1087" t="s">
        <v>19</v>
      </c>
      <c r="P1087" t="s">
        <v>19</v>
      </c>
      <c r="Q1087" t="s">
        <v>40</v>
      </c>
    </row>
    <row r="1088" spans="1:17" x14ac:dyDescent="0.35">
      <c r="A1088">
        <v>1126</v>
      </c>
      <c r="B1088">
        <v>60</v>
      </c>
      <c r="C1088" t="s">
        <v>27</v>
      </c>
      <c r="D1088">
        <v>185</v>
      </c>
      <c r="E1088">
        <v>64</v>
      </c>
      <c r="F1088" s="3">
        <v>34.4310456508736</v>
      </c>
      <c r="G1088" s="3" t="str">
        <f t="shared" si="16"/>
        <v>Obese</v>
      </c>
      <c r="H1088" t="s">
        <v>188</v>
      </c>
      <c r="I1088" t="s">
        <v>31</v>
      </c>
      <c r="J1088" t="s">
        <v>20</v>
      </c>
      <c r="K1088" t="s">
        <v>18</v>
      </c>
      <c r="L1088" t="s">
        <v>29</v>
      </c>
      <c r="M1088" t="s">
        <v>20</v>
      </c>
      <c r="N1088" t="s">
        <v>21</v>
      </c>
      <c r="O1088" t="s">
        <v>19</v>
      </c>
      <c r="P1088" t="s">
        <v>19</v>
      </c>
      <c r="Q1088" t="s">
        <v>18</v>
      </c>
    </row>
    <row r="1089" spans="1:17" x14ac:dyDescent="0.35">
      <c r="A1089">
        <v>1984</v>
      </c>
      <c r="B1089">
        <v>47</v>
      </c>
      <c r="C1089" t="s">
        <v>16</v>
      </c>
      <c r="D1089">
        <v>162</v>
      </c>
      <c r="E1089">
        <v>57</v>
      </c>
      <c r="F1089" s="3">
        <v>23.615561396205401</v>
      </c>
      <c r="G1089" s="3" t="str">
        <f t="shared" si="16"/>
        <v>Normal Weight</v>
      </c>
      <c r="H1089" t="s">
        <v>718</v>
      </c>
      <c r="I1089" t="s">
        <v>31</v>
      </c>
      <c r="J1089" t="s">
        <v>20</v>
      </c>
      <c r="K1089" t="s">
        <v>22</v>
      </c>
      <c r="L1089" t="s">
        <v>38</v>
      </c>
      <c r="M1089" t="s">
        <v>20</v>
      </c>
      <c r="N1089" t="s">
        <v>25</v>
      </c>
      <c r="O1089" t="s">
        <v>19</v>
      </c>
      <c r="P1089" t="s">
        <v>20</v>
      </c>
      <c r="Q1089" t="s">
        <v>22</v>
      </c>
    </row>
    <row r="1090" spans="1:17" x14ac:dyDescent="0.35">
      <c r="A1090">
        <v>1127</v>
      </c>
      <c r="B1090">
        <v>65</v>
      </c>
      <c r="C1090" t="s">
        <v>27</v>
      </c>
      <c r="D1090">
        <v>166</v>
      </c>
      <c r="E1090">
        <v>56</v>
      </c>
      <c r="F1090" s="3">
        <v>24.726249874300098</v>
      </c>
      <c r="G1090" s="3" t="str">
        <f t="shared" si="16"/>
        <v>Normal Weight</v>
      </c>
      <c r="H1090" t="s">
        <v>876</v>
      </c>
      <c r="I1090" t="s">
        <v>31</v>
      </c>
      <c r="J1090" t="s">
        <v>19</v>
      </c>
      <c r="K1090" t="s">
        <v>18</v>
      </c>
      <c r="L1090" t="s">
        <v>32</v>
      </c>
      <c r="M1090" t="s">
        <v>19</v>
      </c>
      <c r="N1090" t="s">
        <v>25</v>
      </c>
      <c r="O1090" t="s">
        <v>19</v>
      </c>
      <c r="P1090" t="s">
        <v>20</v>
      </c>
      <c r="Q1090" t="s">
        <v>18</v>
      </c>
    </row>
    <row r="1091" spans="1:17" x14ac:dyDescent="0.35">
      <c r="A1091">
        <v>1128</v>
      </c>
      <c r="B1091">
        <v>28</v>
      </c>
      <c r="C1091" t="s">
        <v>27</v>
      </c>
      <c r="D1091">
        <v>173</v>
      </c>
      <c r="E1091">
        <v>87</v>
      </c>
      <c r="F1091" s="3">
        <v>22.7607424187897</v>
      </c>
      <c r="G1091" s="3" t="str">
        <f t="shared" ref="G1091:G1154" si="17">_xlfn.IFS(F1091&lt;18.5, "Underweight", F1091&lt;=24.9, "Normal Weight", F1091&lt;=29.9, "Overweight", TRUE, "Obese")</f>
        <v>Normal Weight</v>
      </c>
      <c r="H1091" t="s">
        <v>877</v>
      </c>
      <c r="I1091" t="s">
        <v>31</v>
      </c>
      <c r="J1091" t="s">
        <v>19</v>
      </c>
      <c r="K1091" t="s">
        <v>18</v>
      </c>
      <c r="L1091" t="s">
        <v>38</v>
      </c>
      <c r="M1091" t="s">
        <v>19</v>
      </c>
      <c r="N1091" t="s">
        <v>25</v>
      </c>
      <c r="O1091" t="s">
        <v>20</v>
      </c>
      <c r="P1091" t="s">
        <v>20</v>
      </c>
      <c r="Q1091" t="s">
        <v>40</v>
      </c>
    </row>
    <row r="1092" spans="1:17" x14ac:dyDescent="0.35">
      <c r="A1092">
        <v>1129</v>
      </c>
      <c r="B1092">
        <v>68</v>
      </c>
      <c r="C1092" t="s">
        <v>16</v>
      </c>
      <c r="D1092">
        <v>151</v>
      </c>
      <c r="E1092">
        <v>83</v>
      </c>
      <c r="F1092" s="3">
        <v>22.5172062271015</v>
      </c>
      <c r="G1092" s="3" t="str">
        <f t="shared" si="17"/>
        <v>Normal Weight</v>
      </c>
      <c r="H1092" t="s">
        <v>878</v>
      </c>
      <c r="I1092" t="s">
        <v>24</v>
      </c>
      <c r="J1092" t="s">
        <v>20</v>
      </c>
      <c r="K1092" t="s">
        <v>18</v>
      </c>
      <c r="L1092" t="s">
        <v>29</v>
      </c>
      <c r="M1092" t="s">
        <v>20</v>
      </c>
      <c r="N1092" t="s">
        <v>21</v>
      </c>
      <c r="O1092" t="s">
        <v>20</v>
      </c>
      <c r="P1092" t="s">
        <v>19</v>
      </c>
      <c r="Q1092" t="s">
        <v>40</v>
      </c>
    </row>
    <row r="1093" spans="1:17" x14ac:dyDescent="0.35">
      <c r="A1093">
        <v>208</v>
      </c>
      <c r="B1093">
        <v>46</v>
      </c>
      <c r="C1093" t="s">
        <v>27</v>
      </c>
      <c r="D1093">
        <v>179</v>
      </c>
      <c r="E1093">
        <v>79</v>
      </c>
      <c r="F1093" s="3">
        <v>26.231190410753701</v>
      </c>
      <c r="G1093" s="3" t="str">
        <f t="shared" si="17"/>
        <v>Overweight</v>
      </c>
      <c r="H1093" t="s">
        <v>224</v>
      </c>
      <c r="I1093" t="s">
        <v>31</v>
      </c>
      <c r="J1093" t="s">
        <v>19</v>
      </c>
      <c r="K1093" t="s">
        <v>22</v>
      </c>
      <c r="L1093" t="s">
        <v>14</v>
      </c>
      <c r="M1093" t="s">
        <v>20</v>
      </c>
      <c r="N1093" t="s">
        <v>21</v>
      </c>
      <c r="O1093" t="s">
        <v>20</v>
      </c>
      <c r="P1093" t="s">
        <v>20</v>
      </c>
      <c r="Q1093" t="s">
        <v>22</v>
      </c>
    </row>
    <row r="1094" spans="1:17" x14ac:dyDescent="0.35">
      <c r="A1094">
        <v>1131</v>
      </c>
      <c r="B1094">
        <v>74</v>
      </c>
      <c r="C1094" t="s">
        <v>27</v>
      </c>
      <c r="D1094">
        <v>164</v>
      </c>
      <c r="E1094">
        <v>71</v>
      </c>
      <c r="F1094" s="3">
        <v>31.032082453829499</v>
      </c>
      <c r="G1094" s="3" t="str">
        <f t="shared" si="17"/>
        <v>Obese</v>
      </c>
      <c r="H1094" t="s">
        <v>880</v>
      </c>
      <c r="I1094" t="s">
        <v>18</v>
      </c>
      <c r="J1094" t="s">
        <v>19</v>
      </c>
      <c r="K1094" t="s">
        <v>40</v>
      </c>
      <c r="L1094" t="s">
        <v>38</v>
      </c>
      <c r="M1094" t="s">
        <v>20</v>
      </c>
      <c r="N1094" t="s">
        <v>21</v>
      </c>
      <c r="O1094" t="s">
        <v>20</v>
      </c>
      <c r="P1094" t="s">
        <v>20</v>
      </c>
      <c r="Q1094" t="s">
        <v>40</v>
      </c>
    </row>
    <row r="1095" spans="1:17" x14ac:dyDescent="0.35">
      <c r="A1095">
        <v>1132</v>
      </c>
      <c r="B1095">
        <v>40</v>
      </c>
      <c r="C1095" t="s">
        <v>16</v>
      </c>
      <c r="D1095">
        <v>181</v>
      </c>
      <c r="E1095">
        <v>73</v>
      </c>
      <c r="F1095" s="3">
        <v>21.898805039109799</v>
      </c>
      <c r="G1095" s="3" t="str">
        <f t="shared" si="17"/>
        <v>Normal Weight</v>
      </c>
      <c r="H1095" t="s">
        <v>129</v>
      </c>
      <c r="I1095" t="s">
        <v>31</v>
      </c>
      <c r="J1095" t="s">
        <v>19</v>
      </c>
      <c r="K1095" t="s">
        <v>18</v>
      </c>
      <c r="L1095" t="s">
        <v>38</v>
      </c>
      <c r="M1095" t="s">
        <v>19</v>
      </c>
      <c r="N1095" t="s">
        <v>25</v>
      </c>
      <c r="O1095" t="s">
        <v>19</v>
      </c>
      <c r="P1095" t="s">
        <v>20</v>
      </c>
      <c r="Q1095" t="s">
        <v>40</v>
      </c>
    </row>
    <row r="1096" spans="1:17" x14ac:dyDescent="0.35">
      <c r="A1096">
        <v>1133</v>
      </c>
      <c r="B1096">
        <v>72</v>
      </c>
      <c r="C1096" t="s">
        <v>16</v>
      </c>
      <c r="D1096">
        <v>188</v>
      </c>
      <c r="E1096">
        <v>98</v>
      </c>
      <c r="F1096" s="3">
        <v>30.203386097822602</v>
      </c>
      <c r="G1096" s="3" t="str">
        <f t="shared" si="17"/>
        <v>Obese</v>
      </c>
      <c r="H1096" t="s">
        <v>881</v>
      </c>
      <c r="I1096" t="s">
        <v>24</v>
      </c>
      <c r="J1096" t="s">
        <v>20</v>
      </c>
      <c r="K1096" t="s">
        <v>40</v>
      </c>
      <c r="L1096" t="s">
        <v>38</v>
      </c>
      <c r="M1096" t="s">
        <v>19</v>
      </c>
      <c r="N1096" t="s">
        <v>21</v>
      </c>
      <c r="O1096" t="s">
        <v>20</v>
      </c>
      <c r="P1096" t="s">
        <v>20</v>
      </c>
      <c r="Q1096" t="s">
        <v>40</v>
      </c>
    </row>
    <row r="1097" spans="1:17" x14ac:dyDescent="0.35">
      <c r="A1097">
        <v>473</v>
      </c>
      <c r="B1097">
        <v>46</v>
      </c>
      <c r="C1097" t="s">
        <v>16</v>
      </c>
      <c r="D1097">
        <v>155</v>
      </c>
      <c r="E1097">
        <v>64</v>
      </c>
      <c r="F1097" s="3">
        <v>29.741154823785099</v>
      </c>
      <c r="G1097" s="3" t="str">
        <f t="shared" si="17"/>
        <v>Overweight</v>
      </c>
      <c r="H1097" t="s">
        <v>104</v>
      </c>
      <c r="I1097" t="s">
        <v>18</v>
      </c>
      <c r="J1097" t="s">
        <v>20</v>
      </c>
      <c r="K1097" t="s">
        <v>22</v>
      </c>
      <c r="L1097" t="s">
        <v>32</v>
      </c>
      <c r="M1097" t="s">
        <v>19</v>
      </c>
      <c r="N1097" t="s">
        <v>21</v>
      </c>
      <c r="O1097" t="s">
        <v>20</v>
      </c>
      <c r="P1097" t="s">
        <v>20</v>
      </c>
      <c r="Q1097" t="s">
        <v>22</v>
      </c>
    </row>
    <row r="1098" spans="1:17" x14ac:dyDescent="0.35">
      <c r="A1098">
        <v>516</v>
      </c>
      <c r="B1098">
        <v>46</v>
      </c>
      <c r="C1098" t="s">
        <v>16</v>
      </c>
      <c r="D1098">
        <v>189</v>
      </c>
      <c r="E1098">
        <v>78</v>
      </c>
      <c r="F1098" s="3">
        <v>23.661764259149599</v>
      </c>
      <c r="G1098" s="3" t="str">
        <f t="shared" si="17"/>
        <v>Normal Weight</v>
      </c>
      <c r="H1098" t="s">
        <v>477</v>
      </c>
      <c r="I1098" t="s">
        <v>18</v>
      </c>
      <c r="J1098" t="s">
        <v>19</v>
      </c>
      <c r="K1098" t="s">
        <v>22</v>
      </c>
      <c r="L1098" t="s">
        <v>14</v>
      </c>
      <c r="M1098" t="s">
        <v>19</v>
      </c>
      <c r="N1098" t="s">
        <v>25</v>
      </c>
      <c r="O1098" t="s">
        <v>20</v>
      </c>
      <c r="P1098" t="s">
        <v>19</v>
      </c>
      <c r="Q1098" t="s">
        <v>18</v>
      </c>
    </row>
    <row r="1099" spans="1:17" x14ac:dyDescent="0.35">
      <c r="A1099">
        <v>626</v>
      </c>
      <c r="B1099">
        <v>46</v>
      </c>
      <c r="C1099" t="s">
        <v>27</v>
      </c>
      <c r="D1099">
        <v>187</v>
      </c>
      <c r="E1099">
        <v>94</v>
      </c>
      <c r="F1099" s="3">
        <v>24.477842585003302</v>
      </c>
      <c r="G1099" s="3" t="str">
        <f t="shared" si="17"/>
        <v>Normal Weight</v>
      </c>
      <c r="H1099" t="s">
        <v>567</v>
      </c>
      <c r="I1099" t="s">
        <v>24</v>
      </c>
      <c r="J1099" t="s">
        <v>20</v>
      </c>
      <c r="K1099" t="s">
        <v>22</v>
      </c>
      <c r="L1099" t="s">
        <v>14</v>
      </c>
      <c r="M1099" t="s">
        <v>19</v>
      </c>
      <c r="N1099" t="s">
        <v>25</v>
      </c>
      <c r="O1099" t="s">
        <v>19</v>
      </c>
      <c r="P1099" t="s">
        <v>20</v>
      </c>
      <c r="Q1099" t="s">
        <v>40</v>
      </c>
    </row>
    <row r="1100" spans="1:17" x14ac:dyDescent="0.35">
      <c r="A1100">
        <v>1134</v>
      </c>
      <c r="B1100">
        <v>33</v>
      </c>
      <c r="C1100" t="s">
        <v>27</v>
      </c>
      <c r="D1100">
        <v>155</v>
      </c>
      <c r="E1100">
        <v>86</v>
      </c>
      <c r="F1100" s="3">
        <v>18.848972085265299</v>
      </c>
      <c r="G1100" s="3" t="str">
        <f t="shared" si="17"/>
        <v>Normal Weight</v>
      </c>
      <c r="H1100" t="s">
        <v>882</v>
      </c>
      <c r="I1100" t="s">
        <v>18</v>
      </c>
      <c r="J1100" t="s">
        <v>19</v>
      </c>
      <c r="K1100" t="s">
        <v>18</v>
      </c>
      <c r="L1100" t="s">
        <v>29</v>
      </c>
      <c r="M1100" t="s">
        <v>20</v>
      </c>
      <c r="N1100" t="s">
        <v>25</v>
      </c>
      <c r="O1100" t="s">
        <v>19</v>
      </c>
      <c r="P1100" t="s">
        <v>20</v>
      </c>
      <c r="Q1100" t="s">
        <v>18</v>
      </c>
    </row>
    <row r="1101" spans="1:17" x14ac:dyDescent="0.35">
      <c r="A1101">
        <v>1135</v>
      </c>
      <c r="B1101">
        <v>48</v>
      </c>
      <c r="C1101" t="s">
        <v>16</v>
      </c>
      <c r="D1101">
        <v>150</v>
      </c>
      <c r="E1101">
        <v>93</v>
      </c>
      <c r="F1101" s="3">
        <v>25.412394136735099</v>
      </c>
      <c r="G1101" s="3" t="str">
        <f t="shared" si="17"/>
        <v>Overweight</v>
      </c>
      <c r="H1101" t="s">
        <v>883</v>
      </c>
      <c r="I1101" t="s">
        <v>24</v>
      </c>
      <c r="J1101" t="s">
        <v>20</v>
      </c>
      <c r="K1101" t="s">
        <v>18</v>
      </c>
      <c r="L1101" t="s">
        <v>32</v>
      </c>
      <c r="M1101" t="s">
        <v>19</v>
      </c>
      <c r="N1101" t="s">
        <v>21</v>
      </c>
      <c r="O1101" t="s">
        <v>20</v>
      </c>
      <c r="P1101" t="s">
        <v>20</v>
      </c>
      <c r="Q1101" t="s">
        <v>22</v>
      </c>
    </row>
    <row r="1102" spans="1:17" x14ac:dyDescent="0.35">
      <c r="A1102">
        <v>721</v>
      </c>
      <c r="B1102">
        <v>46</v>
      </c>
      <c r="C1102" t="s">
        <v>27</v>
      </c>
      <c r="D1102">
        <v>167</v>
      </c>
      <c r="E1102">
        <v>87</v>
      </c>
      <c r="F1102" s="3">
        <v>28.066581923243699</v>
      </c>
      <c r="G1102" s="3" t="str">
        <f t="shared" si="17"/>
        <v>Overweight</v>
      </c>
      <c r="H1102" t="s">
        <v>636</v>
      </c>
      <c r="I1102" t="s">
        <v>18</v>
      </c>
      <c r="J1102" t="s">
        <v>19</v>
      </c>
      <c r="K1102" t="s">
        <v>22</v>
      </c>
      <c r="L1102" t="s">
        <v>14</v>
      </c>
      <c r="M1102" t="s">
        <v>20</v>
      </c>
      <c r="N1102" t="s">
        <v>21</v>
      </c>
      <c r="O1102" t="s">
        <v>20</v>
      </c>
      <c r="P1102" t="s">
        <v>19</v>
      </c>
      <c r="Q1102" t="s">
        <v>22</v>
      </c>
    </row>
    <row r="1103" spans="1:17" x14ac:dyDescent="0.35">
      <c r="A1103">
        <v>736</v>
      </c>
      <c r="B1103">
        <v>46</v>
      </c>
      <c r="C1103" t="s">
        <v>16</v>
      </c>
      <c r="D1103">
        <v>172</v>
      </c>
      <c r="E1103">
        <v>61</v>
      </c>
      <c r="F1103" s="3">
        <v>21.086547072752001</v>
      </c>
      <c r="G1103" s="3" t="str">
        <f t="shared" si="17"/>
        <v>Normal Weight</v>
      </c>
      <c r="H1103" t="s">
        <v>645</v>
      </c>
      <c r="I1103" t="s">
        <v>31</v>
      </c>
      <c r="J1103" t="s">
        <v>20</v>
      </c>
      <c r="K1103" t="s">
        <v>22</v>
      </c>
      <c r="L1103" t="s">
        <v>14</v>
      </c>
      <c r="M1103" t="s">
        <v>20</v>
      </c>
      <c r="N1103" t="s">
        <v>25</v>
      </c>
      <c r="O1103" t="s">
        <v>19</v>
      </c>
      <c r="P1103" t="s">
        <v>20</v>
      </c>
      <c r="Q1103" t="s">
        <v>18</v>
      </c>
    </row>
    <row r="1104" spans="1:17" x14ac:dyDescent="0.35">
      <c r="A1104">
        <v>823</v>
      </c>
      <c r="B1104">
        <v>46</v>
      </c>
      <c r="C1104" t="s">
        <v>16</v>
      </c>
      <c r="D1104">
        <v>169</v>
      </c>
      <c r="E1104">
        <v>69</v>
      </c>
      <c r="F1104" s="3">
        <v>32.079558978374401</v>
      </c>
      <c r="G1104" s="3" t="str">
        <f t="shared" si="17"/>
        <v>Obese</v>
      </c>
      <c r="H1104" t="s">
        <v>702</v>
      </c>
      <c r="I1104" t="s">
        <v>18</v>
      </c>
      <c r="J1104" t="s">
        <v>19</v>
      </c>
      <c r="K1104" t="s">
        <v>22</v>
      </c>
      <c r="L1104" t="s">
        <v>38</v>
      </c>
      <c r="M1104" t="s">
        <v>19</v>
      </c>
      <c r="N1104" t="s">
        <v>21</v>
      </c>
      <c r="O1104" t="s">
        <v>19</v>
      </c>
      <c r="P1104" t="s">
        <v>20</v>
      </c>
      <c r="Q1104" t="s">
        <v>22</v>
      </c>
    </row>
    <row r="1105" spans="1:17" x14ac:dyDescent="0.35">
      <c r="A1105">
        <v>1136</v>
      </c>
      <c r="B1105">
        <v>28</v>
      </c>
      <c r="C1105" t="s">
        <v>16</v>
      </c>
      <c r="D1105">
        <v>172</v>
      </c>
      <c r="E1105">
        <v>50</v>
      </c>
      <c r="F1105" s="3">
        <v>31.3017735758459</v>
      </c>
      <c r="G1105" s="3" t="str">
        <f t="shared" si="17"/>
        <v>Obese</v>
      </c>
      <c r="H1105" t="s">
        <v>884</v>
      </c>
      <c r="I1105" t="s">
        <v>18</v>
      </c>
      <c r="J1105" t="s">
        <v>20</v>
      </c>
      <c r="K1105" t="s">
        <v>18</v>
      </c>
      <c r="L1105" t="s">
        <v>32</v>
      </c>
      <c r="M1105" t="s">
        <v>20</v>
      </c>
      <c r="N1105" t="s">
        <v>25</v>
      </c>
      <c r="O1105" t="s">
        <v>20</v>
      </c>
      <c r="P1105" t="s">
        <v>20</v>
      </c>
      <c r="Q1105" t="s">
        <v>22</v>
      </c>
    </row>
    <row r="1106" spans="1:17" x14ac:dyDescent="0.35">
      <c r="A1106">
        <v>973</v>
      </c>
      <c r="B1106">
        <v>46</v>
      </c>
      <c r="C1106" t="s">
        <v>27</v>
      </c>
      <c r="D1106">
        <v>159</v>
      </c>
      <c r="E1106">
        <v>85</v>
      </c>
      <c r="F1106" s="3">
        <v>28.6392410942106</v>
      </c>
      <c r="G1106" s="3" t="str">
        <f t="shared" si="17"/>
        <v>Overweight</v>
      </c>
      <c r="H1106" t="s">
        <v>26</v>
      </c>
      <c r="I1106" t="s">
        <v>18</v>
      </c>
      <c r="J1106" t="s">
        <v>19</v>
      </c>
      <c r="K1106" t="s">
        <v>22</v>
      </c>
      <c r="L1106" t="s">
        <v>38</v>
      </c>
      <c r="M1106" t="s">
        <v>20</v>
      </c>
      <c r="N1106" t="s">
        <v>25</v>
      </c>
      <c r="O1106" t="s">
        <v>19</v>
      </c>
      <c r="P1106" t="s">
        <v>19</v>
      </c>
      <c r="Q1106" t="s">
        <v>18</v>
      </c>
    </row>
    <row r="1107" spans="1:17" x14ac:dyDescent="0.35">
      <c r="A1107">
        <v>1108</v>
      </c>
      <c r="B1107">
        <v>46</v>
      </c>
      <c r="C1107" t="s">
        <v>27</v>
      </c>
      <c r="D1107">
        <v>180</v>
      </c>
      <c r="E1107">
        <v>57</v>
      </c>
      <c r="F1107" s="3">
        <v>27.950746410662202</v>
      </c>
      <c r="G1107" s="3" t="str">
        <f t="shared" si="17"/>
        <v>Overweight</v>
      </c>
      <c r="H1107" t="s">
        <v>515</v>
      </c>
      <c r="I1107" t="s">
        <v>31</v>
      </c>
      <c r="J1107" t="s">
        <v>20</v>
      </c>
      <c r="K1107" t="s">
        <v>22</v>
      </c>
      <c r="L1107" t="s">
        <v>29</v>
      </c>
      <c r="M1107" t="s">
        <v>19</v>
      </c>
      <c r="N1107" t="s">
        <v>25</v>
      </c>
      <c r="O1107" t="s">
        <v>20</v>
      </c>
      <c r="P1107" t="s">
        <v>20</v>
      </c>
      <c r="Q1107" t="s">
        <v>22</v>
      </c>
    </row>
    <row r="1108" spans="1:17" x14ac:dyDescent="0.35">
      <c r="A1108">
        <v>1140</v>
      </c>
      <c r="B1108">
        <v>21</v>
      </c>
      <c r="C1108" t="s">
        <v>27</v>
      </c>
      <c r="D1108">
        <v>178</v>
      </c>
      <c r="E1108">
        <v>95</v>
      </c>
      <c r="F1108" s="3">
        <v>30.742923953581801</v>
      </c>
      <c r="G1108" s="3" t="str">
        <f t="shared" si="17"/>
        <v>Obese</v>
      </c>
      <c r="H1108" t="s">
        <v>887</v>
      </c>
      <c r="I1108" t="s">
        <v>31</v>
      </c>
      <c r="J1108" t="s">
        <v>20</v>
      </c>
      <c r="K1108" t="s">
        <v>18</v>
      </c>
      <c r="L1108" t="s">
        <v>14</v>
      </c>
      <c r="M1108" t="s">
        <v>20</v>
      </c>
      <c r="N1108" t="s">
        <v>21</v>
      </c>
      <c r="O1108" t="s">
        <v>19</v>
      </c>
      <c r="P1108" t="s">
        <v>20</v>
      </c>
      <c r="Q1108" t="s">
        <v>22</v>
      </c>
    </row>
    <row r="1109" spans="1:17" x14ac:dyDescent="0.35">
      <c r="A1109">
        <v>1141</v>
      </c>
      <c r="B1109">
        <v>57</v>
      </c>
      <c r="C1109" t="s">
        <v>16</v>
      </c>
      <c r="D1109">
        <v>158</v>
      </c>
      <c r="E1109">
        <v>57</v>
      </c>
      <c r="F1109" s="3">
        <v>19.3626052039345</v>
      </c>
      <c r="G1109" s="3" t="str">
        <f t="shared" si="17"/>
        <v>Normal Weight</v>
      </c>
      <c r="H1109" t="s">
        <v>888</v>
      </c>
      <c r="I1109" t="s">
        <v>18</v>
      </c>
      <c r="J1109" t="s">
        <v>19</v>
      </c>
      <c r="K1109" t="s">
        <v>18</v>
      </c>
      <c r="L1109" t="s">
        <v>14</v>
      </c>
      <c r="M1109" t="s">
        <v>19</v>
      </c>
      <c r="N1109" t="s">
        <v>25</v>
      </c>
      <c r="O1109" t="s">
        <v>20</v>
      </c>
      <c r="P1109" t="s">
        <v>20</v>
      </c>
      <c r="Q1109" t="s">
        <v>18</v>
      </c>
    </row>
    <row r="1110" spans="1:17" x14ac:dyDescent="0.35">
      <c r="A1110">
        <v>1458</v>
      </c>
      <c r="B1110">
        <v>46</v>
      </c>
      <c r="C1110" t="s">
        <v>27</v>
      </c>
      <c r="D1110">
        <v>186</v>
      </c>
      <c r="E1110">
        <v>73</v>
      </c>
      <c r="F1110" s="3">
        <v>25.034898877685201</v>
      </c>
      <c r="G1110" s="3" t="str">
        <f t="shared" si="17"/>
        <v>Overweight</v>
      </c>
      <c r="H1110" t="s">
        <v>151</v>
      </c>
      <c r="I1110" t="s">
        <v>18</v>
      </c>
      <c r="J1110" t="s">
        <v>19</v>
      </c>
      <c r="K1110" t="s">
        <v>22</v>
      </c>
      <c r="L1110" t="s">
        <v>32</v>
      </c>
      <c r="M1110" t="s">
        <v>20</v>
      </c>
      <c r="N1110" t="s">
        <v>25</v>
      </c>
      <c r="O1110" t="s">
        <v>20</v>
      </c>
      <c r="P1110" t="s">
        <v>20</v>
      </c>
      <c r="Q1110" t="s">
        <v>22</v>
      </c>
    </row>
    <row r="1111" spans="1:17" x14ac:dyDescent="0.35">
      <c r="A1111">
        <v>1146</v>
      </c>
      <c r="B1111">
        <v>49</v>
      </c>
      <c r="C1111" t="s">
        <v>16</v>
      </c>
      <c r="D1111">
        <v>152</v>
      </c>
      <c r="E1111">
        <v>74</v>
      </c>
      <c r="F1111" s="3">
        <v>30.424278978829001</v>
      </c>
      <c r="G1111" s="3" t="str">
        <f t="shared" si="17"/>
        <v>Obese</v>
      </c>
      <c r="H1111" t="s">
        <v>388</v>
      </c>
      <c r="I1111" t="s">
        <v>24</v>
      </c>
      <c r="J1111" t="s">
        <v>20</v>
      </c>
      <c r="K1111" t="s">
        <v>18</v>
      </c>
      <c r="L1111" t="s">
        <v>29</v>
      </c>
      <c r="M1111" t="s">
        <v>19</v>
      </c>
      <c r="N1111" t="s">
        <v>21</v>
      </c>
      <c r="O1111" t="s">
        <v>19</v>
      </c>
      <c r="P1111" t="s">
        <v>20</v>
      </c>
      <c r="Q1111" t="s">
        <v>18</v>
      </c>
    </row>
    <row r="1112" spans="1:17" x14ac:dyDescent="0.35">
      <c r="A1112">
        <v>1494</v>
      </c>
      <c r="B1112">
        <v>46</v>
      </c>
      <c r="C1112" t="s">
        <v>27</v>
      </c>
      <c r="D1112">
        <v>178</v>
      </c>
      <c r="E1112">
        <v>73</v>
      </c>
      <c r="F1112" s="3">
        <v>27.602851468806598</v>
      </c>
      <c r="G1112" s="3" t="str">
        <f t="shared" si="17"/>
        <v>Overweight</v>
      </c>
      <c r="H1112" t="s">
        <v>477</v>
      </c>
      <c r="I1112" t="s">
        <v>31</v>
      </c>
      <c r="J1112" t="s">
        <v>19</v>
      </c>
      <c r="K1112" t="s">
        <v>22</v>
      </c>
      <c r="L1112" t="s">
        <v>14</v>
      </c>
      <c r="M1112" t="s">
        <v>19</v>
      </c>
      <c r="N1112" t="s">
        <v>25</v>
      </c>
      <c r="O1112" t="s">
        <v>20</v>
      </c>
      <c r="P1112" t="s">
        <v>20</v>
      </c>
      <c r="Q1112" t="s">
        <v>40</v>
      </c>
    </row>
    <row r="1113" spans="1:17" x14ac:dyDescent="0.35">
      <c r="A1113">
        <v>1497</v>
      </c>
      <c r="B1113">
        <v>46</v>
      </c>
      <c r="C1113" t="s">
        <v>27</v>
      </c>
      <c r="D1113">
        <v>188</v>
      </c>
      <c r="E1113">
        <v>55</v>
      </c>
      <c r="F1113" s="3">
        <v>25.600662365869599</v>
      </c>
      <c r="G1113" s="3" t="str">
        <f t="shared" si="17"/>
        <v>Overweight</v>
      </c>
      <c r="H1113" t="s">
        <v>1069</v>
      </c>
      <c r="I1113" t="s">
        <v>24</v>
      </c>
      <c r="J1113" t="s">
        <v>20</v>
      </c>
      <c r="K1113" t="s">
        <v>22</v>
      </c>
      <c r="L1113" t="s">
        <v>38</v>
      </c>
      <c r="M1113" t="s">
        <v>19</v>
      </c>
      <c r="N1113" t="s">
        <v>25</v>
      </c>
      <c r="O1113" t="s">
        <v>19</v>
      </c>
      <c r="P1113" t="s">
        <v>19</v>
      </c>
      <c r="Q1113" t="s">
        <v>18</v>
      </c>
    </row>
    <row r="1114" spans="1:17" x14ac:dyDescent="0.35">
      <c r="A1114">
        <v>1148</v>
      </c>
      <c r="B1114">
        <v>44</v>
      </c>
      <c r="C1114" t="s">
        <v>16</v>
      </c>
      <c r="D1114">
        <v>161</v>
      </c>
      <c r="E1114">
        <v>75</v>
      </c>
      <c r="F1114" s="3">
        <v>33.4475425753716</v>
      </c>
      <c r="G1114" s="3" t="str">
        <f t="shared" si="17"/>
        <v>Obese</v>
      </c>
      <c r="H1114" t="s">
        <v>893</v>
      </c>
      <c r="I1114" t="s">
        <v>31</v>
      </c>
      <c r="J1114" t="s">
        <v>20</v>
      </c>
      <c r="K1114" t="s">
        <v>18</v>
      </c>
      <c r="L1114" t="s">
        <v>14</v>
      </c>
      <c r="M1114" t="s">
        <v>19</v>
      </c>
      <c r="N1114" t="s">
        <v>21</v>
      </c>
      <c r="O1114" t="s">
        <v>19</v>
      </c>
      <c r="P1114" t="s">
        <v>19</v>
      </c>
      <c r="Q1114" t="s">
        <v>18</v>
      </c>
    </row>
    <row r="1115" spans="1:17" x14ac:dyDescent="0.35">
      <c r="A1115">
        <v>1617</v>
      </c>
      <c r="B1115">
        <v>46</v>
      </c>
      <c r="C1115" t="s">
        <v>27</v>
      </c>
      <c r="D1115">
        <v>175</v>
      </c>
      <c r="E1115">
        <v>86</v>
      </c>
      <c r="F1115" s="3">
        <v>19.795412829484501</v>
      </c>
      <c r="G1115" s="3" t="str">
        <f t="shared" si="17"/>
        <v>Normal Weight</v>
      </c>
      <c r="H1115" t="s">
        <v>806</v>
      </c>
      <c r="I1115" t="s">
        <v>24</v>
      </c>
      <c r="J1115" t="s">
        <v>20</v>
      </c>
      <c r="K1115" t="s">
        <v>22</v>
      </c>
      <c r="L1115" t="s">
        <v>38</v>
      </c>
      <c r="M1115" t="s">
        <v>20</v>
      </c>
      <c r="N1115" t="s">
        <v>25</v>
      </c>
      <c r="O1115" t="s">
        <v>20</v>
      </c>
      <c r="P1115" t="s">
        <v>20</v>
      </c>
      <c r="Q1115" t="s">
        <v>22</v>
      </c>
    </row>
    <row r="1116" spans="1:17" x14ac:dyDescent="0.35">
      <c r="A1116">
        <v>1149</v>
      </c>
      <c r="B1116">
        <v>46</v>
      </c>
      <c r="C1116" t="s">
        <v>27</v>
      </c>
      <c r="D1116">
        <v>150</v>
      </c>
      <c r="E1116">
        <v>95</v>
      </c>
      <c r="F1116" s="3">
        <v>20.589512571053099</v>
      </c>
      <c r="G1116" s="3" t="str">
        <f t="shared" si="17"/>
        <v>Normal Weight</v>
      </c>
      <c r="H1116" t="s">
        <v>894</v>
      </c>
      <c r="I1116" t="s">
        <v>31</v>
      </c>
      <c r="J1116" t="s">
        <v>20</v>
      </c>
      <c r="K1116" t="s">
        <v>18</v>
      </c>
      <c r="L1116" t="s">
        <v>38</v>
      </c>
      <c r="M1116" t="s">
        <v>20</v>
      </c>
      <c r="N1116" t="s">
        <v>21</v>
      </c>
      <c r="O1116" t="s">
        <v>19</v>
      </c>
      <c r="P1116" t="s">
        <v>20</v>
      </c>
      <c r="Q1116" t="s">
        <v>18</v>
      </c>
    </row>
    <row r="1117" spans="1:17" x14ac:dyDescent="0.35">
      <c r="A1117">
        <v>1150</v>
      </c>
      <c r="B1117">
        <v>49</v>
      </c>
      <c r="C1117" t="s">
        <v>16</v>
      </c>
      <c r="D1117">
        <v>166</v>
      </c>
      <c r="E1117">
        <v>97</v>
      </c>
      <c r="F1117" s="3">
        <v>21.445576522997801</v>
      </c>
      <c r="G1117" s="3" t="str">
        <f t="shared" si="17"/>
        <v>Normal Weight</v>
      </c>
      <c r="H1117" t="s">
        <v>895</v>
      </c>
      <c r="I1117" t="s">
        <v>18</v>
      </c>
      <c r="J1117" t="s">
        <v>20</v>
      </c>
      <c r="K1117" t="s">
        <v>18</v>
      </c>
      <c r="L1117" t="s">
        <v>32</v>
      </c>
      <c r="M1117" t="s">
        <v>20</v>
      </c>
      <c r="N1117" t="s">
        <v>21</v>
      </c>
      <c r="O1117" t="s">
        <v>19</v>
      </c>
      <c r="P1117" t="s">
        <v>20</v>
      </c>
      <c r="Q1117" t="s">
        <v>18</v>
      </c>
    </row>
    <row r="1118" spans="1:17" x14ac:dyDescent="0.35">
      <c r="A1118">
        <v>1154</v>
      </c>
      <c r="B1118">
        <v>68</v>
      </c>
      <c r="C1118" t="s">
        <v>27</v>
      </c>
      <c r="D1118">
        <v>185</v>
      </c>
      <c r="E1118">
        <v>72</v>
      </c>
      <c r="F1118" s="3">
        <v>34.0721453064982</v>
      </c>
      <c r="G1118" s="3" t="str">
        <f t="shared" si="17"/>
        <v>Obese</v>
      </c>
      <c r="H1118" t="s">
        <v>897</v>
      </c>
      <c r="I1118" t="s">
        <v>24</v>
      </c>
      <c r="J1118" t="s">
        <v>19</v>
      </c>
      <c r="K1118" t="s">
        <v>18</v>
      </c>
      <c r="L1118" t="s">
        <v>32</v>
      </c>
      <c r="M1118" t="s">
        <v>19</v>
      </c>
      <c r="N1118" t="s">
        <v>21</v>
      </c>
      <c r="O1118" t="s">
        <v>20</v>
      </c>
      <c r="P1118" t="s">
        <v>20</v>
      </c>
      <c r="Q1118" t="s">
        <v>18</v>
      </c>
    </row>
    <row r="1119" spans="1:17" x14ac:dyDescent="0.35">
      <c r="A1119">
        <v>1155</v>
      </c>
      <c r="B1119">
        <v>36</v>
      </c>
      <c r="C1119" t="s">
        <v>16</v>
      </c>
      <c r="D1119">
        <v>181</v>
      </c>
      <c r="E1119">
        <v>92</v>
      </c>
      <c r="F1119" s="3">
        <v>34.612079408940097</v>
      </c>
      <c r="G1119" s="3" t="str">
        <f t="shared" si="17"/>
        <v>Obese</v>
      </c>
      <c r="H1119" t="s">
        <v>453</v>
      </c>
      <c r="I1119" t="s">
        <v>24</v>
      </c>
      <c r="J1119" t="s">
        <v>19</v>
      </c>
      <c r="K1119" t="s">
        <v>18</v>
      </c>
      <c r="L1119" t="s">
        <v>29</v>
      </c>
      <c r="M1119" t="s">
        <v>19</v>
      </c>
      <c r="N1119" t="s">
        <v>21</v>
      </c>
      <c r="O1119" t="s">
        <v>20</v>
      </c>
      <c r="P1119" t="s">
        <v>20</v>
      </c>
      <c r="Q1119" t="s">
        <v>18</v>
      </c>
    </row>
    <row r="1120" spans="1:17" x14ac:dyDescent="0.35">
      <c r="A1120">
        <v>1745</v>
      </c>
      <c r="B1120">
        <v>46</v>
      </c>
      <c r="C1120" t="s">
        <v>16</v>
      </c>
      <c r="D1120">
        <v>174</v>
      </c>
      <c r="E1120">
        <v>97</v>
      </c>
      <c r="F1120" s="3">
        <v>27.925013142899999</v>
      </c>
      <c r="G1120" s="3" t="str">
        <f t="shared" si="17"/>
        <v>Overweight</v>
      </c>
      <c r="H1120" t="s">
        <v>1177</v>
      </c>
      <c r="I1120" t="s">
        <v>24</v>
      </c>
      <c r="J1120" t="s">
        <v>20</v>
      </c>
      <c r="K1120" t="s">
        <v>22</v>
      </c>
      <c r="L1120" t="s">
        <v>38</v>
      </c>
      <c r="M1120" t="s">
        <v>20</v>
      </c>
      <c r="N1120" t="s">
        <v>21</v>
      </c>
      <c r="O1120" t="s">
        <v>19</v>
      </c>
      <c r="P1120" t="s">
        <v>20</v>
      </c>
      <c r="Q1120" t="s">
        <v>40</v>
      </c>
    </row>
    <row r="1121" spans="1:17" x14ac:dyDescent="0.35">
      <c r="A1121">
        <v>1802</v>
      </c>
      <c r="B1121">
        <v>46</v>
      </c>
      <c r="C1121" t="s">
        <v>27</v>
      </c>
      <c r="D1121">
        <v>186</v>
      </c>
      <c r="E1121">
        <v>61</v>
      </c>
      <c r="F1121" s="3">
        <v>27.943200562896202</v>
      </c>
      <c r="G1121" s="3" t="str">
        <f t="shared" si="17"/>
        <v>Overweight</v>
      </c>
      <c r="H1121" t="s">
        <v>1200</v>
      </c>
      <c r="I1121" t="s">
        <v>18</v>
      </c>
      <c r="J1121" t="s">
        <v>20</v>
      </c>
      <c r="K1121" t="s">
        <v>22</v>
      </c>
      <c r="L1121" t="s">
        <v>32</v>
      </c>
      <c r="M1121" t="s">
        <v>19</v>
      </c>
      <c r="N1121" t="s">
        <v>25</v>
      </c>
      <c r="O1121" t="s">
        <v>19</v>
      </c>
      <c r="P1121" t="s">
        <v>19</v>
      </c>
      <c r="Q1121" t="s">
        <v>40</v>
      </c>
    </row>
    <row r="1122" spans="1:17" x14ac:dyDescent="0.35">
      <c r="A1122">
        <v>1858</v>
      </c>
      <c r="B1122">
        <v>46</v>
      </c>
      <c r="C1122" t="s">
        <v>16</v>
      </c>
      <c r="D1122">
        <v>160</v>
      </c>
      <c r="E1122">
        <v>50</v>
      </c>
      <c r="F1122" s="3">
        <v>31.6264824667896</v>
      </c>
      <c r="G1122" s="3" t="str">
        <f t="shared" si="17"/>
        <v>Obese</v>
      </c>
      <c r="H1122" t="s">
        <v>1221</v>
      </c>
      <c r="I1122" t="s">
        <v>31</v>
      </c>
      <c r="J1122" t="s">
        <v>20</v>
      </c>
      <c r="K1122" t="s">
        <v>22</v>
      </c>
      <c r="L1122" t="s">
        <v>29</v>
      </c>
      <c r="M1122" t="s">
        <v>20</v>
      </c>
      <c r="N1122" t="s">
        <v>25</v>
      </c>
      <c r="O1122" t="s">
        <v>20</v>
      </c>
      <c r="P1122" t="s">
        <v>20</v>
      </c>
      <c r="Q1122" t="s">
        <v>18</v>
      </c>
    </row>
    <row r="1123" spans="1:17" x14ac:dyDescent="0.35">
      <c r="A1123">
        <v>1157</v>
      </c>
      <c r="B1123">
        <v>22</v>
      </c>
      <c r="C1123" t="s">
        <v>27</v>
      </c>
      <c r="D1123">
        <v>153</v>
      </c>
      <c r="E1123">
        <v>96</v>
      </c>
      <c r="F1123" s="3">
        <v>33.734219346729901</v>
      </c>
      <c r="G1123" s="3" t="str">
        <f t="shared" si="17"/>
        <v>Obese</v>
      </c>
      <c r="H1123" t="s">
        <v>744</v>
      </c>
      <c r="I1123" t="s">
        <v>24</v>
      </c>
      <c r="J1123" t="s">
        <v>20</v>
      </c>
      <c r="K1123" t="s">
        <v>18</v>
      </c>
      <c r="L1123" t="s">
        <v>32</v>
      </c>
      <c r="M1123" t="s">
        <v>19</v>
      </c>
      <c r="N1123" t="s">
        <v>25</v>
      </c>
      <c r="O1123" t="s">
        <v>19</v>
      </c>
      <c r="P1123" t="s">
        <v>20</v>
      </c>
      <c r="Q1123" t="s">
        <v>22</v>
      </c>
    </row>
    <row r="1124" spans="1:17" x14ac:dyDescent="0.35">
      <c r="A1124">
        <v>1159</v>
      </c>
      <c r="B1124">
        <v>45</v>
      </c>
      <c r="C1124" t="s">
        <v>27</v>
      </c>
      <c r="D1124">
        <v>168</v>
      </c>
      <c r="E1124">
        <v>92</v>
      </c>
      <c r="F1124" s="3">
        <v>22.9507506869171</v>
      </c>
      <c r="G1124" s="3" t="str">
        <f t="shared" si="17"/>
        <v>Normal Weight</v>
      </c>
      <c r="H1124" t="s">
        <v>845</v>
      </c>
      <c r="I1124" t="s">
        <v>31</v>
      </c>
      <c r="J1124" t="s">
        <v>20</v>
      </c>
      <c r="K1124" t="s">
        <v>18</v>
      </c>
      <c r="L1124" t="s">
        <v>32</v>
      </c>
      <c r="M1124" t="s">
        <v>20</v>
      </c>
      <c r="N1124" t="s">
        <v>25</v>
      </c>
      <c r="O1124" t="s">
        <v>19</v>
      </c>
      <c r="P1124" t="s">
        <v>20</v>
      </c>
      <c r="Q1124" t="s">
        <v>18</v>
      </c>
    </row>
    <row r="1125" spans="1:17" x14ac:dyDescent="0.35">
      <c r="A1125">
        <v>74</v>
      </c>
      <c r="B1125">
        <v>45</v>
      </c>
      <c r="C1125" t="s">
        <v>27</v>
      </c>
      <c r="D1125">
        <v>170</v>
      </c>
      <c r="E1125">
        <v>90</v>
      </c>
      <c r="F1125" s="3">
        <v>20.5014994670913</v>
      </c>
      <c r="G1125" s="3" t="str">
        <f t="shared" si="17"/>
        <v>Normal Weight</v>
      </c>
      <c r="H1125" t="s">
        <v>103</v>
      </c>
      <c r="I1125" t="s">
        <v>31</v>
      </c>
      <c r="J1125" t="s">
        <v>19</v>
      </c>
      <c r="K1125" t="s">
        <v>22</v>
      </c>
      <c r="L1125" t="s">
        <v>14</v>
      </c>
      <c r="M1125" t="s">
        <v>19</v>
      </c>
      <c r="N1125" t="s">
        <v>21</v>
      </c>
      <c r="O1125" t="s">
        <v>20</v>
      </c>
      <c r="P1125" t="s">
        <v>20</v>
      </c>
      <c r="Q1125" t="s">
        <v>18</v>
      </c>
    </row>
    <row r="1126" spans="1:17" x14ac:dyDescent="0.35">
      <c r="A1126">
        <v>1160</v>
      </c>
      <c r="B1126">
        <v>59</v>
      </c>
      <c r="C1126" t="s">
        <v>16</v>
      </c>
      <c r="D1126">
        <v>184</v>
      </c>
      <c r="E1126">
        <v>74</v>
      </c>
      <c r="F1126" s="3">
        <v>30.089578897829799</v>
      </c>
      <c r="G1126" s="3" t="str">
        <f t="shared" si="17"/>
        <v>Obese</v>
      </c>
      <c r="H1126" t="s">
        <v>775</v>
      </c>
      <c r="I1126" t="s">
        <v>18</v>
      </c>
      <c r="J1126" t="s">
        <v>19</v>
      </c>
      <c r="K1126" t="s">
        <v>18</v>
      </c>
      <c r="L1126" t="s">
        <v>29</v>
      </c>
      <c r="M1126" t="s">
        <v>19</v>
      </c>
      <c r="N1126" t="s">
        <v>25</v>
      </c>
      <c r="O1126" t="s">
        <v>19</v>
      </c>
      <c r="P1126" t="s">
        <v>20</v>
      </c>
      <c r="Q1126" t="s">
        <v>22</v>
      </c>
    </row>
    <row r="1127" spans="1:17" x14ac:dyDescent="0.35">
      <c r="A1127">
        <v>216</v>
      </c>
      <c r="B1127">
        <v>45</v>
      </c>
      <c r="C1127" t="s">
        <v>27</v>
      </c>
      <c r="D1127">
        <v>187</v>
      </c>
      <c r="E1127">
        <v>74</v>
      </c>
      <c r="F1127" s="3">
        <v>27.8293630059168</v>
      </c>
      <c r="G1127" s="3" t="str">
        <f t="shared" si="17"/>
        <v>Overweight</v>
      </c>
      <c r="H1127" t="s">
        <v>232</v>
      </c>
      <c r="I1127" t="s">
        <v>24</v>
      </c>
      <c r="J1127" t="s">
        <v>20</v>
      </c>
      <c r="K1127" t="s">
        <v>22</v>
      </c>
      <c r="L1127" t="s">
        <v>29</v>
      </c>
      <c r="M1127" t="s">
        <v>20</v>
      </c>
      <c r="N1127" t="s">
        <v>25</v>
      </c>
      <c r="O1127" t="s">
        <v>19</v>
      </c>
      <c r="P1127" t="s">
        <v>19</v>
      </c>
      <c r="Q1127" t="s">
        <v>40</v>
      </c>
    </row>
    <row r="1128" spans="1:17" x14ac:dyDescent="0.35">
      <c r="A1128">
        <v>1161</v>
      </c>
      <c r="B1128">
        <v>78</v>
      </c>
      <c r="C1128" t="s">
        <v>27</v>
      </c>
      <c r="D1128">
        <v>189</v>
      </c>
      <c r="E1128">
        <v>67</v>
      </c>
      <c r="F1128" s="3">
        <v>29.371879808485101</v>
      </c>
      <c r="G1128" s="3" t="str">
        <f t="shared" si="17"/>
        <v>Overweight</v>
      </c>
      <c r="H1128" t="s">
        <v>900</v>
      </c>
      <c r="I1128" t="s">
        <v>31</v>
      </c>
      <c r="J1128" t="s">
        <v>19</v>
      </c>
      <c r="K1128" t="s">
        <v>40</v>
      </c>
      <c r="L1128" t="s">
        <v>14</v>
      </c>
      <c r="M1128" t="s">
        <v>20</v>
      </c>
      <c r="N1128" t="s">
        <v>21</v>
      </c>
      <c r="O1128" t="s">
        <v>19</v>
      </c>
      <c r="P1128" t="s">
        <v>19</v>
      </c>
      <c r="Q1128" t="s">
        <v>22</v>
      </c>
    </row>
    <row r="1129" spans="1:17" x14ac:dyDescent="0.35">
      <c r="A1129">
        <v>1162</v>
      </c>
      <c r="B1129">
        <v>39</v>
      </c>
      <c r="C1129" t="s">
        <v>27</v>
      </c>
      <c r="D1129">
        <v>163</v>
      </c>
      <c r="E1129">
        <v>62</v>
      </c>
      <c r="F1129" s="3">
        <v>34.820567765294101</v>
      </c>
      <c r="G1129" s="3" t="str">
        <f t="shared" si="17"/>
        <v>Obese</v>
      </c>
      <c r="H1129" t="s">
        <v>901</v>
      </c>
      <c r="I1129" t="s">
        <v>31</v>
      </c>
      <c r="J1129" t="s">
        <v>20</v>
      </c>
      <c r="K1129" t="s">
        <v>18</v>
      </c>
      <c r="L1129" t="s">
        <v>38</v>
      </c>
      <c r="M1129" t="s">
        <v>19</v>
      </c>
      <c r="N1129" t="s">
        <v>21</v>
      </c>
      <c r="O1129" t="s">
        <v>19</v>
      </c>
      <c r="P1129" t="s">
        <v>19</v>
      </c>
      <c r="Q1129" t="s">
        <v>18</v>
      </c>
    </row>
    <row r="1130" spans="1:17" x14ac:dyDescent="0.35">
      <c r="A1130">
        <v>1163</v>
      </c>
      <c r="B1130">
        <v>38</v>
      </c>
      <c r="C1130" t="s">
        <v>27</v>
      </c>
      <c r="D1130">
        <v>182</v>
      </c>
      <c r="E1130">
        <v>92</v>
      </c>
      <c r="F1130" s="3">
        <v>22.873280242253099</v>
      </c>
      <c r="G1130" s="3" t="str">
        <f t="shared" si="17"/>
        <v>Normal Weight</v>
      </c>
      <c r="H1130" t="s">
        <v>99</v>
      </c>
      <c r="I1130" t="s">
        <v>31</v>
      </c>
      <c r="J1130" t="s">
        <v>20</v>
      </c>
      <c r="K1130" t="s">
        <v>18</v>
      </c>
      <c r="L1130" t="s">
        <v>38</v>
      </c>
      <c r="M1130" t="s">
        <v>20</v>
      </c>
      <c r="N1130" t="s">
        <v>25</v>
      </c>
      <c r="O1130" t="s">
        <v>19</v>
      </c>
      <c r="P1130" t="s">
        <v>19</v>
      </c>
      <c r="Q1130" t="s">
        <v>18</v>
      </c>
    </row>
    <row r="1131" spans="1:17" x14ac:dyDescent="0.35">
      <c r="A1131">
        <v>1164</v>
      </c>
      <c r="B1131">
        <v>23</v>
      </c>
      <c r="C1131" t="s">
        <v>16</v>
      </c>
      <c r="D1131">
        <v>163</v>
      </c>
      <c r="E1131">
        <v>63</v>
      </c>
      <c r="F1131" s="3">
        <v>29.588981793918599</v>
      </c>
      <c r="G1131" s="3" t="str">
        <f t="shared" si="17"/>
        <v>Overweight</v>
      </c>
      <c r="H1131" t="s">
        <v>527</v>
      </c>
      <c r="I1131" t="s">
        <v>18</v>
      </c>
      <c r="J1131" t="s">
        <v>19</v>
      </c>
      <c r="K1131" t="s">
        <v>18</v>
      </c>
      <c r="L1131" t="s">
        <v>14</v>
      </c>
      <c r="M1131" t="s">
        <v>20</v>
      </c>
      <c r="N1131" t="s">
        <v>25</v>
      </c>
      <c r="O1131" t="s">
        <v>20</v>
      </c>
      <c r="P1131" t="s">
        <v>19</v>
      </c>
      <c r="Q1131" t="s">
        <v>18</v>
      </c>
    </row>
    <row r="1132" spans="1:17" x14ac:dyDescent="0.35">
      <c r="A1132">
        <v>1165</v>
      </c>
      <c r="B1132">
        <v>18</v>
      </c>
      <c r="C1132" t="s">
        <v>27</v>
      </c>
      <c r="D1132">
        <v>183</v>
      </c>
      <c r="E1132">
        <v>77</v>
      </c>
      <c r="F1132" s="3">
        <v>19.358391957985798</v>
      </c>
      <c r="G1132" s="3" t="str">
        <f t="shared" si="17"/>
        <v>Normal Weight</v>
      </c>
      <c r="H1132" t="s">
        <v>902</v>
      </c>
      <c r="I1132" t="s">
        <v>18</v>
      </c>
      <c r="J1132" t="s">
        <v>20</v>
      </c>
      <c r="K1132" t="s">
        <v>18</v>
      </c>
      <c r="L1132" t="s">
        <v>38</v>
      </c>
      <c r="M1132" t="s">
        <v>19</v>
      </c>
      <c r="N1132" t="s">
        <v>25</v>
      </c>
      <c r="O1132" t="s">
        <v>20</v>
      </c>
      <c r="P1132" t="s">
        <v>19</v>
      </c>
      <c r="Q1132" t="s">
        <v>18</v>
      </c>
    </row>
    <row r="1133" spans="1:17" x14ac:dyDescent="0.35">
      <c r="A1133">
        <v>449</v>
      </c>
      <c r="B1133">
        <v>45</v>
      </c>
      <c r="C1133" t="s">
        <v>27</v>
      </c>
      <c r="D1133">
        <v>167</v>
      </c>
      <c r="E1133">
        <v>91</v>
      </c>
      <c r="F1133" s="3">
        <v>24.242857265375701</v>
      </c>
      <c r="G1133" s="3" t="str">
        <f t="shared" si="17"/>
        <v>Normal Weight</v>
      </c>
      <c r="H1133" t="s">
        <v>426</v>
      </c>
      <c r="I1133" t="s">
        <v>24</v>
      </c>
      <c r="J1133" t="s">
        <v>19</v>
      </c>
      <c r="K1133" t="s">
        <v>22</v>
      </c>
      <c r="L1133" t="s">
        <v>32</v>
      </c>
      <c r="M1133" t="s">
        <v>20</v>
      </c>
      <c r="N1133" t="s">
        <v>21</v>
      </c>
      <c r="O1133" t="s">
        <v>20</v>
      </c>
      <c r="P1133" t="s">
        <v>20</v>
      </c>
      <c r="Q1133" t="s">
        <v>22</v>
      </c>
    </row>
    <row r="1134" spans="1:17" x14ac:dyDescent="0.35">
      <c r="A1134">
        <v>462</v>
      </c>
      <c r="B1134">
        <v>45</v>
      </c>
      <c r="C1134" t="s">
        <v>27</v>
      </c>
      <c r="D1134">
        <v>180</v>
      </c>
      <c r="E1134">
        <v>96</v>
      </c>
      <c r="F1134" s="3">
        <v>23.707948053557999</v>
      </c>
      <c r="G1134" s="3" t="str">
        <f t="shared" si="17"/>
        <v>Normal Weight</v>
      </c>
      <c r="H1134" t="s">
        <v>437</v>
      </c>
      <c r="I1134" t="s">
        <v>18</v>
      </c>
      <c r="J1134" t="s">
        <v>20</v>
      </c>
      <c r="K1134" t="s">
        <v>22</v>
      </c>
      <c r="L1134" t="s">
        <v>38</v>
      </c>
      <c r="M1134" t="s">
        <v>20</v>
      </c>
      <c r="N1134" t="s">
        <v>25</v>
      </c>
      <c r="O1134" t="s">
        <v>20</v>
      </c>
      <c r="P1134" t="s">
        <v>19</v>
      </c>
      <c r="Q1134" t="s">
        <v>22</v>
      </c>
    </row>
    <row r="1135" spans="1:17" x14ac:dyDescent="0.35">
      <c r="A1135">
        <v>541</v>
      </c>
      <c r="B1135">
        <v>45</v>
      </c>
      <c r="C1135" t="s">
        <v>27</v>
      </c>
      <c r="D1135">
        <v>161</v>
      </c>
      <c r="E1135">
        <v>88</v>
      </c>
      <c r="F1135" s="3">
        <v>28.058671146009601</v>
      </c>
      <c r="G1135" s="3" t="str">
        <f t="shared" si="17"/>
        <v>Overweight</v>
      </c>
      <c r="H1135" t="s">
        <v>417</v>
      </c>
      <c r="I1135" t="s">
        <v>18</v>
      </c>
      <c r="J1135" t="s">
        <v>20</v>
      </c>
      <c r="K1135" t="s">
        <v>22</v>
      </c>
      <c r="L1135" t="s">
        <v>38</v>
      </c>
      <c r="M1135" t="s">
        <v>19</v>
      </c>
      <c r="N1135" t="s">
        <v>25</v>
      </c>
      <c r="O1135" t="s">
        <v>20</v>
      </c>
      <c r="P1135" t="s">
        <v>20</v>
      </c>
      <c r="Q1135" t="s">
        <v>22</v>
      </c>
    </row>
    <row r="1136" spans="1:17" x14ac:dyDescent="0.35">
      <c r="A1136">
        <v>1167</v>
      </c>
      <c r="B1136">
        <v>58</v>
      </c>
      <c r="C1136" t="s">
        <v>27</v>
      </c>
      <c r="D1136">
        <v>173</v>
      </c>
      <c r="E1136">
        <v>77</v>
      </c>
      <c r="F1136" s="3">
        <v>18.564653186693</v>
      </c>
      <c r="G1136" s="3" t="str">
        <f t="shared" si="17"/>
        <v>Normal Weight</v>
      </c>
      <c r="H1136" t="s">
        <v>504</v>
      </c>
      <c r="I1136" t="s">
        <v>18</v>
      </c>
      <c r="J1136" t="s">
        <v>20</v>
      </c>
      <c r="K1136" t="s">
        <v>18</v>
      </c>
      <c r="L1136" t="s">
        <v>14</v>
      </c>
      <c r="M1136" t="s">
        <v>19</v>
      </c>
      <c r="N1136" t="s">
        <v>21</v>
      </c>
      <c r="O1136" t="s">
        <v>19</v>
      </c>
      <c r="P1136" t="s">
        <v>20</v>
      </c>
      <c r="Q1136" t="s">
        <v>18</v>
      </c>
    </row>
    <row r="1137" spans="1:17" x14ac:dyDescent="0.35">
      <c r="A1137">
        <v>1168</v>
      </c>
      <c r="B1137">
        <v>29</v>
      </c>
      <c r="C1137" t="s">
        <v>16</v>
      </c>
      <c r="D1137">
        <v>178</v>
      </c>
      <c r="E1137">
        <v>76</v>
      </c>
      <c r="F1137" s="3">
        <v>34.9911012374846</v>
      </c>
      <c r="G1137" s="3" t="str">
        <f t="shared" si="17"/>
        <v>Obese</v>
      </c>
      <c r="H1137" t="s">
        <v>904</v>
      </c>
      <c r="I1137" t="s">
        <v>31</v>
      </c>
      <c r="J1137" t="s">
        <v>20</v>
      </c>
      <c r="K1137" t="s">
        <v>18</v>
      </c>
      <c r="L1137" t="s">
        <v>38</v>
      </c>
      <c r="M1137" t="s">
        <v>20</v>
      </c>
      <c r="N1137" t="s">
        <v>21</v>
      </c>
      <c r="O1137" t="s">
        <v>20</v>
      </c>
      <c r="P1137" t="s">
        <v>19</v>
      </c>
      <c r="Q1137" t="s">
        <v>22</v>
      </c>
    </row>
    <row r="1138" spans="1:17" x14ac:dyDescent="0.35">
      <c r="A1138">
        <v>1173</v>
      </c>
      <c r="B1138">
        <v>31</v>
      </c>
      <c r="C1138" t="s">
        <v>27</v>
      </c>
      <c r="D1138">
        <v>168</v>
      </c>
      <c r="E1138">
        <v>81</v>
      </c>
      <c r="F1138" s="3">
        <v>20.9958606936341</v>
      </c>
      <c r="G1138" s="3" t="str">
        <f t="shared" si="17"/>
        <v>Normal Weight</v>
      </c>
      <c r="H1138" t="s">
        <v>870</v>
      </c>
      <c r="I1138" t="s">
        <v>31</v>
      </c>
      <c r="J1138" t="s">
        <v>19</v>
      </c>
      <c r="K1138" t="s">
        <v>18</v>
      </c>
      <c r="L1138" t="s">
        <v>14</v>
      </c>
      <c r="M1138" t="s">
        <v>19</v>
      </c>
      <c r="N1138" t="s">
        <v>21</v>
      </c>
      <c r="O1138" t="s">
        <v>19</v>
      </c>
      <c r="P1138" t="s">
        <v>19</v>
      </c>
      <c r="Q1138" t="s">
        <v>40</v>
      </c>
    </row>
    <row r="1139" spans="1:17" x14ac:dyDescent="0.35">
      <c r="A1139">
        <v>790</v>
      </c>
      <c r="B1139">
        <v>45</v>
      </c>
      <c r="C1139" t="s">
        <v>16</v>
      </c>
      <c r="D1139">
        <v>170</v>
      </c>
      <c r="E1139">
        <v>81</v>
      </c>
      <c r="F1139" s="3">
        <v>29.914331045842701</v>
      </c>
      <c r="G1139" s="3" t="str">
        <f t="shared" si="17"/>
        <v>Obese</v>
      </c>
      <c r="H1139" t="s">
        <v>684</v>
      </c>
      <c r="I1139" t="s">
        <v>24</v>
      </c>
      <c r="J1139" t="s">
        <v>19</v>
      </c>
      <c r="K1139" t="s">
        <v>22</v>
      </c>
      <c r="L1139" t="s">
        <v>14</v>
      </c>
      <c r="M1139" t="s">
        <v>20</v>
      </c>
      <c r="N1139" t="s">
        <v>21</v>
      </c>
      <c r="O1139" t="s">
        <v>19</v>
      </c>
      <c r="P1139" t="s">
        <v>19</v>
      </c>
      <c r="Q1139" t="s">
        <v>22</v>
      </c>
    </row>
    <row r="1140" spans="1:17" x14ac:dyDescent="0.35">
      <c r="A1140">
        <v>1174</v>
      </c>
      <c r="B1140">
        <v>43</v>
      </c>
      <c r="C1140" t="s">
        <v>27</v>
      </c>
      <c r="D1140">
        <v>150</v>
      </c>
      <c r="E1140">
        <v>69</v>
      </c>
      <c r="F1140" s="3">
        <v>23.1971331909666</v>
      </c>
      <c r="G1140" s="3" t="str">
        <f t="shared" si="17"/>
        <v>Normal Weight</v>
      </c>
      <c r="H1140" t="s">
        <v>907</v>
      </c>
      <c r="I1140" t="s">
        <v>24</v>
      </c>
      <c r="J1140" t="s">
        <v>19</v>
      </c>
      <c r="K1140" t="s">
        <v>18</v>
      </c>
      <c r="L1140" t="s">
        <v>29</v>
      </c>
      <c r="M1140" t="s">
        <v>19</v>
      </c>
      <c r="N1140" t="s">
        <v>25</v>
      </c>
      <c r="O1140" t="s">
        <v>19</v>
      </c>
      <c r="P1140" t="s">
        <v>20</v>
      </c>
      <c r="Q1140" t="s">
        <v>40</v>
      </c>
    </row>
    <row r="1141" spans="1:17" x14ac:dyDescent="0.35">
      <c r="A1141">
        <v>885</v>
      </c>
      <c r="B1141">
        <v>45</v>
      </c>
      <c r="C1141" t="s">
        <v>27</v>
      </c>
      <c r="D1141">
        <v>174</v>
      </c>
      <c r="E1141">
        <v>61</v>
      </c>
      <c r="F1141" s="3">
        <v>25.3868185397078</v>
      </c>
      <c r="G1141" s="3" t="str">
        <f t="shared" si="17"/>
        <v>Overweight</v>
      </c>
      <c r="H1141" t="s">
        <v>580</v>
      </c>
      <c r="I1141" t="s">
        <v>31</v>
      </c>
      <c r="J1141" t="s">
        <v>20</v>
      </c>
      <c r="K1141" t="s">
        <v>22</v>
      </c>
      <c r="L1141" t="s">
        <v>29</v>
      </c>
      <c r="M1141" t="s">
        <v>19</v>
      </c>
      <c r="N1141" t="s">
        <v>25</v>
      </c>
      <c r="O1141" t="s">
        <v>19</v>
      </c>
      <c r="P1141" t="s">
        <v>19</v>
      </c>
      <c r="Q1141" t="s">
        <v>40</v>
      </c>
    </row>
    <row r="1142" spans="1:17" x14ac:dyDescent="0.35">
      <c r="A1142">
        <v>893</v>
      </c>
      <c r="B1142">
        <v>45</v>
      </c>
      <c r="C1142" t="s">
        <v>16</v>
      </c>
      <c r="D1142">
        <v>180</v>
      </c>
      <c r="E1142">
        <v>73</v>
      </c>
      <c r="F1142" s="3">
        <v>23.7802658659419</v>
      </c>
      <c r="G1142" s="3" t="str">
        <f t="shared" si="17"/>
        <v>Normal Weight</v>
      </c>
      <c r="H1142" t="s">
        <v>682</v>
      </c>
      <c r="I1142" t="s">
        <v>31</v>
      </c>
      <c r="J1142" t="s">
        <v>19</v>
      </c>
      <c r="K1142" t="s">
        <v>22</v>
      </c>
      <c r="L1142" t="s">
        <v>29</v>
      </c>
      <c r="M1142" t="s">
        <v>20</v>
      </c>
      <c r="N1142" t="s">
        <v>25</v>
      </c>
      <c r="O1142" t="s">
        <v>20</v>
      </c>
      <c r="P1142" t="s">
        <v>20</v>
      </c>
      <c r="Q1142" t="s">
        <v>40</v>
      </c>
    </row>
    <row r="1143" spans="1:17" x14ac:dyDescent="0.35">
      <c r="A1143">
        <v>947</v>
      </c>
      <c r="B1143">
        <v>45</v>
      </c>
      <c r="C1143" t="s">
        <v>27</v>
      </c>
      <c r="D1143">
        <v>175</v>
      </c>
      <c r="E1143">
        <v>59</v>
      </c>
      <c r="F1143" s="3">
        <v>20.6347801799505</v>
      </c>
      <c r="G1143" s="3" t="str">
        <f t="shared" si="17"/>
        <v>Normal Weight</v>
      </c>
      <c r="H1143" t="s">
        <v>767</v>
      </c>
      <c r="I1143" t="s">
        <v>24</v>
      </c>
      <c r="J1143" t="s">
        <v>19</v>
      </c>
      <c r="K1143" t="s">
        <v>22</v>
      </c>
      <c r="L1143" t="s">
        <v>32</v>
      </c>
      <c r="M1143" t="s">
        <v>20</v>
      </c>
      <c r="N1143" t="s">
        <v>21</v>
      </c>
      <c r="O1143" t="s">
        <v>19</v>
      </c>
      <c r="P1143" t="s">
        <v>19</v>
      </c>
      <c r="Q1143" t="s">
        <v>22</v>
      </c>
    </row>
    <row r="1144" spans="1:17" x14ac:dyDescent="0.35">
      <c r="A1144">
        <v>951</v>
      </c>
      <c r="B1144">
        <v>45</v>
      </c>
      <c r="C1144" t="s">
        <v>16</v>
      </c>
      <c r="D1144">
        <v>183</v>
      </c>
      <c r="E1144">
        <v>99</v>
      </c>
      <c r="F1144" s="3">
        <v>25.873424220807198</v>
      </c>
      <c r="G1144" s="3" t="str">
        <f t="shared" si="17"/>
        <v>Overweight</v>
      </c>
      <c r="H1144" t="s">
        <v>770</v>
      </c>
      <c r="I1144" t="s">
        <v>31</v>
      </c>
      <c r="J1144" t="s">
        <v>19</v>
      </c>
      <c r="K1144" t="s">
        <v>22</v>
      </c>
      <c r="L1144" t="s">
        <v>32</v>
      </c>
      <c r="M1144" t="s">
        <v>19</v>
      </c>
      <c r="N1144" t="s">
        <v>21</v>
      </c>
      <c r="O1144" t="s">
        <v>20</v>
      </c>
      <c r="P1144" t="s">
        <v>20</v>
      </c>
      <c r="Q1144" t="s">
        <v>22</v>
      </c>
    </row>
    <row r="1145" spans="1:17" x14ac:dyDescent="0.35">
      <c r="A1145">
        <v>1176</v>
      </c>
      <c r="B1145">
        <v>44</v>
      </c>
      <c r="C1145" t="s">
        <v>27</v>
      </c>
      <c r="D1145">
        <v>176</v>
      </c>
      <c r="E1145">
        <v>82</v>
      </c>
      <c r="F1145" s="3">
        <v>30.979116600174802</v>
      </c>
      <c r="G1145" s="3" t="str">
        <f t="shared" si="17"/>
        <v>Obese</v>
      </c>
      <c r="H1145" t="s">
        <v>673</v>
      </c>
      <c r="I1145" t="s">
        <v>24</v>
      </c>
      <c r="J1145" t="s">
        <v>20</v>
      </c>
      <c r="K1145" t="s">
        <v>18</v>
      </c>
      <c r="L1145" t="s">
        <v>29</v>
      </c>
      <c r="M1145" t="s">
        <v>19</v>
      </c>
      <c r="N1145" t="s">
        <v>21</v>
      </c>
      <c r="O1145" t="s">
        <v>20</v>
      </c>
      <c r="P1145" t="s">
        <v>20</v>
      </c>
      <c r="Q1145" t="s">
        <v>18</v>
      </c>
    </row>
    <row r="1146" spans="1:17" x14ac:dyDescent="0.35">
      <c r="A1146">
        <v>959</v>
      </c>
      <c r="B1146">
        <v>45</v>
      </c>
      <c r="C1146" t="s">
        <v>16</v>
      </c>
      <c r="D1146">
        <v>179</v>
      </c>
      <c r="E1146">
        <v>66</v>
      </c>
      <c r="F1146" s="3">
        <v>27.034990800946101</v>
      </c>
      <c r="G1146" s="3" t="str">
        <f t="shared" si="17"/>
        <v>Overweight</v>
      </c>
      <c r="H1146" t="s">
        <v>777</v>
      </c>
      <c r="I1146" t="s">
        <v>31</v>
      </c>
      <c r="J1146" t="s">
        <v>19</v>
      </c>
      <c r="K1146" t="s">
        <v>22</v>
      </c>
      <c r="L1146" t="s">
        <v>38</v>
      </c>
      <c r="M1146" t="s">
        <v>20</v>
      </c>
      <c r="N1146" t="s">
        <v>21</v>
      </c>
      <c r="O1146" t="s">
        <v>19</v>
      </c>
      <c r="P1146" t="s">
        <v>20</v>
      </c>
      <c r="Q1146" t="s">
        <v>22</v>
      </c>
    </row>
    <row r="1147" spans="1:17" x14ac:dyDescent="0.35">
      <c r="A1147">
        <v>971</v>
      </c>
      <c r="B1147">
        <v>45</v>
      </c>
      <c r="C1147" t="s">
        <v>16</v>
      </c>
      <c r="D1147">
        <v>158</v>
      </c>
      <c r="E1147">
        <v>73</v>
      </c>
      <c r="F1147" s="3">
        <v>31.317552559464598</v>
      </c>
      <c r="G1147" s="3" t="str">
        <f t="shared" si="17"/>
        <v>Obese</v>
      </c>
      <c r="H1147" t="s">
        <v>522</v>
      </c>
      <c r="I1147" t="s">
        <v>24</v>
      </c>
      <c r="J1147" t="s">
        <v>20</v>
      </c>
      <c r="K1147" t="s">
        <v>22</v>
      </c>
      <c r="L1147" t="s">
        <v>14</v>
      </c>
      <c r="M1147" t="s">
        <v>19</v>
      </c>
      <c r="N1147" t="s">
        <v>21</v>
      </c>
      <c r="O1147" t="s">
        <v>20</v>
      </c>
      <c r="P1147" t="s">
        <v>20</v>
      </c>
      <c r="Q1147" t="s">
        <v>18</v>
      </c>
    </row>
    <row r="1148" spans="1:17" x14ac:dyDescent="0.35">
      <c r="A1148">
        <v>1178</v>
      </c>
      <c r="B1148">
        <v>43</v>
      </c>
      <c r="C1148" t="s">
        <v>27</v>
      </c>
      <c r="D1148">
        <v>155</v>
      </c>
      <c r="E1148">
        <v>95</v>
      </c>
      <c r="F1148" s="3">
        <v>19.778479838165399</v>
      </c>
      <c r="G1148" s="3" t="str">
        <f t="shared" si="17"/>
        <v>Normal Weight</v>
      </c>
      <c r="H1148" t="s">
        <v>503</v>
      </c>
      <c r="I1148" t="s">
        <v>18</v>
      </c>
      <c r="J1148" t="s">
        <v>19</v>
      </c>
      <c r="K1148" t="s">
        <v>18</v>
      </c>
      <c r="L1148" t="s">
        <v>32</v>
      </c>
      <c r="M1148" t="s">
        <v>19</v>
      </c>
      <c r="N1148" t="s">
        <v>25</v>
      </c>
      <c r="O1148" t="s">
        <v>19</v>
      </c>
      <c r="P1148" t="s">
        <v>19</v>
      </c>
      <c r="Q1148" t="s">
        <v>18</v>
      </c>
    </row>
    <row r="1149" spans="1:17" x14ac:dyDescent="0.35">
      <c r="A1149">
        <v>1050</v>
      </c>
      <c r="B1149">
        <v>45</v>
      </c>
      <c r="C1149" t="s">
        <v>27</v>
      </c>
      <c r="D1149">
        <v>157</v>
      </c>
      <c r="E1149">
        <v>87</v>
      </c>
      <c r="F1149" s="3">
        <v>34.378577948439897</v>
      </c>
      <c r="G1149" s="3" t="str">
        <f t="shared" si="17"/>
        <v>Obese</v>
      </c>
      <c r="H1149" t="s">
        <v>832</v>
      </c>
      <c r="I1149" t="s">
        <v>18</v>
      </c>
      <c r="J1149" t="s">
        <v>20</v>
      </c>
      <c r="K1149" t="s">
        <v>22</v>
      </c>
      <c r="L1149" t="s">
        <v>32</v>
      </c>
      <c r="M1149" t="s">
        <v>20</v>
      </c>
      <c r="N1149" t="s">
        <v>21</v>
      </c>
      <c r="O1149" t="s">
        <v>19</v>
      </c>
      <c r="P1149" t="s">
        <v>20</v>
      </c>
      <c r="Q1149" t="s">
        <v>18</v>
      </c>
    </row>
    <row r="1150" spans="1:17" x14ac:dyDescent="0.35">
      <c r="A1150">
        <v>1179</v>
      </c>
      <c r="B1150">
        <v>74</v>
      </c>
      <c r="C1150" t="s">
        <v>16</v>
      </c>
      <c r="D1150">
        <v>189</v>
      </c>
      <c r="E1150">
        <v>83</v>
      </c>
      <c r="F1150" s="3">
        <v>18.797478647822</v>
      </c>
      <c r="G1150" s="3" t="str">
        <f t="shared" si="17"/>
        <v>Normal Weight</v>
      </c>
      <c r="H1150" t="s">
        <v>909</v>
      </c>
      <c r="I1150" t="s">
        <v>24</v>
      </c>
      <c r="J1150" t="s">
        <v>19</v>
      </c>
      <c r="K1150" t="s">
        <v>40</v>
      </c>
      <c r="L1150" t="s">
        <v>14</v>
      </c>
      <c r="M1150" t="s">
        <v>20</v>
      </c>
      <c r="N1150" t="s">
        <v>25</v>
      </c>
      <c r="O1150" t="s">
        <v>19</v>
      </c>
      <c r="P1150" t="s">
        <v>19</v>
      </c>
      <c r="Q1150" t="s">
        <v>22</v>
      </c>
    </row>
    <row r="1151" spans="1:17" x14ac:dyDescent="0.35">
      <c r="A1151">
        <v>1204</v>
      </c>
      <c r="B1151">
        <v>45</v>
      </c>
      <c r="C1151" t="s">
        <v>27</v>
      </c>
      <c r="D1151">
        <v>161</v>
      </c>
      <c r="E1151">
        <v>96</v>
      </c>
      <c r="F1151" s="3">
        <v>32.295301863122098</v>
      </c>
      <c r="G1151" s="3" t="str">
        <f t="shared" si="17"/>
        <v>Obese</v>
      </c>
      <c r="H1151" t="s">
        <v>923</v>
      </c>
      <c r="I1151" t="s">
        <v>18</v>
      </c>
      <c r="J1151" t="s">
        <v>19</v>
      </c>
      <c r="K1151" t="s">
        <v>22</v>
      </c>
      <c r="L1151" t="s">
        <v>32</v>
      </c>
      <c r="M1151" t="s">
        <v>20</v>
      </c>
      <c r="N1151" t="s">
        <v>21</v>
      </c>
      <c r="O1151" t="s">
        <v>19</v>
      </c>
      <c r="P1151" t="s">
        <v>19</v>
      </c>
      <c r="Q1151" t="s">
        <v>22</v>
      </c>
    </row>
    <row r="1152" spans="1:17" x14ac:dyDescent="0.35">
      <c r="A1152">
        <v>1233</v>
      </c>
      <c r="B1152">
        <v>45</v>
      </c>
      <c r="C1152" t="s">
        <v>27</v>
      </c>
      <c r="D1152">
        <v>178</v>
      </c>
      <c r="E1152">
        <v>75</v>
      </c>
      <c r="F1152" s="3">
        <v>20.737839164120601</v>
      </c>
      <c r="G1152" s="3" t="str">
        <f t="shared" si="17"/>
        <v>Normal Weight</v>
      </c>
      <c r="H1152" t="s">
        <v>317</v>
      </c>
      <c r="I1152" t="s">
        <v>18</v>
      </c>
      <c r="J1152" t="s">
        <v>20</v>
      </c>
      <c r="K1152" t="s">
        <v>22</v>
      </c>
      <c r="L1152" t="s">
        <v>29</v>
      </c>
      <c r="M1152" t="s">
        <v>19</v>
      </c>
      <c r="N1152" t="s">
        <v>25</v>
      </c>
      <c r="O1152" t="s">
        <v>19</v>
      </c>
      <c r="P1152" t="s">
        <v>20</v>
      </c>
      <c r="Q1152" t="s">
        <v>22</v>
      </c>
    </row>
    <row r="1153" spans="1:17" x14ac:dyDescent="0.35">
      <c r="A1153">
        <v>1180</v>
      </c>
      <c r="B1153">
        <v>64</v>
      </c>
      <c r="C1153" t="s">
        <v>16</v>
      </c>
      <c r="D1153">
        <v>162</v>
      </c>
      <c r="E1153">
        <v>97</v>
      </c>
      <c r="F1153" s="3">
        <v>20.188480962311999</v>
      </c>
      <c r="G1153" s="3" t="str">
        <f t="shared" si="17"/>
        <v>Normal Weight</v>
      </c>
      <c r="H1153" t="s">
        <v>525</v>
      </c>
      <c r="I1153" t="s">
        <v>31</v>
      </c>
      <c r="J1153" t="s">
        <v>19</v>
      </c>
      <c r="K1153" t="s">
        <v>18</v>
      </c>
      <c r="L1153" t="s">
        <v>29</v>
      </c>
      <c r="M1153" t="s">
        <v>19</v>
      </c>
      <c r="N1153" t="s">
        <v>21</v>
      </c>
      <c r="O1153" t="s">
        <v>19</v>
      </c>
      <c r="P1153" t="s">
        <v>19</v>
      </c>
      <c r="Q1153" t="s">
        <v>22</v>
      </c>
    </row>
    <row r="1154" spans="1:17" x14ac:dyDescent="0.35">
      <c r="A1154">
        <v>1181</v>
      </c>
      <c r="B1154">
        <v>74</v>
      </c>
      <c r="C1154" t="s">
        <v>16</v>
      </c>
      <c r="D1154">
        <v>184</v>
      </c>
      <c r="E1154">
        <v>52</v>
      </c>
      <c r="F1154" s="3">
        <v>25.2732287760067</v>
      </c>
      <c r="G1154" s="3" t="str">
        <f t="shared" si="17"/>
        <v>Overweight</v>
      </c>
      <c r="H1154" t="s">
        <v>637</v>
      </c>
      <c r="I1154" t="s">
        <v>24</v>
      </c>
      <c r="J1154" t="s">
        <v>19</v>
      </c>
      <c r="K1154" t="s">
        <v>40</v>
      </c>
      <c r="L1154" t="s">
        <v>14</v>
      </c>
      <c r="M1154" t="s">
        <v>19</v>
      </c>
      <c r="N1154" t="s">
        <v>25</v>
      </c>
      <c r="O1154" t="s">
        <v>19</v>
      </c>
      <c r="P1154" t="s">
        <v>20</v>
      </c>
      <c r="Q1154" t="s">
        <v>22</v>
      </c>
    </row>
    <row r="1155" spans="1:17" x14ac:dyDescent="0.35">
      <c r="A1155">
        <v>1182</v>
      </c>
      <c r="B1155">
        <v>39</v>
      </c>
      <c r="C1155" t="s">
        <v>16</v>
      </c>
      <c r="D1155">
        <v>168</v>
      </c>
      <c r="E1155">
        <v>75</v>
      </c>
      <c r="F1155" s="3">
        <v>33.897683131308803</v>
      </c>
      <c r="G1155" s="3" t="str">
        <f t="shared" ref="G1155:G1218" si="18">_xlfn.IFS(F1155&lt;18.5, "Underweight", F1155&lt;=24.9, "Normal Weight", F1155&lt;=29.9, "Overweight", TRUE, "Obese")</f>
        <v>Obese</v>
      </c>
      <c r="H1155" t="s">
        <v>910</v>
      </c>
      <c r="I1155" t="s">
        <v>31</v>
      </c>
      <c r="J1155" t="s">
        <v>20</v>
      </c>
      <c r="K1155" t="s">
        <v>18</v>
      </c>
      <c r="L1155" t="s">
        <v>29</v>
      </c>
      <c r="M1155" t="s">
        <v>20</v>
      </c>
      <c r="N1155" t="s">
        <v>25</v>
      </c>
      <c r="O1155" t="s">
        <v>20</v>
      </c>
      <c r="P1155" t="s">
        <v>20</v>
      </c>
      <c r="Q1155" t="s">
        <v>22</v>
      </c>
    </row>
    <row r="1156" spans="1:17" x14ac:dyDescent="0.35">
      <c r="A1156">
        <v>1184</v>
      </c>
      <c r="B1156">
        <v>73</v>
      </c>
      <c r="C1156" t="s">
        <v>16</v>
      </c>
      <c r="D1156">
        <v>165</v>
      </c>
      <c r="E1156">
        <v>55</v>
      </c>
      <c r="F1156" s="3">
        <v>31.730127347945999</v>
      </c>
      <c r="G1156" s="3" t="str">
        <f t="shared" si="18"/>
        <v>Obese</v>
      </c>
      <c r="H1156" t="s">
        <v>48</v>
      </c>
      <c r="I1156" t="s">
        <v>24</v>
      </c>
      <c r="J1156" t="s">
        <v>19</v>
      </c>
      <c r="K1156" t="s">
        <v>40</v>
      </c>
      <c r="L1156" t="s">
        <v>32</v>
      </c>
      <c r="M1156" t="s">
        <v>19</v>
      </c>
      <c r="N1156" t="s">
        <v>25</v>
      </c>
      <c r="O1156" t="s">
        <v>19</v>
      </c>
      <c r="P1156" t="s">
        <v>19</v>
      </c>
      <c r="Q1156" t="s">
        <v>40</v>
      </c>
    </row>
    <row r="1157" spans="1:17" x14ac:dyDescent="0.35">
      <c r="A1157">
        <v>1666</v>
      </c>
      <c r="B1157">
        <v>45</v>
      </c>
      <c r="C1157" t="s">
        <v>27</v>
      </c>
      <c r="D1157">
        <v>189</v>
      </c>
      <c r="E1157">
        <v>92</v>
      </c>
      <c r="F1157" s="3">
        <v>25.205045687078101</v>
      </c>
      <c r="G1157" s="3" t="str">
        <f t="shared" si="18"/>
        <v>Overweight</v>
      </c>
      <c r="H1157" t="s">
        <v>1136</v>
      </c>
      <c r="I1157" t="s">
        <v>31</v>
      </c>
      <c r="J1157" t="s">
        <v>19</v>
      </c>
      <c r="K1157" t="s">
        <v>22</v>
      </c>
      <c r="L1157" t="s">
        <v>14</v>
      </c>
      <c r="M1157" t="s">
        <v>20</v>
      </c>
      <c r="N1157" t="s">
        <v>25</v>
      </c>
      <c r="O1157" t="s">
        <v>19</v>
      </c>
      <c r="P1157" t="s">
        <v>19</v>
      </c>
      <c r="Q1157" t="s">
        <v>22</v>
      </c>
    </row>
    <row r="1158" spans="1:17" x14ac:dyDescent="0.35">
      <c r="A1158">
        <v>1689</v>
      </c>
      <c r="B1158">
        <v>45</v>
      </c>
      <c r="C1158" t="s">
        <v>27</v>
      </c>
      <c r="D1158">
        <v>184</v>
      </c>
      <c r="E1158">
        <v>66</v>
      </c>
      <c r="F1158" s="3">
        <v>22.9165292137059</v>
      </c>
      <c r="G1158" s="3" t="str">
        <f t="shared" si="18"/>
        <v>Normal Weight</v>
      </c>
      <c r="H1158" t="s">
        <v>353</v>
      </c>
      <c r="I1158" t="s">
        <v>24</v>
      </c>
      <c r="J1158" t="s">
        <v>20</v>
      </c>
      <c r="K1158" t="s">
        <v>22</v>
      </c>
      <c r="L1158" t="s">
        <v>38</v>
      </c>
      <c r="M1158" t="s">
        <v>19</v>
      </c>
      <c r="N1158" t="s">
        <v>25</v>
      </c>
      <c r="O1158" t="s">
        <v>19</v>
      </c>
      <c r="P1158" t="s">
        <v>19</v>
      </c>
      <c r="Q1158" t="s">
        <v>18</v>
      </c>
    </row>
    <row r="1159" spans="1:17" x14ac:dyDescent="0.35">
      <c r="A1159">
        <v>1711</v>
      </c>
      <c r="B1159">
        <v>45</v>
      </c>
      <c r="C1159" t="s">
        <v>27</v>
      </c>
      <c r="D1159">
        <v>174</v>
      </c>
      <c r="E1159">
        <v>70</v>
      </c>
      <c r="F1159" s="3">
        <v>23.978011584941701</v>
      </c>
      <c r="G1159" s="3" t="str">
        <f t="shared" si="18"/>
        <v>Normal Weight</v>
      </c>
      <c r="H1159" t="s">
        <v>1161</v>
      </c>
      <c r="I1159" t="s">
        <v>18</v>
      </c>
      <c r="J1159" t="s">
        <v>20</v>
      </c>
      <c r="K1159" t="s">
        <v>22</v>
      </c>
      <c r="L1159" t="s">
        <v>14</v>
      </c>
      <c r="M1159" t="s">
        <v>20</v>
      </c>
      <c r="N1159" t="s">
        <v>21</v>
      </c>
      <c r="O1159" t="s">
        <v>20</v>
      </c>
      <c r="P1159" t="s">
        <v>20</v>
      </c>
      <c r="Q1159" t="s">
        <v>22</v>
      </c>
    </row>
    <row r="1160" spans="1:17" x14ac:dyDescent="0.35">
      <c r="A1160">
        <v>1844</v>
      </c>
      <c r="B1160">
        <v>45</v>
      </c>
      <c r="C1160" t="s">
        <v>16</v>
      </c>
      <c r="D1160">
        <v>181</v>
      </c>
      <c r="E1160">
        <v>78</v>
      </c>
      <c r="F1160" s="3">
        <v>27.192483239831802</v>
      </c>
      <c r="G1160" s="3" t="str">
        <f t="shared" si="18"/>
        <v>Overweight</v>
      </c>
      <c r="H1160" t="s">
        <v>576</v>
      </c>
      <c r="I1160" t="s">
        <v>24</v>
      </c>
      <c r="J1160" t="s">
        <v>20</v>
      </c>
      <c r="K1160" t="s">
        <v>22</v>
      </c>
      <c r="L1160" t="s">
        <v>32</v>
      </c>
      <c r="M1160" t="s">
        <v>20</v>
      </c>
      <c r="N1160" t="s">
        <v>21</v>
      </c>
      <c r="O1160" t="s">
        <v>19</v>
      </c>
      <c r="P1160" t="s">
        <v>20</v>
      </c>
      <c r="Q1160" t="s">
        <v>18</v>
      </c>
    </row>
    <row r="1161" spans="1:17" x14ac:dyDescent="0.35">
      <c r="A1161">
        <v>39</v>
      </c>
      <c r="B1161">
        <v>44</v>
      </c>
      <c r="C1161" t="s">
        <v>16</v>
      </c>
      <c r="D1161">
        <v>169</v>
      </c>
      <c r="E1161">
        <v>71</v>
      </c>
      <c r="F1161" s="3">
        <v>19.629271702503299</v>
      </c>
      <c r="G1161" s="3" t="str">
        <f t="shared" si="18"/>
        <v>Normal Weight</v>
      </c>
      <c r="H1161" t="s">
        <v>68</v>
      </c>
      <c r="I1161" t="s">
        <v>18</v>
      </c>
      <c r="J1161" t="s">
        <v>20</v>
      </c>
      <c r="K1161" t="s">
        <v>22</v>
      </c>
      <c r="L1161" t="s">
        <v>38</v>
      </c>
      <c r="M1161" t="s">
        <v>20</v>
      </c>
      <c r="N1161" t="s">
        <v>21</v>
      </c>
      <c r="O1161" t="s">
        <v>19</v>
      </c>
      <c r="P1161" t="s">
        <v>19</v>
      </c>
      <c r="Q1161" t="s">
        <v>22</v>
      </c>
    </row>
    <row r="1162" spans="1:17" x14ac:dyDescent="0.35">
      <c r="A1162">
        <v>1185</v>
      </c>
      <c r="B1162">
        <v>47</v>
      </c>
      <c r="C1162" t="s">
        <v>16</v>
      </c>
      <c r="D1162">
        <v>159</v>
      </c>
      <c r="E1162">
        <v>65</v>
      </c>
      <c r="F1162" s="3">
        <v>26.195180809324999</v>
      </c>
      <c r="G1162" s="3" t="str">
        <f t="shared" si="18"/>
        <v>Overweight</v>
      </c>
      <c r="H1162" t="s">
        <v>909</v>
      </c>
      <c r="I1162" t="s">
        <v>18</v>
      </c>
      <c r="J1162" t="s">
        <v>19</v>
      </c>
      <c r="K1162" t="s">
        <v>18</v>
      </c>
      <c r="L1162" t="s">
        <v>29</v>
      </c>
      <c r="M1162" t="s">
        <v>19</v>
      </c>
      <c r="N1162" t="s">
        <v>21</v>
      </c>
      <c r="O1162" t="s">
        <v>19</v>
      </c>
      <c r="P1162" t="s">
        <v>20</v>
      </c>
      <c r="Q1162" t="s">
        <v>18</v>
      </c>
    </row>
    <row r="1163" spans="1:17" x14ac:dyDescent="0.35">
      <c r="A1163">
        <v>1186</v>
      </c>
      <c r="B1163">
        <v>60</v>
      </c>
      <c r="C1163" t="s">
        <v>27</v>
      </c>
      <c r="D1163">
        <v>174</v>
      </c>
      <c r="E1163">
        <v>73</v>
      </c>
      <c r="F1163" s="3">
        <v>24.467490372718199</v>
      </c>
      <c r="G1163" s="3" t="str">
        <f t="shared" si="18"/>
        <v>Normal Weight</v>
      </c>
      <c r="H1163" t="s">
        <v>912</v>
      </c>
      <c r="I1163" t="s">
        <v>18</v>
      </c>
      <c r="J1163" t="s">
        <v>20</v>
      </c>
      <c r="K1163" t="s">
        <v>18</v>
      </c>
      <c r="L1163" t="s">
        <v>29</v>
      </c>
      <c r="M1163" t="s">
        <v>19</v>
      </c>
      <c r="N1163" t="s">
        <v>25</v>
      </c>
      <c r="O1163" t="s">
        <v>20</v>
      </c>
      <c r="P1163" t="s">
        <v>20</v>
      </c>
      <c r="Q1163" t="s">
        <v>22</v>
      </c>
    </row>
    <row r="1164" spans="1:17" x14ac:dyDescent="0.35">
      <c r="A1164">
        <v>241</v>
      </c>
      <c r="B1164">
        <v>44</v>
      </c>
      <c r="C1164" t="s">
        <v>16</v>
      </c>
      <c r="D1164">
        <v>163</v>
      </c>
      <c r="E1164">
        <v>66</v>
      </c>
      <c r="F1164" s="3">
        <v>30.686009881049898</v>
      </c>
      <c r="G1164" s="3" t="str">
        <f t="shared" si="18"/>
        <v>Obese</v>
      </c>
      <c r="H1164" t="s">
        <v>254</v>
      </c>
      <c r="I1164" t="s">
        <v>31</v>
      </c>
      <c r="J1164" t="s">
        <v>20</v>
      </c>
      <c r="K1164" t="s">
        <v>22</v>
      </c>
      <c r="L1164" t="s">
        <v>32</v>
      </c>
      <c r="M1164" t="s">
        <v>20</v>
      </c>
      <c r="N1164" t="s">
        <v>25</v>
      </c>
      <c r="O1164" t="s">
        <v>20</v>
      </c>
      <c r="P1164" t="s">
        <v>19</v>
      </c>
      <c r="Q1164" t="s">
        <v>22</v>
      </c>
    </row>
    <row r="1165" spans="1:17" x14ac:dyDescent="0.35">
      <c r="A1165">
        <v>1187</v>
      </c>
      <c r="B1165">
        <v>65</v>
      </c>
      <c r="C1165" t="s">
        <v>27</v>
      </c>
      <c r="D1165">
        <v>169</v>
      </c>
      <c r="E1165">
        <v>97</v>
      </c>
      <c r="F1165" s="3">
        <v>20.288606149824201</v>
      </c>
      <c r="G1165" s="3" t="str">
        <f t="shared" si="18"/>
        <v>Normal Weight</v>
      </c>
      <c r="H1165" t="s">
        <v>913</v>
      </c>
      <c r="I1165" t="s">
        <v>31</v>
      </c>
      <c r="J1165" t="s">
        <v>20</v>
      </c>
      <c r="K1165" t="s">
        <v>18</v>
      </c>
      <c r="L1165" t="s">
        <v>32</v>
      </c>
      <c r="M1165" t="s">
        <v>20</v>
      </c>
      <c r="N1165" t="s">
        <v>21</v>
      </c>
      <c r="O1165" t="s">
        <v>20</v>
      </c>
      <c r="P1165" t="s">
        <v>20</v>
      </c>
      <c r="Q1165" t="s">
        <v>18</v>
      </c>
    </row>
    <row r="1166" spans="1:17" x14ac:dyDescent="0.35">
      <c r="A1166">
        <v>443</v>
      </c>
      <c r="B1166">
        <v>44</v>
      </c>
      <c r="C1166" t="s">
        <v>16</v>
      </c>
      <c r="D1166">
        <v>150</v>
      </c>
      <c r="E1166">
        <v>71</v>
      </c>
      <c r="F1166" s="3">
        <v>25.008909948841101</v>
      </c>
      <c r="G1166" s="3" t="str">
        <f t="shared" si="18"/>
        <v>Overweight</v>
      </c>
      <c r="H1166" t="s">
        <v>143</v>
      </c>
      <c r="I1166" t="s">
        <v>24</v>
      </c>
      <c r="J1166" t="s">
        <v>20</v>
      </c>
      <c r="K1166" t="s">
        <v>22</v>
      </c>
      <c r="L1166" t="s">
        <v>32</v>
      </c>
      <c r="M1166" t="s">
        <v>20</v>
      </c>
      <c r="N1166" t="s">
        <v>25</v>
      </c>
      <c r="O1166" t="s">
        <v>19</v>
      </c>
      <c r="P1166" t="s">
        <v>19</v>
      </c>
      <c r="Q1166" t="s">
        <v>18</v>
      </c>
    </row>
    <row r="1167" spans="1:17" x14ac:dyDescent="0.35">
      <c r="A1167">
        <v>1188</v>
      </c>
      <c r="B1167">
        <v>78</v>
      </c>
      <c r="C1167" t="s">
        <v>27</v>
      </c>
      <c r="D1167">
        <v>180</v>
      </c>
      <c r="E1167">
        <v>88</v>
      </c>
      <c r="F1167" s="3">
        <v>32.952894866072299</v>
      </c>
      <c r="G1167" s="3" t="str">
        <f t="shared" si="18"/>
        <v>Obese</v>
      </c>
      <c r="H1167" t="s">
        <v>914</v>
      </c>
      <c r="I1167" t="s">
        <v>18</v>
      </c>
      <c r="J1167" t="s">
        <v>20</v>
      </c>
      <c r="K1167" t="s">
        <v>40</v>
      </c>
      <c r="L1167" t="s">
        <v>32</v>
      </c>
      <c r="M1167" t="s">
        <v>19</v>
      </c>
      <c r="N1167" t="s">
        <v>25</v>
      </c>
      <c r="O1167" t="s">
        <v>19</v>
      </c>
      <c r="P1167" t="s">
        <v>19</v>
      </c>
      <c r="Q1167" t="s">
        <v>18</v>
      </c>
    </row>
    <row r="1168" spans="1:17" x14ac:dyDescent="0.35">
      <c r="A1168">
        <v>504</v>
      </c>
      <c r="B1168">
        <v>44</v>
      </c>
      <c r="C1168" t="s">
        <v>16</v>
      </c>
      <c r="D1168">
        <v>153</v>
      </c>
      <c r="E1168">
        <v>78</v>
      </c>
      <c r="F1168" s="3">
        <v>34.251994888504598</v>
      </c>
      <c r="G1168" s="3" t="str">
        <f t="shared" si="18"/>
        <v>Obese</v>
      </c>
      <c r="H1168" t="s">
        <v>467</v>
      </c>
      <c r="I1168" t="s">
        <v>24</v>
      </c>
      <c r="J1168" t="s">
        <v>20</v>
      </c>
      <c r="K1168" t="s">
        <v>22</v>
      </c>
      <c r="L1168" t="s">
        <v>14</v>
      </c>
      <c r="M1168" t="s">
        <v>20</v>
      </c>
      <c r="N1168" t="s">
        <v>25</v>
      </c>
      <c r="O1168" t="s">
        <v>19</v>
      </c>
      <c r="P1168" t="s">
        <v>20</v>
      </c>
      <c r="Q1168" t="s">
        <v>22</v>
      </c>
    </row>
    <row r="1169" spans="1:17" x14ac:dyDescent="0.35">
      <c r="A1169">
        <v>1190</v>
      </c>
      <c r="B1169">
        <v>43</v>
      </c>
      <c r="C1169" t="s">
        <v>16</v>
      </c>
      <c r="D1169">
        <v>172</v>
      </c>
      <c r="E1169">
        <v>94</v>
      </c>
      <c r="F1169" s="3">
        <v>21.2739486103624</v>
      </c>
      <c r="G1169" s="3" t="str">
        <f t="shared" si="18"/>
        <v>Normal Weight</v>
      </c>
      <c r="H1169" t="s">
        <v>530</v>
      </c>
      <c r="I1169" t="s">
        <v>18</v>
      </c>
      <c r="J1169" t="s">
        <v>20</v>
      </c>
      <c r="K1169" t="s">
        <v>18</v>
      </c>
      <c r="L1169" t="s">
        <v>32</v>
      </c>
      <c r="M1169" t="s">
        <v>19</v>
      </c>
      <c r="N1169" t="s">
        <v>25</v>
      </c>
      <c r="O1169" t="s">
        <v>20</v>
      </c>
      <c r="P1169" t="s">
        <v>19</v>
      </c>
      <c r="Q1169" t="s">
        <v>40</v>
      </c>
    </row>
    <row r="1170" spans="1:17" x14ac:dyDescent="0.35">
      <c r="A1170">
        <v>1192</v>
      </c>
      <c r="B1170">
        <v>18</v>
      </c>
      <c r="C1170" t="s">
        <v>27</v>
      </c>
      <c r="D1170">
        <v>171</v>
      </c>
      <c r="E1170">
        <v>54</v>
      </c>
      <c r="F1170" s="3">
        <v>26.541684330700502</v>
      </c>
      <c r="G1170" s="3" t="str">
        <f t="shared" si="18"/>
        <v>Overweight</v>
      </c>
      <c r="H1170" t="s">
        <v>916</v>
      </c>
      <c r="I1170" t="s">
        <v>18</v>
      </c>
      <c r="J1170" t="s">
        <v>19</v>
      </c>
      <c r="K1170" t="s">
        <v>18</v>
      </c>
      <c r="L1170" t="s">
        <v>14</v>
      </c>
      <c r="M1170" t="s">
        <v>19</v>
      </c>
      <c r="N1170" t="s">
        <v>25</v>
      </c>
      <c r="O1170" t="s">
        <v>19</v>
      </c>
      <c r="P1170" t="s">
        <v>20</v>
      </c>
      <c r="Q1170" t="s">
        <v>18</v>
      </c>
    </row>
    <row r="1171" spans="1:17" x14ac:dyDescent="0.35">
      <c r="A1171">
        <v>1193</v>
      </c>
      <c r="B1171">
        <v>25</v>
      </c>
      <c r="C1171" t="s">
        <v>27</v>
      </c>
      <c r="D1171">
        <v>186</v>
      </c>
      <c r="E1171">
        <v>74</v>
      </c>
      <c r="F1171" s="3">
        <v>28.8140106193277</v>
      </c>
      <c r="G1171" s="3" t="str">
        <f t="shared" si="18"/>
        <v>Overweight</v>
      </c>
      <c r="H1171" t="s">
        <v>917</v>
      </c>
      <c r="I1171" t="s">
        <v>31</v>
      </c>
      <c r="J1171" t="s">
        <v>20</v>
      </c>
      <c r="K1171" t="s">
        <v>18</v>
      </c>
      <c r="L1171" t="s">
        <v>38</v>
      </c>
      <c r="M1171" t="s">
        <v>19</v>
      </c>
      <c r="N1171" t="s">
        <v>25</v>
      </c>
      <c r="O1171" t="s">
        <v>20</v>
      </c>
      <c r="P1171" t="s">
        <v>20</v>
      </c>
      <c r="Q1171" t="s">
        <v>22</v>
      </c>
    </row>
    <row r="1172" spans="1:17" x14ac:dyDescent="0.35">
      <c r="A1172">
        <v>963</v>
      </c>
      <c r="B1172">
        <v>44</v>
      </c>
      <c r="C1172" t="s">
        <v>27</v>
      </c>
      <c r="D1172">
        <v>150</v>
      </c>
      <c r="E1172">
        <v>53</v>
      </c>
      <c r="F1172" s="3">
        <v>23.209167129646399</v>
      </c>
      <c r="G1172" s="3" t="str">
        <f t="shared" si="18"/>
        <v>Normal Weight</v>
      </c>
      <c r="H1172" t="s">
        <v>717</v>
      </c>
      <c r="I1172" t="s">
        <v>31</v>
      </c>
      <c r="J1172" t="s">
        <v>20</v>
      </c>
      <c r="K1172" t="s">
        <v>22</v>
      </c>
      <c r="L1172" t="s">
        <v>32</v>
      </c>
      <c r="M1172" t="s">
        <v>19</v>
      </c>
      <c r="N1172" t="s">
        <v>25</v>
      </c>
      <c r="O1172" t="s">
        <v>20</v>
      </c>
      <c r="P1172" t="s">
        <v>19</v>
      </c>
      <c r="Q1172" t="s">
        <v>22</v>
      </c>
    </row>
    <row r="1173" spans="1:17" x14ac:dyDescent="0.35">
      <c r="A1173">
        <v>1195</v>
      </c>
      <c r="B1173">
        <v>52</v>
      </c>
      <c r="C1173" t="s">
        <v>27</v>
      </c>
      <c r="D1173">
        <v>156</v>
      </c>
      <c r="E1173">
        <v>67</v>
      </c>
      <c r="F1173" s="3">
        <v>28.066228789080899</v>
      </c>
      <c r="G1173" s="3" t="str">
        <f t="shared" si="18"/>
        <v>Overweight</v>
      </c>
      <c r="H1173" t="s">
        <v>467</v>
      </c>
      <c r="I1173" t="s">
        <v>18</v>
      </c>
      <c r="J1173" t="s">
        <v>20</v>
      </c>
      <c r="K1173" t="s">
        <v>18</v>
      </c>
      <c r="L1173" t="s">
        <v>29</v>
      </c>
      <c r="M1173" t="s">
        <v>19</v>
      </c>
      <c r="N1173" t="s">
        <v>25</v>
      </c>
      <c r="O1173" t="s">
        <v>20</v>
      </c>
      <c r="P1173" t="s">
        <v>19</v>
      </c>
      <c r="Q1173" t="s">
        <v>22</v>
      </c>
    </row>
    <row r="1174" spans="1:17" x14ac:dyDescent="0.35">
      <c r="A1174">
        <v>1196</v>
      </c>
      <c r="B1174">
        <v>78</v>
      </c>
      <c r="C1174" t="s">
        <v>27</v>
      </c>
      <c r="D1174">
        <v>163</v>
      </c>
      <c r="E1174">
        <v>96</v>
      </c>
      <c r="F1174" s="3">
        <v>27.413584901847202</v>
      </c>
      <c r="G1174" s="3" t="str">
        <f t="shared" si="18"/>
        <v>Overweight</v>
      </c>
      <c r="H1174" t="s">
        <v>645</v>
      </c>
      <c r="I1174" t="s">
        <v>18</v>
      </c>
      <c r="J1174" t="s">
        <v>19</v>
      </c>
      <c r="K1174" t="s">
        <v>40</v>
      </c>
      <c r="L1174" t="s">
        <v>32</v>
      </c>
      <c r="M1174" t="s">
        <v>19</v>
      </c>
      <c r="N1174" t="s">
        <v>21</v>
      </c>
      <c r="O1174" t="s">
        <v>20</v>
      </c>
      <c r="P1174" t="s">
        <v>19</v>
      </c>
      <c r="Q1174" t="s">
        <v>22</v>
      </c>
    </row>
    <row r="1175" spans="1:17" x14ac:dyDescent="0.35">
      <c r="A1175">
        <v>1198</v>
      </c>
      <c r="B1175">
        <v>32</v>
      </c>
      <c r="C1175" t="s">
        <v>27</v>
      </c>
      <c r="D1175">
        <v>165</v>
      </c>
      <c r="E1175">
        <v>51</v>
      </c>
      <c r="F1175" s="3">
        <v>19.5379733542973</v>
      </c>
      <c r="G1175" s="3" t="str">
        <f t="shared" si="18"/>
        <v>Normal Weight</v>
      </c>
      <c r="H1175" t="s">
        <v>920</v>
      </c>
      <c r="I1175" t="s">
        <v>24</v>
      </c>
      <c r="J1175" t="s">
        <v>20</v>
      </c>
      <c r="K1175" t="s">
        <v>18</v>
      </c>
      <c r="L1175" t="s">
        <v>14</v>
      </c>
      <c r="M1175" t="s">
        <v>20</v>
      </c>
      <c r="N1175" t="s">
        <v>21</v>
      </c>
      <c r="O1175" t="s">
        <v>19</v>
      </c>
      <c r="P1175" t="s">
        <v>19</v>
      </c>
      <c r="Q1175" t="s">
        <v>40</v>
      </c>
    </row>
    <row r="1176" spans="1:17" x14ac:dyDescent="0.35">
      <c r="A1176">
        <v>1202</v>
      </c>
      <c r="B1176">
        <v>31</v>
      </c>
      <c r="C1176" t="s">
        <v>16</v>
      </c>
      <c r="D1176">
        <v>157</v>
      </c>
      <c r="E1176">
        <v>96</v>
      </c>
      <c r="F1176" s="3">
        <v>30.434950015900299</v>
      </c>
      <c r="G1176" s="3" t="str">
        <f t="shared" si="18"/>
        <v>Obese</v>
      </c>
      <c r="H1176" t="s">
        <v>831</v>
      </c>
      <c r="I1176" t="s">
        <v>18</v>
      </c>
      <c r="J1176" t="s">
        <v>19</v>
      </c>
      <c r="K1176" t="s">
        <v>18</v>
      </c>
      <c r="L1176" t="s">
        <v>32</v>
      </c>
      <c r="M1176" t="s">
        <v>19</v>
      </c>
      <c r="N1176" t="s">
        <v>21</v>
      </c>
      <c r="O1176" t="s">
        <v>20</v>
      </c>
      <c r="P1176" t="s">
        <v>19</v>
      </c>
      <c r="Q1176" t="s">
        <v>18</v>
      </c>
    </row>
    <row r="1177" spans="1:17" x14ac:dyDescent="0.35">
      <c r="A1177">
        <v>1463</v>
      </c>
      <c r="B1177">
        <v>44</v>
      </c>
      <c r="C1177" t="s">
        <v>27</v>
      </c>
      <c r="D1177">
        <v>182</v>
      </c>
      <c r="E1177">
        <v>93</v>
      </c>
      <c r="F1177" s="3">
        <v>31.071917199761099</v>
      </c>
      <c r="G1177" s="3" t="str">
        <f t="shared" si="18"/>
        <v>Obese</v>
      </c>
      <c r="H1177" t="s">
        <v>1057</v>
      </c>
      <c r="I1177" t="s">
        <v>18</v>
      </c>
      <c r="J1177" t="s">
        <v>19</v>
      </c>
      <c r="K1177" t="s">
        <v>22</v>
      </c>
      <c r="L1177" t="s">
        <v>29</v>
      </c>
      <c r="M1177" t="s">
        <v>20</v>
      </c>
      <c r="N1177" t="s">
        <v>21</v>
      </c>
      <c r="O1177" t="s">
        <v>20</v>
      </c>
      <c r="P1177" t="s">
        <v>19</v>
      </c>
      <c r="Q1177" t="s">
        <v>40</v>
      </c>
    </row>
    <row r="1178" spans="1:17" x14ac:dyDescent="0.35">
      <c r="A1178">
        <v>1471</v>
      </c>
      <c r="B1178">
        <v>44</v>
      </c>
      <c r="C1178" t="s">
        <v>16</v>
      </c>
      <c r="D1178">
        <v>158</v>
      </c>
      <c r="E1178">
        <v>79</v>
      </c>
      <c r="F1178" s="3">
        <v>34.134824584346703</v>
      </c>
      <c r="G1178" s="3" t="str">
        <f t="shared" si="18"/>
        <v>Obese</v>
      </c>
      <c r="H1178" t="s">
        <v>1059</v>
      </c>
      <c r="I1178" t="s">
        <v>18</v>
      </c>
      <c r="J1178" t="s">
        <v>20</v>
      </c>
      <c r="K1178" t="s">
        <v>22</v>
      </c>
      <c r="L1178" t="s">
        <v>38</v>
      </c>
      <c r="M1178" t="s">
        <v>20</v>
      </c>
      <c r="N1178" t="s">
        <v>21</v>
      </c>
      <c r="O1178" t="s">
        <v>20</v>
      </c>
      <c r="P1178" t="s">
        <v>20</v>
      </c>
      <c r="Q1178" t="s">
        <v>40</v>
      </c>
    </row>
    <row r="1179" spans="1:17" x14ac:dyDescent="0.35">
      <c r="A1179">
        <v>1203</v>
      </c>
      <c r="B1179">
        <v>43</v>
      </c>
      <c r="C1179" t="s">
        <v>16</v>
      </c>
      <c r="D1179">
        <v>182</v>
      </c>
      <c r="E1179">
        <v>61</v>
      </c>
      <c r="F1179" s="3">
        <v>20.744927868122101</v>
      </c>
      <c r="G1179" s="3" t="str">
        <f t="shared" si="18"/>
        <v>Normal Weight</v>
      </c>
      <c r="H1179" t="s">
        <v>830</v>
      </c>
      <c r="I1179" t="s">
        <v>31</v>
      </c>
      <c r="J1179" t="s">
        <v>19</v>
      </c>
      <c r="K1179" t="s">
        <v>18</v>
      </c>
      <c r="L1179" t="s">
        <v>14</v>
      </c>
      <c r="M1179" t="s">
        <v>19</v>
      </c>
      <c r="N1179" t="s">
        <v>25</v>
      </c>
      <c r="O1179" t="s">
        <v>19</v>
      </c>
      <c r="P1179" t="s">
        <v>19</v>
      </c>
      <c r="Q1179" t="s">
        <v>40</v>
      </c>
    </row>
    <row r="1180" spans="1:17" x14ac:dyDescent="0.35">
      <c r="A1180">
        <v>1205</v>
      </c>
      <c r="B1180">
        <v>40</v>
      </c>
      <c r="C1180" t="s">
        <v>16</v>
      </c>
      <c r="D1180">
        <v>160</v>
      </c>
      <c r="E1180">
        <v>62</v>
      </c>
      <c r="F1180" s="3">
        <v>21.053969574960799</v>
      </c>
      <c r="G1180" s="3" t="str">
        <f t="shared" si="18"/>
        <v>Normal Weight</v>
      </c>
      <c r="H1180" t="s">
        <v>924</v>
      </c>
      <c r="I1180" t="s">
        <v>24</v>
      </c>
      <c r="J1180" t="s">
        <v>19</v>
      </c>
      <c r="K1180" t="s">
        <v>18</v>
      </c>
      <c r="L1180" t="s">
        <v>38</v>
      </c>
      <c r="M1180" t="s">
        <v>19</v>
      </c>
      <c r="N1180" t="s">
        <v>21</v>
      </c>
      <c r="O1180" t="s">
        <v>19</v>
      </c>
      <c r="P1180" t="s">
        <v>19</v>
      </c>
      <c r="Q1180" t="s">
        <v>40</v>
      </c>
    </row>
    <row r="1181" spans="1:17" x14ac:dyDescent="0.35">
      <c r="A1181">
        <v>1598</v>
      </c>
      <c r="B1181">
        <v>44</v>
      </c>
      <c r="C1181" t="s">
        <v>16</v>
      </c>
      <c r="D1181">
        <v>161</v>
      </c>
      <c r="E1181">
        <v>56</v>
      </c>
      <c r="F1181" s="3">
        <v>18.640177047018899</v>
      </c>
      <c r="G1181" s="3" t="str">
        <f t="shared" si="18"/>
        <v>Normal Weight</v>
      </c>
      <c r="H1181" t="s">
        <v>708</v>
      </c>
      <c r="I1181" t="s">
        <v>18</v>
      </c>
      <c r="J1181" t="s">
        <v>19</v>
      </c>
      <c r="K1181" t="s">
        <v>22</v>
      </c>
      <c r="L1181" t="s">
        <v>14</v>
      </c>
      <c r="M1181" t="s">
        <v>20</v>
      </c>
      <c r="N1181" t="s">
        <v>21</v>
      </c>
      <c r="O1181" t="s">
        <v>19</v>
      </c>
      <c r="P1181" t="s">
        <v>20</v>
      </c>
      <c r="Q1181" t="s">
        <v>18</v>
      </c>
    </row>
    <row r="1182" spans="1:17" x14ac:dyDescent="0.35">
      <c r="A1182">
        <v>1600</v>
      </c>
      <c r="B1182">
        <v>44</v>
      </c>
      <c r="C1182" t="s">
        <v>27</v>
      </c>
      <c r="D1182">
        <v>160</v>
      </c>
      <c r="E1182">
        <v>80</v>
      </c>
      <c r="F1182" s="3">
        <v>30.264735815718701</v>
      </c>
      <c r="G1182" s="3" t="str">
        <f t="shared" si="18"/>
        <v>Obese</v>
      </c>
      <c r="H1182" t="s">
        <v>1015</v>
      </c>
      <c r="I1182" t="s">
        <v>18</v>
      </c>
      <c r="J1182" t="s">
        <v>19</v>
      </c>
      <c r="K1182" t="s">
        <v>22</v>
      </c>
      <c r="L1182" t="s">
        <v>32</v>
      </c>
      <c r="M1182" t="s">
        <v>19</v>
      </c>
      <c r="N1182" t="s">
        <v>21</v>
      </c>
      <c r="O1182" t="s">
        <v>20</v>
      </c>
      <c r="P1182" t="s">
        <v>20</v>
      </c>
      <c r="Q1182" t="s">
        <v>40</v>
      </c>
    </row>
    <row r="1183" spans="1:17" x14ac:dyDescent="0.35">
      <c r="A1183">
        <v>1827</v>
      </c>
      <c r="B1183">
        <v>44</v>
      </c>
      <c r="C1183" t="s">
        <v>27</v>
      </c>
      <c r="D1183">
        <v>169</v>
      </c>
      <c r="E1183">
        <v>85</v>
      </c>
      <c r="F1183" s="3">
        <v>26.8017036533472</v>
      </c>
      <c r="G1183" s="3" t="str">
        <f t="shared" si="18"/>
        <v>Overweight</v>
      </c>
      <c r="H1183" t="s">
        <v>863</v>
      </c>
      <c r="I1183" t="s">
        <v>24</v>
      </c>
      <c r="J1183" t="s">
        <v>20</v>
      </c>
      <c r="K1183" t="s">
        <v>22</v>
      </c>
      <c r="L1183" t="s">
        <v>14</v>
      </c>
      <c r="M1183" t="s">
        <v>20</v>
      </c>
      <c r="N1183" t="s">
        <v>25</v>
      </c>
      <c r="O1183" t="s">
        <v>19</v>
      </c>
      <c r="P1183" t="s">
        <v>20</v>
      </c>
      <c r="Q1183" t="s">
        <v>40</v>
      </c>
    </row>
    <row r="1184" spans="1:17" x14ac:dyDescent="0.35">
      <c r="A1184">
        <v>1207</v>
      </c>
      <c r="B1184">
        <v>41</v>
      </c>
      <c r="C1184" t="s">
        <v>27</v>
      </c>
      <c r="D1184">
        <v>176</v>
      </c>
      <c r="E1184">
        <v>96</v>
      </c>
      <c r="F1184" s="3">
        <v>22.6081188361625</v>
      </c>
      <c r="G1184" s="3" t="str">
        <f t="shared" si="18"/>
        <v>Normal Weight</v>
      </c>
      <c r="H1184" t="s">
        <v>926</v>
      </c>
      <c r="I1184" t="s">
        <v>31</v>
      </c>
      <c r="J1184" t="s">
        <v>20</v>
      </c>
      <c r="K1184" t="s">
        <v>18</v>
      </c>
      <c r="L1184" t="s">
        <v>29</v>
      </c>
      <c r="M1184" t="s">
        <v>20</v>
      </c>
      <c r="N1184" t="s">
        <v>21</v>
      </c>
      <c r="O1184" t="s">
        <v>20</v>
      </c>
      <c r="P1184" t="s">
        <v>20</v>
      </c>
      <c r="Q1184" t="s">
        <v>18</v>
      </c>
    </row>
    <row r="1185" spans="1:17" x14ac:dyDescent="0.35">
      <c r="A1185">
        <v>70</v>
      </c>
      <c r="B1185">
        <v>43</v>
      </c>
      <c r="C1185" t="s">
        <v>27</v>
      </c>
      <c r="D1185">
        <v>173</v>
      </c>
      <c r="E1185">
        <v>85</v>
      </c>
      <c r="F1185" s="3">
        <v>27.205201558990701</v>
      </c>
      <c r="G1185" s="3" t="str">
        <f t="shared" si="18"/>
        <v>Overweight</v>
      </c>
      <c r="H1185" t="s">
        <v>99</v>
      </c>
      <c r="I1185" t="s">
        <v>31</v>
      </c>
      <c r="J1185" t="s">
        <v>19</v>
      </c>
      <c r="K1185" t="s">
        <v>22</v>
      </c>
      <c r="L1185" t="s">
        <v>14</v>
      </c>
      <c r="M1185" t="s">
        <v>19</v>
      </c>
      <c r="N1185" t="s">
        <v>25</v>
      </c>
      <c r="O1185" t="s">
        <v>20</v>
      </c>
      <c r="P1185" t="s">
        <v>19</v>
      </c>
      <c r="Q1185" t="s">
        <v>22</v>
      </c>
    </row>
    <row r="1186" spans="1:17" x14ac:dyDescent="0.35">
      <c r="A1186">
        <v>1209</v>
      </c>
      <c r="B1186">
        <v>62</v>
      </c>
      <c r="C1186" t="s">
        <v>27</v>
      </c>
      <c r="D1186">
        <v>166</v>
      </c>
      <c r="E1186">
        <v>68</v>
      </c>
      <c r="F1186" s="3">
        <v>22.7019521371843</v>
      </c>
      <c r="G1186" s="3" t="str">
        <f t="shared" si="18"/>
        <v>Normal Weight</v>
      </c>
      <c r="H1186" t="s">
        <v>928</v>
      </c>
      <c r="I1186" t="s">
        <v>31</v>
      </c>
      <c r="J1186" t="s">
        <v>19</v>
      </c>
      <c r="K1186" t="s">
        <v>18</v>
      </c>
      <c r="L1186" t="s">
        <v>32</v>
      </c>
      <c r="M1186" t="s">
        <v>20</v>
      </c>
      <c r="N1186" t="s">
        <v>21</v>
      </c>
      <c r="O1186" t="s">
        <v>19</v>
      </c>
      <c r="P1186" t="s">
        <v>19</v>
      </c>
      <c r="Q1186" t="s">
        <v>22</v>
      </c>
    </row>
    <row r="1187" spans="1:17" x14ac:dyDescent="0.35">
      <c r="A1187">
        <v>122</v>
      </c>
      <c r="B1187">
        <v>43</v>
      </c>
      <c r="C1187" t="s">
        <v>27</v>
      </c>
      <c r="D1187">
        <v>174</v>
      </c>
      <c r="E1187">
        <v>98</v>
      </c>
      <c r="F1187" s="3">
        <v>22.404061414673802</v>
      </c>
      <c r="G1187" s="3" t="str">
        <f t="shared" si="18"/>
        <v>Normal Weight</v>
      </c>
      <c r="H1187" t="s">
        <v>128</v>
      </c>
      <c r="I1187" t="s">
        <v>31</v>
      </c>
      <c r="J1187" t="s">
        <v>19</v>
      </c>
      <c r="K1187" t="s">
        <v>22</v>
      </c>
      <c r="L1187" t="s">
        <v>14</v>
      </c>
      <c r="M1187" t="s">
        <v>19</v>
      </c>
      <c r="N1187" t="s">
        <v>21</v>
      </c>
      <c r="O1187" t="s">
        <v>19</v>
      </c>
      <c r="P1187" t="s">
        <v>20</v>
      </c>
      <c r="Q1187" t="s">
        <v>18</v>
      </c>
    </row>
    <row r="1188" spans="1:17" x14ac:dyDescent="0.35">
      <c r="A1188">
        <v>181</v>
      </c>
      <c r="B1188">
        <v>43</v>
      </c>
      <c r="C1188" t="s">
        <v>16</v>
      </c>
      <c r="D1188">
        <v>174</v>
      </c>
      <c r="E1188">
        <v>59</v>
      </c>
      <c r="F1188" s="3">
        <v>28.453015524641799</v>
      </c>
      <c r="G1188" s="3" t="str">
        <f t="shared" si="18"/>
        <v>Overweight</v>
      </c>
      <c r="H1188" t="s">
        <v>201</v>
      </c>
      <c r="I1188" t="s">
        <v>31</v>
      </c>
      <c r="J1188" t="s">
        <v>19</v>
      </c>
      <c r="K1188" t="s">
        <v>22</v>
      </c>
      <c r="L1188" t="s">
        <v>38</v>
      </c>
      <c r="M1188" t="s">
        <v>20</v>
      </c>
      <c r="N1188" t="s">
        <v>25</v>
      </c>
      <c r="O1188" t="s">
        <v>19</v>
      </c>
      <c r="P1188" t="s">
        <v>19</v>
      </c>
      <c r="Q1188" t="s">
        <v>40</v>
      </c>
    </row>
    <row r="1189" spans="1:17" x14ac:dyDescent="0.35">
      <c r="A1189">
        <v>189</v>
      </c>
      <c r="B1189">
        <v>43</v>
      </c>
      <c r="C1189" t="s">
        <v>27</v>
      </c>
      <c r="D1189">
        <v>166</v>
      </c>
      <c r="E1189">
        <v>94</v>
      </c>
      <c r="F1189" s="3">
        <v>25.205872853471298</v>
      </c>
      <c r="G1189" s="3" t="str">
        <f t="shared" si="18"/>
        <v>Overweight</v>
      </c>
      <c r="H1189" t="s">
        <v>208</v>
      </c>
      <c r="I1189" t="s">
        <v>24</v>
      </c>
      <c r="J1189" t="s">
        <v>20</v>
      </c>
      <c r="K1189" t="s">
        <v>22</v>
      </c>
      <c r="L1189" t="s">
        <v>32</v>
      </c>
      <c r="M1189" t="s">
        <v>20</v>
      </c>
      <c r="N1189" t="s">
        <v>25</v>
      </c>
      <c r="O1189" t="s">
        <v>20</v>
      </c>
      <c r="P1189" t="s">
        <v>19</v>
      </c>
      <c r="Q1189" t="s">
        <v>40</v>
      </c>
    </row>
    <row r="1190" spans="1:17" x14ac:dyDescent="0.35">
      <c r="A1190">
        <v>299</v>
      </c>
      <c r="B1190">
        <v>43</v>
      </c>
      <c r="C1190" t="s">
        <v>16</v>
      </c>
      <c r="D1190">
        <v>150</v>
      </c>
      <c r="E1190">
        <v>66</v>
      </c>
      <c r="F1190" s="3">
        <v>32.738833784664799</v>
      </c>
      <c r="G1190" s="3" t="str">
        <f t="shared" si="18"/>
        <v>Obese</v>
      </c>
      <c r="H1190" t="s">
        <v>307</v>
      </c>
      <c r="I1190" t="s">
        <v>18</v>
      </c>
      <c r="J1190" t="s">
        <v>19</v>
      </c>
      <c r="K1190" t="s">
        <v>22</v>
      </c>
      <c r="L1190" t="s">
        <v>38</v>
      </c>
      <c r="M1190" t="s">
        <v>19</v>
      </c>
      <c r="N1190" t="s">
        <v>21</v>
      </c>
      <c r="O1190" t="s">
        <v>19</v>
      </c>
      <c r="P1190" t="s">
        <v>20</v>
      </c>
      <c r="Q1190" t="s">
        <v>40</v>
      </c>
    </row>
    <row r="1191" spans="1:17" x14ac:dyDescent="0.35">
      <c r="A1191">
        <v>1211</v>
      </c>
      <c r="B1191">
        <v>31</v>
      </c>
      <c r="C1191" t="s">
        <v>27</v>
      </c>
      <c r="D1191">
        <v>182</v>
      </c>
      <c r="E1191">
        <v>88</v>
      </c>
      <c r="F1191" s="3">
        <v>25.222230042352301</v>
      </c>
      <c r="G1191" s="3" t="str">
        <f t="shared" si="18"/>
        <v>Overweight</v>
      </c>
      <c r="H1191" t="s">
        <v>930</v>
      </c>
      <c r="I1191" t="s">
        <v>24</v>
      </c>
      <c r="J1191" t="s">
        <v>20</v>
      </c>
      <c r="K1191" t="s">
        <v>18</v>
      </c>
      <c r="L1191" t="s">
        <v>29</v>
      </c>
      <c r="M1191" t="s">
        <v>20</v>
      </c>
      <c r="N1191" t="s">
        <v>21</v>
      </c>
      <c r="O1191" t="s">
        <v>19</v>
      </c>
      <c r="P1191" t="s">
        <v>19</v>
      </c>
      <c r="Q1191" t="s">
        <v>18</v>
      </c>
    </row>
    <row r="1192" spans="1:17" x14ac:dyDescent="0.35">
      <c r="A1192">
        <v>360</v>
      </c>
      <c r="B1192">
        <v>43</v>
      </c>
      <c r="C1192" t="s">
        <v>16</v>
      </c>
      <c r="D1192">
        <v>169</v>
      </c>
      <c r="E1192">
        <v>93</v>
      </c>
      <c r="F1192" s="3">
        <v>25.971609287191299</v>
      </c>
      <c r="G1192" s="3" t="str">
        <f t="shared" si="18"/>
        <v>Overweight</v>
      </c>
      <c r="H1192" t="s">
        <v>362</v>
      </c>
      <c r="I1192" t="s">
        <v>31</v>
      </c>
      <c r="J1192" t="s">
        <v>19</v>
      </c>
      <c r="K1192" t="s">
        <v>22</v>
      </c>
      <c r="L1192" t="s">
        <v>29</v>
      </c>
      <c r="M1192" t="s">
        <v>20</v>
      </c>
      <c r="N1192" t="s">
        <v>25</v>
      </c>
      <c r="O1192" t="s">
        <v>19</v>
      </c>
      <c r="P1192" t="s">
        <v>20</v>
      </c>
      <c r="Q1192" t="s">
        <v>18</v>
      </c>
    </row>
    <row r="1193" spans="1:17" x14ac:dyDescent="0.35">
      <c r="A1193">
        <v>507</v>
      </c>
      <c r="B1193">
        <v>43</v>
      </c>
      <c r="C1193" t="s">
        <v>27</v>
      </c>
      <c r="D1193">
        <v>173</v>
      </c>
      <c r="E1193">
        <v>85</v>
      </c>
      <c r="F1193" s="3">
        <v>19.6226156825125</v>
      </c>
      <c r="G1193" s="3" t="str">
        <f t="shared" si="18"/>
        <v>Normal Weight</v>
      </c>
      <c r="H1193" t="s">
        <v>470</v>
      </c>
      <c r="I1193" t="s">
        <v>31</v>
      </c>
      <c r="J1193" t="s">
        <v>20</v>
      </c>
      <c r="K1193" t="s">
        <v>22</v>
      </c>
      <c r="L1193" t="s">
        <v>29</v>
      </c>
      <c r="M1193" t="s">
        <v>20</v>
      </c>
      <c r="N1193" t="s">
        <v>25</v>
      </c>
      <c r="O1193" t="s">
        <v>19</v>
      </c>
      <c r="P1193" t="s">
        <v>20</v>
      </c>
      <c r="Q1193" t="s">
        <v>40</v>
      </c>
    </row>
    <row r="1194" spans="1:17" x14ac:dyDescent="0.35">
      <c r="A1194">
        <v>1213</v>
      </c>
      <c r="B1194">
        <v>73</v>
      </c>
      <c r="C1194" t="s">
        <v>16</v>
      </c>
      <c r="D1194">
        <v>177</v>
      </c>
      <c r="E1194">
        <v>95</v>
      </c>
      <c r="F1194" s="3">
        <v>19.422784777115702</v>
      </c>
      <c r="G1194" s="3" t="str">
        <f t="shared" si="18"/>
        <v>Normal Weight</v>
      </c>
      <c r="H1194" t="s">
        <v>278</v>
      </c>
      <c r="I1194" t="s">
        <v>24</v>
      </c>
      <c r="J1194" t="s">
        <v>19</v>
      </c>
      <c r="K1194" t="s">
        <v>40</v>
      </c>
      <c r="L1194" t="s">
        <v>29</v>
      </c>
      <c r="M1194" t="s">
        <v>20</v>
      </c>
      <c r="N1194" t="s">
        <v>25</v>
      </c>
      <c r="O1194" t="s">
        <v>19</v>
      </c>
      <c r="P1194" t="s">
        <v>19</v>
      </c>
      <c r="Q1194" t="s">
        <v>22</v>
      </c>
    </row>
    <row r="1195" spans="1:17" x14ac:dyDescent="0.35">
      <c r="A1195">
        <v>1215</v>
      </c>
      <c r="B1195">
        <v>24</v>
      </c>
      <c r="C1195" t="s">
        <v>27</v>
      </c>
      <c r="D1195">
        <v>154</v>
      </c>
      <c r="E1195">
        <v>94</v>
      </c>
      <c r="F1195" s="3">
        <v>19.371627249491901</v>
      </c>
      <c r="G1195" s="3" t="str">
        <f t="shared" si="18"/>
        <v>Normal Weight</v>
      </c>
      <c r="H1195" t="s">
        <v>932</v>
      </c>
      <c r="I1195" t="s">
        <v>24</v>
      </c>
      <c r="J1195" t="s">
        <v>20</v>
      </c>
      <c r="K1195" t="s">
        <v>18</v>
      </c>
      <c r="L1195" t="s">
        <v>32</v>
      </c>
      <c r="M1195" t="s">
        <v>19</v>
      </c>
      <c r="N1195" t="s">
        <v>25</v>
      </c>
      <c r="O1195" t="s">
        <v>19</v>
      </c>
      <c r="P1195" t="s">
        <v>20</v>
      </c>
      <c r="Q1195" t="s">
        <v>18</v>
      </c>
    </row>
    <row r="1196" spans="1:17" x14ac:dyDescent="0.35">
      <c r="A1196">
        <v>599</v>
      </c>
      <c r="B1196">
        <v>43</v>
      </c>
      <c r="C1196" t="s">
        <v>27</v>
      </c>
      <c r="D1196">
        <v>179</v>
      </c>
      <c r="E1196">
        <v>75</v>
      </c>
      <c r="F1196" s="3">
        <v>32.277067463768802</v>
      </c>
      <c r="G1196" s="3" t="str">
        <f t="shared" si="18"/>
        <v>Obese</v>
      </c>
      <c r="H1196" t="s">
        <v>397</v>
      </c>
      <c r="I1196" t="s">
        <v>24</v>
      </c>
      <c r="J1196" t="s">
        <v>19</v>
      </c>
      <c r="K1196" t="s">
        <v>22</v>
      </c>
      <c r="L1196" t="s">
        <v>29</v>
      </c>
      <c r="M1196" t="s">
        <v>19</v>
      </c>
      <c r="N1196" t="s">
        <v>21</v>
      </c>
      <c r="O1196" t="s">
        <v>20</v>
      </c>
      <c r="P1196" t="s">
        <v>20</v>
      </c>
      <c r="Q1196" t="s">
        <v>18</v>
      </c>
    </row>
    <row r="1197" spans="1:17" x14ac:dyDescent="0.35">
      <c r="A1197">
        <v>630</v>
      </c>
      <c r="B1197">
        <v>43</v>
      </c>
      <c r="C1197" t="s">
        <v>27</v>
      </c>
      <c r="D1197">
        <v>152</v>
      </c>
      <c r="E1197">
        <v>91</v>
      </c>
      <c r="F1197" s="3">
        <v>19.4091753301207</v>
      </c>
      <c r="G1197" s="3" t="str">
        <f t="shared" si="18"/>
        <v>Normal Weight</v>
      </c>
      <c r="H1197" t="s">
        <v>571</v>
      </c>
      <c r="I1197" t="s">
        <v>31</v>
      </c>
      <c r="J1197" t="s">
        <v>19</v>
      </c>
      <c r="K1197" t="s">
        <v>22</v>
      </c>
      <c r="L1197" t="s">
        <v>29</v>
      </c>
      <c r="M1197" t="s">
        <v>20</v>
      </c>
      <c r="N1197" t="s">
        <v>21</v>
      </c>
      <c r="O1197" t="s">
        <v>19</v>
      </c>
      <c r="P1197" t="s">
        <v>19</v>
      </c>
      <c r="Q1197" t="s">
        <v>18</v>
      </c>
    </row>
    <row r="1198" spans="1:17" x14ac:dyDescent="0.35">
      <c r="A1198">
        <v>649</v>
      </c>
      <c r="B1198">
        <v>43</v>
      </c>
      <c r="C1198" t="s">
        <v>16</v>
      </c>
      <c r="D1198">
        <v>183</v>
      </c>
      <c r="E1198">
        <v>91</v>
      </c>
      <c r="F1198" s="3">
        <v>19.1566526010382</v>
      </c>
      <c r="G1198" s="3" t="str">
        <f t="shared" si="18"/>
        <v>Normal Weight</v>
      </c>
      <c r="H1198" t="s">
        <v>587</v>
      </c>
      <c r="I1198" t="s">
        <v>31</v>
      </c>
      <c r="J1198" t="s">
        <v>20</v>
      </c>
      <c r="K1198" t="s">
        <v>22</v>
      </c>
      <c r="L1198" t="s">
        <v>14</v>
      </c>
      <c r="M1198" t="s">
        <v>19</v>
      </c>
      <c r="N1198" t="s">
        <v>21</v>
      </c>
      <c r="O1198" t="s">
        <v>19</v>
      </c>
      <c r="P1198" t="s">
        <v>20</v>
      </c>
      <c r="Q1198" t="s">
        <v>22</v>
      </c>
    </row>
    <row r="1199" spans="1:17" x14ac:dyDescent="0.35">
      <c r="A1199">
        <v>1216</v>
      </c>
      <c r="B1199">
        <v>20</v>
      </c>
      <c r="C1199" t="s">
        <v>16</v>
      </c>
      <c r="D1199">
        <v>182</v>
      </c>
      <c r="E1199">
        <v>93</v>
      </c>
      <c r="F1199" s="3">
        <v>28.8263797172092</v>
      </c>
      <c r="G1199" s="3" t="str">
        <f t="shared" si="18"/>
        <v>Overweight</v>
      </c>
      <c r="H1199" t="s">
        <v>933</v>
      </c>
      <c r="I1199" t="s">
        <v>24</v>
      </c>
      <c r="J1199" t="s">
        <v>19</v>
      </c>
      <c r="K1199" t="s">
        <v>18</v>
      </c>
      <c r="L1199" t="s">
        <v>29</v>
      </c>
      <c r="M1199" t="s">
        <v>19</v>
      </c>
      <c r="N1199" t="s">
        <v>25</v>
      </c>
      <c r="O1199" t="s">
        <v>19</v>
      </c>
      <c r="P1199" t="s">
        <v>19</v>
      </c>
      <c r="Q1199" t="s">
        <v>18</v>
      </c>
    </row>
    <row r="1200" spans="1:17" x14ac:dyDescent="0.35">
      <c r="A1200">
        <v>1218</v>
      </c>
      <c r="B1200">
        <v>40</v>
      </c>
      <c r="C1200" t="s">
        <v>27</v>
      </c>
      <c r="D1200">
        <v>171</v>
      </c>
      <c r="E1200">
        <v>90</v>
      </c>
      <c r="F1200" s="3">
        <v>32.301255666705998</v>
      </c>
      <c r="G1200" s="3" t="str">
        <f t="shared" si="18"/>
        <v>Obese</v>
      </c>
      <c r="H1200" t="s">
        <v>934</v>
      </c>
      <c r="I1200" t="s">
        <v>18</v>
      </c>
      <c r="J1200" t="s">
        <v>20</v>
      </c>
      <c r="K1200" t="s">
        <v>18</v>
      </c>
      <c r="L1200" t="s">
        <v>32</v>
      </c>
      <c r="M1200" t="s">
        <v>20</v>
      </c>
      <c r="N1200" t="s">
        <v>21</v>
      </c>
      <c r="O1200" t="s">
        <v>20</v>
      </c>
      <c r="P1200" t="s">
        <v>20</v>
      </c>
      <c r="Q1200" t="s">
        <v>22</v>
      </c>
    </row>
    <row r="1201" spans="1:17" x14ac:dyDescent="0.35">
      <c r="A1201">
        <v>722</v>
      </c>
      <c r="B1201">
        <v>43</v>
      </c>
      <c r="C1201" t="s">
        <v>27</v>
      </c>
      <c r="D1201">
        <v>164</v>
      </c>
      <c r="E1201">
        <v>52</v>
      </c>
      <c r="F1201" s="3">
        <v>21.247308526316999</v>
      </c>
      <c r="G1201" s="3" t="str">
        <f t="shared" si="18"/>
        <v>Normal Weight</v>
      </c>
      <c r="H1201" t="s">
        <v>441</v>
      </c>
      <c r="I1201" t="s">
        <v>31</v>
      </c>
      <c r="J1201" t="s">
        <v>19</v>
      </c>
      <c r="K1201" t="s">
        <v>22</v>
      </c>
      <c r="L1201" t="s">
        <v>14</v>
      </c>
      <c r="M1201" t="s">
        <v>20</v>
      </c>
      <c r="N1201" t="s">
        <v>21</v>
      </c>
      <c r="O1201" t="s">
        <v>19</v>
      </c>
      <c r="P1201" t="s">
        <v>19</v>
      </c>
      <c r="Q1201" t="s">
        <v>22</v>
      </c>
    </row>
    <row r="1202" spans="1:17" x14ac:dyDescent="0.35">
      <c r="A1202">
        <v>724</v>
      </c>
      <c r="B1202">
        <v>43</v>
      </c>
      <c r="C1202" t="s">
        <v>16</v>
      </c>
      <c r="D1202">
        <v>168</v>
      </c>
      <c r="E1202">
        <v>81</v>
      </c>
      <c r="F1202" s="3">
        <v>21.4021896764079</v>
      </c>
      <c r="G1202" s="3" t="str">
        <f t="shared" si="18"/>
        <v>Normal Weight</v>
      </c>
      <c r="H1202" t="s">
        <v>637</v>
      </c>
      <c r="I1202" t="s">
        <v>31</v>
      </c>
      <c r="J1202" t="s">
        <v>19</v>
      </c>
      <c r="K1202" t="s">
        <v>22</v>
      </c>
      <c r="L1202" t="s">
        <v>32</v>
      </c>
      <c r="M1202" t="s">
        <v>20</v>
      </c>
      <c r="N1202" t="s">
        <v>21</v>
      </c>
      <c r="O1202" t="s">
        <v>19</v>
      </c>
      <c r="P1202" t="s">
        <v>20</v>
      </c>
      <c r="Q1202" t="s">
        <v>22</v>
      </c>
    </row>
    <row r="1203" spans="1:17" x14ac:dyDescent="0.35">
      <c r="A1203">
        <v>873</v>
      </c>
      <c r="B1203">
        <v>43</v>
      </c>
      <c r="C1203" t="s">
        <v>16</v>
      </c>
      <c r="D1203">
        <v>154</v>
      </c>
      <c r="E1203">
        <v>91</v>
      </c>
      <c r="F1203" s="3">
        <v>24.4654130980887</v>
      </c>
      <c r="G1203" s="3" t="str">
        <f t="shared" si="18"/>
        <v>Normal Weight</v>
      </c>
      <c r="H1203" t="s">
        <v>157</v>
      </c>
      <c r="I1203" t="s">
        <v>18</v>
      </c>
      <c r="J1203" t="s">
        <v>20</v>
      </c>
      <c r="K1203" t="s">
        <v>22</v>
      </c>
      <c r="L1203" t="s">
        <v>38</v>
      </c>
      <c r="M1203" t="s">
        <v>19</v>
      </c>
      <c r="N1203" t="s">
        <v>21</v>
      </c>
      <c r="O1203" t="s">
        <v>19</v>
      </c>
      <c r="P1203" t="s">
        <v>20</v>
      </c>
      <c r="Q1203" t="s">
        <v>18</v>
      </c>
    </row>
    <row r="1204" spans="1:17" x14ac:dyDescent="0.35">
      <c r="A1204">
        <v>1219</v>
      </c>
      <c r="B1204">
        <v>63</v>
      </c>
      <c r="C1204" t="s">
        <v>27</v>
      </c>
      <c r="D1204">
        <v>154</v>
      </c>
      <c r="E1204">
        <v>50</v>
      </c>
      <c r="F1204" s="3">
        <v>26.9469874062518</v>
      </c>
      <c r="G1204" s="3" t="str">
        <f t="shared" si="18"/>
        <v>Overweight</v>
      </c>
      <c r="H1204" t="s">
        <v>935</v>
      </c>
      <c r="I1204" t="s">
        <v>31</v>
      </c>
      <c r="J1204" t="s">
        <v>20</v>
      </c>
      <c r="K1204" t="s">
        <v>18</v>
      </c>
      <c r="L1204" t="s">
        <v>38</v>
      </c>
      <c r="M1204" t="s">
        <v>20</v>
      </c>
      <c r="N1204" t="s">
        <v>21</v>
      </c>
      <c r="O1204" t="s">
        <v>19</v>
      </c>
      <c r="P1204" t="s">
        <v>20</v>
      </c>
      <c r="Q1204" t="s">
        <v>22</v>
      </c>
    </row>
    <row r="1205" spans="1:17" x14ac:dyDescent="0.35">
      <c r="A1205">
        <v>1220</v>
      </c>
      <c r="B1205">
        <v>60</v>
      </c>
      <c r="C1205" t="s">
        <v>27</v>
      </c>
      <c r="D1205">
        <v>151</v>
      </c>
      <c r="E1205">
        <v>92</v>
      </c>
      <c r="F1205" s="3">
        <v>27.195625805595299</v>
      </c>
      <c r="G1205" s="3" t="str">
        <f t="shared" si="18"/>
        <v>Overweight</v>
      </c>
      <c r="H1205" t="s">
        <v>936</v>
      </c>
      <c r="I1205" t="s">
        <v>31</v>
      </c>
      <c r="J1205" t="s">
        <v>20</v>
      </c>
      <c r="K1205" t="s">
        <v>18</v>
      </c>
      <c r="L1205" t="s">
        <v>29</v>
      </c>
      <c r="M1205" t="s">
        <v>20</v>
      </c>
      <c r="N1205" t="s">
        <v>25</v>
      </c>
      <c r="O1205" t="s">
        <v>20</v>
      </c>
      <c r="P1205" t="s">
        <v>20</v>
      </c>
      <c r="Q1205" t="s">
        <v>40</v>
      </c>
    </row>
    <row r="1206" spans="1:17" x14ac:dyDescent="0.35">
      <c r="A1206">
        <v>1221</v>
      </c>
      <c r="B1206">
        <v>64</v>
      </c>
      <c r="C1206" t="s">
        <v>27</v>
      </c>
      <c r="D1206">
        <v>179</v>
      </c>
      <c r="E1206">
        <v>71</v>
      </c>
      <c r="F1206" s="3">
        <v>27.766309377251201</v>
      </c>
      <c r="G1206" s="3" t="str">
        <f t="shared" si="18"/>
        <v>Overweight</v>
      </c>
      <c r="H1206" t="s">
        <v>830</v>
      </c>
      <c r="I1206" t="s">
        <v>24</v>
      </c>
      <c r="J1206" t="s">
        <v>19</v>
      </c>
      <c r="K1206" t="s">
        <v>18</v>
      </c>
      <c r="L1206" t="s">
        <v>14</v>
      </c>
      <c r="M1206" t="s">
        <v>19</v>
      </c>
      <c r="N1206" t="s">
        <v>25</v>
      </c>
      <c r="O1206" t="s">
        <v>20</v>
      </c>
      <c r="P1206" t="s">
        <v>20</v>
      </c>
      <c r="Q1206" t="s">
        <v>18</v>
      </c>
    </row>
    <row r="1207" spans="1:17" x14ac:dyDescent="0.35">
      <c r="A1207">
        <v>1169</v>
      </c>
      <c r="B1207">
        <v>43</v>
      </c>
      <c r="C1207" t="s">
        <v>16</v>
      </c>
      <c r="D1207">
        <v>168</v>
      </c>
      <c r="E1207">
        <v>81</v>
      </c>
      <c r="F1207" s="3">
        <v>31.737516002933301</v>
      </c>
      <c r="G1207" s="3" t="str">
        <f t="shared" si="18"/>
        <v>Obese</v>
      </c>
      <c r="H1207" t="s">
        <v>905</v>
      </c>
      <c r="I1207" t="s">
        <v>24</v>
      </c>
      <c r="J1207" t="s">
        <v>20</v>
      </c>
      <c r="K1207" t="s">
        <v>22</v>
      </c>
      <c r="L1207" t="s">
        <v>38</v>
      </c>
      <c r="M1207" t="s">
        <v>19</v>
      </c>
      <c r="N1207" t="s">
        <v>25</v>
      </c>
      <c r="O1207" t="s">
        <v>20</v>
      </c>
      <c r="P1207" t="s">
        <v>20</v>
      </c>
      <c r="Q1207" t="s">
        <v>18</v>
      </c>
    </row>
    <row r="1208" spans="1:17" x14ac:dyDescent="0.35">
      <c r="A1208">
        <v>1223</v>
      </c>
      <c r="B1208">
        <v>62</v>
      </c>
      <c r="C1208" t="s">
        <v>27</v>
      </c>
      <c r="D1208">
        <v>153</v>
      </c>
      <c r="E1208">
        <v>68</v>
      </c>
      <c r="F1208" s="3">
        <v>21.761890001388998</v>
      </c>
      <c r="G1208" s="3" t="str">
        <f t="shared" si="18"/>
        <v>Normal Weight</v>
      </c>
      <c r="H1208" t="s">
        <v>380</v>
      </c>
      <c r="I1208" t="s">
        <v>24</v>
      </c>
      <c r="J1208" t="s">
        <v>19</v>
      </c>
      <c r="K1208" t="s">
        <v>18</v>
      </c>
      <c r="L1208" t="s">
        <v>32</v>
      </c>
      <c r="M1208" t="s">
        <v>20</v>
      </c>
      <c r="N1208" t="s">
        <v>25</v>
      </c>
      <c r="O1208" t="s">
        <v>20</v>
      </c>
      <c r="P1208" t="s">
        <v>20</v>
      </c>
      <c r="Q1208" t="s">
        <v>22</v>
      </c>
    </row>
    <row r="1209" spans="1:17" x14ac:dyDescent="0.35">
      <c r="A1209">
        <v>1224</v>
      </c>
      <c r="B1209">
        <v>35</v>
      </c>
      <c r="C1209" t="s">
        <v>16</v>
      </c>
      <c r="D1209">
        <v>182</v>
      </c>
      <c r="E1209">
        <v>67</v>
      </c>
      <c r="F1209" s="3">
        <v>23.760485827404501</v>
      </c>
      <c r="G1209" s="3" t="str">
        <f t="shared" si="18"/>
        <v>Normal Weight</v>
      </c>
      <c r="H1209" t="s">
        <v>938</v>
      </c>
      <c r="I1209" t="s">
        <v>18</v>
      </c>
      <c r="J1209" t="s">
        <v>20</v>
      </c>
      <c r="K1209" t="s">
        <v>18</v>
      </c>
      <c r="L1209" t="s">
        <v>29</v>
      </c>
      <c r="M1209" t="s">
        <v>20</v>
      </c>
      <c r="N1209" t="s">
        <v>21</v>
      </c>
      <c r="O1209" t="s">
        <v>20</v>
      </c>
      <c r="P1209" t="s">
        <v>20</v>
      </c>
      <c r="Q1209" t="s">
        <v>40</v>
      </c>
    </row>
    <row r="1210" spans="1:17" x14ac:dyDescent="0.35">
      <c r="A1210">
        <v>1226</v>
      </c>
      <c r="B1210">
        <v>55</v>
      </c>
      <c r="C1210" t="s">
        <v>27</v>
      </c>
      <c r="D1210">
        <v>169</v>
      </c>
      <c r="E1210">
        <v>77</v>
      </c>
      <c r="F1210" s="3">
        <v>21.966943303013501</v>
      </c>
      <c r="G1210" s="3" t="str">
        <f t="shared" si="18"/>
        <v>Normal Weight</v>
      </c>
      <c r="H1210" t="s">
        <v>940</v>
      </c>
      <c r="I1210" t="s">
        <v>31</v>
      </c>
      <c r="J1210" t="s">
        <v>19</v>
      </c>
      <c r="K1210" t="s">
        <v>18</v>
      </c>
      <c r="L1210" t="s">
        <v>32</v>
      </c>
      <c r="M1210" t="s">
        <v>20</v>
      </c>
      <c r="N1210" t="s">
        <v>21</v>
      </c>
      <c r="O1210" t="s">
        <v>19</v>
      </c>
      <c r="P1210" t="s">
        <v>19</v>
      </c>
      <c r="Q1210" t="s">
        <v>40</v>
      </c>
    </row>
    <row r="1211" spans="1:17" x14ac:dyDescent="0.35">
      <c r="A1211">
        <v>1228</v>
      </c>
      <c r="B1211">
        <v>68</v>
      </c>
      <c r="C1211" t="s">
        <v>27</v>
      </c>
      <c r="D1211">
        <v>164</v>
      </c>
      <c r="E1211">
        <v>82</v>
      </c>
      <c r="F1211" s="3">
        <v>34.506928625904102</v>
      </c>
      <c r="G1211" s="3" t="str">
        <f t="shared" si="18"/>
        <v>Obese</v>
      </c>
      <c r="H1211" t="s">
        <v>533</v>
      </c>
      <c r="I1211" t="s">
        <v>18</v>
      </c>
      <c r="J1211" t="s">
        <v>20</v>
      </c>
      <c r="K1211" t="s">
        <v>18</v>
      </c>
      <c r="L1211" t="s">
        <v>38</v>
      </c>
      <c r="M1211" t="s">
        <v>19</v>
      </c>
      <c r="N1211" t="s">
        <v>25</v>
      </c>
      <c r="O1211" t="s">
        <v>19</v>
      </c>
      <c r="P1211" t="s">
        <v>19</v>
      </c>
      <c r="Q1211" t="s">
        <v>22</v>
      </c>
    </row>
    <row r="1212" spans="1:17" x14ac:dyDescent="0.35">
      <c r="A1212">
        <v>1210</v>
      </c>
      <c r="B1212">
        <v>43</v>
      </c>
      <c r="C1212" t="s">
        <v>27</v>
      </c>
      <c r="D1212">
        <v>155</v>
      </c>
      <c r="E1212">
        <v>84</v>
      </c>
      <c r="F1212" s="3">
        <v>26.567690286234399</v>
      </c>
      <c r="G1212" s="3" t="str">
        <f t="shared" si="18"/>
        <v>Overweight</v>
      </c>
      <c r="H1212" t="s">
        <v>929</v>
      </c>
      <c r="I1212" t="s">
        <v>31</v>
      </c>
      <c r="J1212" t="s">
        <v>20</v>
      </c>
      <c r="K1212" t="s">
        <v>22</v>
      </c>
      <c r="L1212" t="s">
        <v>32</v>
      </c>
      <c r="M1212" t="s">
        <v>20</v>
      </c>
      <c r="N1212" t="s">
        <v>25</v>
      </c>
      <c r="O1212" t="s">
        <v>19</v>
      </c>
      <c r="P1212" t="s">
        <v>19</v>
      </c>
      <c r="Q1212" t="s">
        <v>18</v>
      </c>
    </row>
    <row r="1213" spans="1:17" x14ac:dyDescent="0.35">
      <c r="A1213">
        <v>1230</v>
      </c>
      <c r="B1213">
        <v>42</v>
      </c>
      <c r="C1213" t="s">
        <v>27</v>
      </c>
      <c r="D1213">
        <v>163</v>
      </c>
      <c r="E1213">
        <v>77</v>
      </c>
      <c r="F1213" s="3">
        <v>31.744507188044299</v>
      </c>
      <c r="G1213" s="3" t="str">
        <f t="shared" si="18"/>
        <v>Obese</v>
      </c>
      <c r="H1213" t="s">
        <v>105</v>
      </c>
      <c r="I1213" t="s">
        <v>31</v>
      </c>
      <c r="J1213" t="s">
        <v>20</v>
      </c>
      <c r="K1213" t="s">
        <v>18</v>
      </c>
      <c r="L1213" t="s">
        <v>14</v>
      </c>
      <c r="M1213" t="s">
        <v>20</v>
      </c>
      <c r="N1213" t="s">
        <v>25</v>
      </c>
      <c r="O1213" t="s">
        <v>19</v>
      </c>
      <c r="P1213" t="s">
        <v>19</v>
      </c>
      <c r="Q1213" t="s">
        <v>40</v>
      </c>
    </row>
    <row r="1214" spans="1:17" x14ac:dyDescent="0.35">
      <c r="A1214">
        <v>1270</v>
      </c>
      <c r="B1214">
        <v>43</v>
      </c>
      <c r="C1214" t="s">
        <v>27</v>
      </c>
      <c r="D1214">
        <v>187</v>
      </c>
      <c r="E1214">
        <v>72</v>
      </c>
      <c r="F1214" s="3">
        <v>28.865408852035198</v>
      </c>
      <c r="G1214" s="3" t="str">
        <f t="shared" si="18"/>
        <v>Overweight</v>
      </c>
      <c r="H1214" t="s">
        <v>962</v>
      </c>
      <c r="I1214" t="s">
        <v>18</v>
      </c>
      <c r="J1214" t="s">
        <v>19</v>
      </c>
      <c r="K1214" t="s">
        <v>22</v>
      </c>
      <c r="L1214" t="s">
        <v>38</v>
      </c>
      <c r="M1214" t="s">
        <v>20</v>
      </c>
      <c r="N1214" t="s">
        <v>25</v>
      </c>
      <c r="O1214" t="s">
        <v>19</v>
      </c>
      <c r="P1214" t="s">
        <v>20</v>
      </c>
      <c r="Q1214" t="s">
        <v>18</v>
      </c>
    </row>
    <row r="1215" spans="1:17" x14ac:dyDescent="0.35">
      <c r="A1215">
        <v>1234</v>
      </c>
      <c r="B1215">
        <v>27</v>
      </c>
      <c r="C1215" t="s">
        <v>16</v>
      </c>
      <c r="D1215">
        <v>169</v>
      </c>
      <c r="E1215">
        <v>84</v>
      </c>
      <c r="F1215" s="3">
        <v>20.9028726706394</v>
      </c>
      <c r="G1215" s="3" t="str">
        <f t="shared" si="18"/>
        <v>Normal Weight</v>
      </c>
      <c r="H1215" t="s">
        <v>369</v>
      </c>
      <c r="I1215" t="s">
        <v>18</v>
      </c>
      <c r="J1215" t="s">
        <v>20</v>
      </c>
      <c r="K1215" t="s">
        <v>18</v>
      </c>
      <c r="L1215" t="s">
        <v>38</v>
      </c>
      <c r="M1215" t="s">
        <v>20</v>
      </c>
      <c r="N1215" t="s">
        <v>21</v>
      </c>
      <c r="O1215" t="s">
        <v>20</v>
      </c>
      <c r="P1215" t="s">
        <v>20</v>
      </c>
      <c r="Q1215" t="s">
        <v>40</v>
      </c>
    </row>
    <row r="1216" spans="1:17" x14ac:dyDescent="0.35">
      <c r="A1216">
        <v>1332</v>
      </c>
      <c r="B1216">
        <v>43</v>
      </c>
      <c r="C1216" t="s">
        <v>27</v>
      </c>
      <c r="D1216">
        <v>158</v>
      </c>
      <c r="E1216">
        <v>85</v>
      </c>
      <c r="F1216" s="3">
        <v>25.6299179072318</v>
      </c>
      <c r="G1216" s="3" t="str">
        <f t="shared" si="18"/>
        <v>Overweight</v>
      </c>
      <c r="H1216" t="s">
        <v>996</v>
      </c>
      <c r="I1216" t="s">
        <v>31</v>
      </c>
      <c r="J1216" t="s">
        <v>20</v>
      </c>
      <c r="K1216" t="s">
        <v>22</v>
      </c>
      <c r="L1216" t="s">
        <v>32</v>
      </c>
      <c r="M1216" t="s">
        <v>20</v>
      </c>
      <c r="N1216" t="s">
        <v>21</v>
      </c>
      <c r="O1216" t="s">
        <v>20</v>
      </c>
      <c r="P1216" t="s">
        <v>20</v>
      </c>
      <c r="Q1216" t="s">
        <v>18</v>
      </c>
    </row>
    <row r="1217" spans="1:17" x14ac:dyDescent="0.35">
      <c r="A1217">
        <v>1236</v>
      </c>
      <c r="B1217">
        <v>74</v>
      </c>
      <c r="C1217" t="s">
        <v>27</v>
      </c>
      <c r="D1217">
        <v>173</v>
      </c>
      <c r="E1217">
        <v>84</v>
      </c>
      <c r="F1217" s="3">
        <v>29.106308752921802</v>
      </c>
      <c r="G1217" s="3" t="str">
        <f t="shared" si="18"/>
        <v>Overweight</v>
      </c>
      <c r="H1217" t="s">
        <v>944</v>
      </c>
      <c r="I1217" t="s">
        <v>18</v>
      </c>
      <c r="J1217" t="s">
        <v>20</v>
      </c>
      <c r="K1217" t="s">
        <v>40</v>
      </c>
      <c r="L1217" t="s">
        <v>38</v>
      </c>
      <c r="M1217" t="s">
        <v>20</v>
      </c>
      <c r="N1217" t="s">
        <v>21</v>
      </c>
      <c r="O1217" t="s">
        <v>19</v>
      </c>
      <c r="P1217" t="s">
        <v>19</v>
      </c>
      <c r="Q1217" t="s">
        <v>18</v>
      </c>
    </row>
    <row r="1218" spans="1:17" x14ac:dyDescent="0.35">
      <c r="A1218">
        <v>1414</v>
      </c>
      <c r="B1218">
        <v>43</v>
      </c>
      <c r="C1218" t="s">
        <v>16</v>
      </c>
      <c r="D1218">
        <v>153</v>
      </c>
      <c r="E1218">
        <v>85</v>
      </c>
      <c r="F1218" s="3">
        <v>32.198347591705001</v>
      </c>
      <c r="G1218" s="3" t="str">
        <f t="shared" si="18"/>
        <v>Obese</v>
      </c>
      <c r="H1218" t="s">
        <v>1033</v>
      </c>
      <c r="I1218" t="s">
        <v>24</v>
      </c>
      <c r="J1218" t="s">
        <v>19</v>
      </c>
      <c r="K1218" t="s">
        <v>22</v>
      </c>
      <c r="L1218" t="s">
        <v>32</v>
      </c>
      <c r="M1218" t="s">
        <v>19</v>
      </c>
      <c r="N1218" t="s">
        <v>21</v>
      </c>
      <c r="O1218" t="s">
        <v>19</v>
      </c>
      <c r="P1218" t="s">
        <v>20</v>
      </c>
      <c r="Q1218" t="s">
        <v>18</v>
      </c>
    </row>
    <row r="1219" spans="1:17" x14ac:dyDescent="0.35">
      <c r="A1219">
        <v>1509</v>
      </c>
      <c r="B1219">
        <v>43</v>
      </c>
      <c r="C1219" t="s">
        <v>16</v>
      </c>
      <c r="D1219">
        <v>166</v>
      </c>
      <c r="E1219">
        <v>87</v>
      </c>
      <c r="F1219" s="3">
        <v>31.8891879960027</v>
      </c>
      <c r="G1219" s="3" t="str">
        <f t="shared" ref="G1219:G1282" si="19">_xlfn.IFS(F1219&lt;18.5, "Underweight", F1219&lt;=24.9, "Normal Weight", F1219&lt;=29.9, "Overweight", TRUE, "Obese")</f>
        <v>Obese</v>
      </c>
      <c r="H1219" t="s">
        <v>1075</v>
      </c>
      <c r="I1219" t="s">
        <v>24</v>
      </c>
      <c r="J1219" t="s">
        <v>19</v>
      </c>
      <c r="K1219" t="s">
        <v>22</v>
      </c>
      <c r="L1219" t="s">
        <v>38</v>
      </c>
      <c r="M1219" t="s">
        <v>20</v>
      </c>
      <c r="N1219" t="s">
        <v>21</v>
      </c>
      <c r="O1219" t="s">
        <v>20</v>
      </c>
      <c r="P1219" t="s">
        <v>20</v>
      </c>
      <c r="Q1219" t="s">
        <v>18</v>
      </c>
    </row>
    <row r="1220" spans="1:17" x14ac:dyDescent="0.35">
      <c r="A1220">
        <v>1240</v>
      </c>
      <c r="B1220">
        <v>43</v>
      </c>
      <c r="C1220" t="s">
        <v>16</v>
      </c>
      <c r="D1220">
        <v>175</v>
      </c>
      <c r="E1220">
        <v>62</v>
      </c>
      <c r="F1220" s="3">
        <v>21.0715503530988</v>
      </c>
      <c r="G1220" s="3" t="str">
        <f t="shared" si="19"/>
        <v>Normal Weight</v>
      </c>
      <c r="H1220" t="s">
        <v>945</v>
      </c>
      <c r="I1220" t="s">
        <v>31</v>
      </c>
      <c r="J1220" t="s">
        <v>19</v>
      </c>
      <c r="K1220" t="s">
        <v>18</v>
      </c>
      <c r="L1220" t="s">
        <v>29</v>
      </c>
      <c r="M1220" t="s">
        <v>20</v>
      </c>
      <c r="N1220" t="s">
        <v>25</v>
      </c>
      <c r="O1220" t="s">
        <v>19</v>
      </c>
      <c r="P1220" t="s">
        <v>20</v>
      </c>
      <c r="Q1220" t="s">
        <v>22</v>
      </c>
    </row>
    <row r="1221" spans="1:17" x14ac:dyDescent="0.35">
      <c r="A1221">
        <v>1527</v>
      </c>
      <c r="B1221">
        <v>43</v>
      </c>
      <c r="C1221" t="s">
        <v>16</v>
      </c>
      <c r="D1221">
        <v>168</v>
      </c>
      <c r="E1221">
        <v>53</v>
      </c>
      <c r="F1221" s="3">
        <v>28.772494064240899</v>
      </c>
      <c r="G1221" s="3" t="str">
        <f t="shared" si="19"/>
        <v>Overweight</v>
      </c>
      <c r="H1221" t="s">
        <v>876</v>
      </c>
      <c r="I1221" t="s">
        <v>24</v>
      </c>
      <c r="J1221" t="s">
        <v>20</v>
      </c>
      <c r="K1221" t="s">
        <v>22</v>
      </c>
      <c r="L1221" t="s">
        <v>32</v>
      </c>
      <c r="M1221" t="s">
        <v>19</v>
      </c>
      <c r="N1221" t="s">
        <v>21</v>
      </c>
      <c r="O1221" t="s">
        <v>19</v>
      </c>
      <c r="P1221" t="s">
        <v>19</v>
      </c>
      <c r="Q1221" t="s">
        <v>22</v>
      </c>
    </row>
    <row r="1222" spans="1:17" x14ac:dyDescent="0.35">
      <c r="A1222">
        <v>1241</v>
      </c>
      <c r="B1222">
        <v>79</v>
      </c>
      <c r="C1222" t="s">
        <v>27</v>
      </c>
      <c r="D1222">
        <v>178</v>
      </c>
      <c r="E1222">
        <v>72</v>
      </c>
      <c r="F1222" s="3">
        <v>22.5168031766292</v>
      </c>
      <c r="G1222" s="3" t="str">
        <f t="shared" si="19"/>
        <v>Normal Weight</v>
      </c>
      <c r="H1222" t="s">
        <v>946</v>
      </c>
      <c r="I1222" t="s">
        <v>31</v>
      </c>
      <c r="J1222" t="s">
        <v>19</v>
      </c>
      <c r="K1222" t="s">
        <v>40</v>
      </c>
      <c r="L1222" t="s">
        <v>14</v>
      </c>
      <c r="M1222" t="s">
        <v>20</v>
      </c>
      <c r="N1222" t="s">
        <v>21</v>
      </c>
      <c r="O1222" t="s">
        <v>19</v>
      </c>
      <c r="P1222" t="s">
        <v>20</v>
      </c>
      <c r="Q1222" t="s">
        <v>40</v>
      </c>
    </row>
    <row r="1223" spans="1:17" x14ac:dyDescent="0.35">
      <c r="A1223">
        <v>1587</v>
      </c>
      <c r="B1223">
        <v>43</v>
      </c>
      <c r="C1223" t="s">
        <v>27</v>
      </c>
      <c r="D1223">
        <v>178</v>
      </c>
      <c r="E1223">
        <v>79</v>
      </c>
      <c r="F1223" s="3">
        <v>34.4609138373322</v>
      </c>
      <c r="G1223" s="3" t="str">
        <f t="shared" si="19"/>
        <v>Obese</v>
      </c>
      <c r="H1223" t="s">
        <v>691</v>
      </c>
      <c r="I1223" t="s">
        <v>18</v>
      </c>
      <c r="J1223" t="s">
        <v>20</v>
      </c>
      <c r="K1223" t="s">
        <v>22</v>
      </c>
      <c r="L1223" t="s">
        <v>38</v>
      </c>
      <c r="M1223" t="s">
        <v>20</v>
      </c>
      <c r="N1223" t="s">
        <v>25</v>
      </c>
      <c r="O1223" t="s">
        <v>19</v>
      </c>
      <c r="P1223" t="s">
        <v>20</v>
      </c>
      <c r="Q1223" t="s">
        <v>22</v>
      </c>
    </row>
    <row r="1224" spans="1:17" x14ac:dyDescent="0.35">
      <c r="A1224">
        <v>1250</v>
      </c>
      <c r="B1224">
        <v>20</v>
      </c>
      <c r="C1224" t="s">
        <v>16</v>
      </c>
      <c r="D1224">
        <v>175</v>
      </c>
      <c r="E1224">
        <v>93</v>
      </c>
      <c r="F1224" s="3">
        <v>34.139633359685398</v>
      </c>
      <c r="G1224" s="3" t="str">
        <f t="shared" si="19"/>
        <v>Obese</v>
      </c>
      <c r="H1224" t="s">
        <v>951</v>
      </c>
      <c r="I1224" t="s">
        <v>24</v>
      </c>
      <c r="J1224" t="s">
        <v>19</v>
      </c>
      <c r="K1224" t="s">
        <v>18</v>
      </c>
      <c r="L1224" t="s">
        <v>14</v>
      </c>
      <c r="M1224" t="s">
        <v>19</v>
      </c>
      <c r="N1224" t="s">
        <v>25</v>
      </c>
      <c r="O1224" t="s">
        <v>19</v>
      </c>
      <c r="P1224" t="s">
        <v>20</v>
      </c>
      <c r="Q1224" t="s">
        <v>22</v>
      </c>
    </row>
    <row r="1225" spans="1:17" x14ac:dyDescent="0.35">
      <c r="A1225">
        <v>1252</v>
      </c>
      <c r="B1225">
        <v>62</v>
      </c>
      <c r="C1225" t="s">
        <v>27</v>
      </c>
      <c r="D1225">
        <v>176</v>
      </c>
      <c r="E1225">
        <v>70</v>
      </c>
      <c r="F1225" s="3">
        <v>24.0640060917037</v>
      </c>
      <c r="G1225" s="3" t="str">
        <f t="shared" si="19"/>
        <v>Normal Weight</v>
      </c>
      <c r="H1225" t="s">
        <v>953</v>
      </c>
      <c r="I1225" t="s">
        <v>18</v>
      </c>
      <c r="J1225" t="s">
        <v>20</v>
      </c>
      <c r="K1225" t="s">
        <v>18</v>
      </c>
      <c r="L1225" t="s">
        <v>32</v>
      </c>
      <c r="M1225" t="s">
        <v>19</v>
      </c>
      <c r="N1225" t="s">
        <v>25</v>
      </c>
      <c r="O1225" t="s">
        <v>20</v>
      </c>
      <c r="P1225" t="s">
        <v>19</v>
      </c>
      <c r="Q1225" t="s">
        <v>22</v>
      </c>
    </row>
    <row r="1226" spans="1:17" x14ac:dyDescent="0.35">
      <c r="A1226">
        <v>1800</v>
      </c>
      <c r="B1226">
        <v>43</v>
      </c>
      <c r="C1226" t="s">
        <v>27</v>
      </c>
      <c r="D1226">
        <v>184</v>
      </c>
      <c r="E1226">
        <v>66</v>
      </c>
      <c r="F1226" s="3">
        <v>25.918125323184299</v>
      </c>
      <c r="G1226" s="3" t="str">
        <f t="shared" si="19"/>
        <v>Overweight</v>
      </c>
      <c r="H1226" t="s">
        <v>473</v>
      </c>
      <c r="I1226" t="s">
        <v>31</v>
      </c>
      <c r="J1226" t="s">
        <v>19</v>
      </c>
      <c r="K1226" t="s">
        <v>22</v>
      </c>
      <c r="L1226" t="s">
        <v>14</v>
      </c>
      <c r="M1226" t="s">
        <v>19</v>
      </c>
      <c r="N1226" t="s">
        <v>25</v>
      </c>
      <c r="O1226" t="s">
        <v>19</v>
      </c>
      <c r="P1226" t="s">
        <v>19</v>
      </c>
      <c r="Q1226" t="s">
        <v>22</v>
      </c>
    </row>
    <row r="1227" spans="1:17" x14ac:dyDescent="0.35">
      <c r="A1227">
        <v>1254</v>
      </c>
      <c r="B1227">
        <v>64</v>
      </c>
      <c r="C1227" t="s">
        <v>16</v>
      </c>
      <c r="D1227">
        <v>156</v>
      </c>
      <c r="E1227">
        <v>89</v>
      </c>
      <c r="F1227" s="3">
        <v>19.345200890671101</v>
      </c>
      <c r="G1227" s="3" t="str">
        <f t="shared" si="19"/>
        <v>Normal Weight</v>
      </c>
      <c r="H1227" t="s">
        <v>954</v>
      </c>
      <c r="I1227" t="s">
        <v>24</v>
      </c>
      <c r="J1227" t="s">
        <v>20</v>
      </c>
      <c r="K1227" t="s">
        <v>18</v>
      </c>
      <c r="L1227" t="s">
        <v>38</v>
      </c>
      <c r="M1227" t="s">
        <v>20</v>
      </c>
      <c r="N1227" t="s">
        <v>21</v>
      </c>
      <c r="O1227" t="s">
        <v>19</v>
      </c>
      <c r="P1227" t="s">
        <v>20</v>
      </c>
      <c r="Q1227" t="s">
        <v>22</v>
      </c>
    </row>
    <row r="1228" spans="1:17" x14ac:dyDescent="0.35">
      <c r="A1228">
        <v>1857</v>
      </c>
      <c r="B1228">
        <v>43</v>
      </c>
      <c r="C1228" t="s">
        <v>27</v>
      </c>
      <c r="D1228">
        <v>180</v>
      </c>
      <c r="E1228">
        <v>90</v>
      </c>
      <c r="F1228" s="3">
        <v>18.711557216924898</v>
      </c>
      <c r="G1228" s="3" t="str">
        <f t="shared" si="19"/>
        <v>Normal Weight</v>
      </c>
      <c r="H1228" t="s">
        <v>590</v>
      </c>
      <c r="I1228" t="s">
        <v>24</v>
      </c>
      <c r="J1228" t="s">
        <v>20</v>
      </c>
      <c r="K1228" t="s">
        <v>22</v>
      </c>
      <c r="L1228" t="s">
        <v>38</v>
      </c>
      <c r="M1228" t="s">
        <v>20</v>
      </c>
      <c r="N1228" t="s">
        <v>25</v>
      </c>
      <c r="O1228" t="s">
        <v>20</v>
      </c>
      <c r="P1228" t="s">
        <v>19</v>
      </c>
      <c r="Q1228" t="s">
        <v>22</v>
      </c>
    </row>
    <row r="1229" spans="1:17" x14ac:dyDescent="0.35">
      <c r="A1229">
        <v>1894</v>
      </c>
      <c r="B1229">
        <v>43</v>
      </c>
      <c r="C1229" t="s">
        <v>16</v>
      </c>
      <c r="D1229">
        <v>167</v>
      </c>
      <c r="E1229">
        <v>75</v>
      </c>
      <c r="F1229" s="3">
        <v>19.683633171832501</v>
      </c>
      <c r="G1229" s="3" t="str">
        <f t="shared" si="19"/>
        <v>Normal Weight</v>
      </c>
      <c r="H1229" t="s">
        <v>1073</v>
      </c>
      <c r="I1229" t="s">
        <v>24</v>
      </c>
      <c r="J1229" t="s">
        <v>19</v>
      </c>
      <c r="K1229" t="s">
        <v>22</v>
      </c>
      <c r="L1229" t="s">
        <v>38</v>
      </c>
      <c r="M1229" t="s">
        <v>19</v>
      </c>
      <c r="N1229" t="s">
        <v>25</v>
      </c>
      <c r="O1229" t="s">
        <v>20</v>
      </c>
      <c r="P1229" t="s">
        <v>20</v>
      </c>
      <c r="Q1229" t="s">
        <v>22</v>
      </c>
    </row>
    <row r="1230" spans="1:17" x14ac:dyDescent="0.35">
      <c r="A1230">
        <v>1954</v>
      </c>
      <c r="B1230">
        <v>43</v>
      </c>
      <c r="C1230" t="s">
        <v>27</v>
      </c>
      <c r="D1230">
        <v>171</v>
      </c>
      <c r="E1230">
        <v>76</v>
      </c>
      <c r="F1230" s="3">
        <v>26.470593045689402</v>
      </c>
      <c r="G1230" s="3" t="str">
        <f t="shared" si="19"/>
        <v>Overweight</v>
      </c>
      <c r="H1230" t="s">
        <v>1257</v>
      </c>
      <c r="I1230" t="s">
        <v>18</v>
      </c>
      <c r="J1230" t="s">
        <v>20</v>
      </c>
      <c r="K1230" t="s">
        <v>22</v>
      </c>
      <c r="L1230" t="s">
        <v>14</v>
      </c>
      <c r="M1230" t="s">
        <v>19</v>
      </c>
      <c r="N1230" t="s">
        <v>21</v>
      </c>
      <c r="O1230" t="s">
        <v>19</v>
      </c>
      <c r="P1230" t="s">
        <v>19</v>
      </c>
      <c r="Q1230" t="s">
        <v>40</v>
      </c>
    </row>
    <row r="1231" spans="1:17" x14ac:dyDescent="0.35">
      <c r="A1231">
        <v>1957</v>
      </c>
      <c r="B1231">
        <v>43</v>
      </c>
      <c r="C1231" t="s">
        <v>16</v>
      </c>
      <c r="D1231">
        <v>169</v>
      </c>
      <c r="E1231">
        <v>86</v>
      </c>
      <c r="F1231" s="3">
        <v>21.809316883203099</v>
      </c>
      <c r="G1231" s="3" t="str">
        <f t="shared" si="19"/>
        <v>Normal Weight</v>
      </c>
      <c r="H1231" t="s">
        <v>1259</v>
      </c>
      <c r="I1231" t="s">
        <v>18</v>
      </c>
      <c r="J1231" t="s">
        <v>19</v>
      </c>
      <c r="K1231" t="s">
        <v>22</v>
      </c>
      <c r="L1231" t="s">
        <v>38</v>
      </c>
      <c r="M1231" t="s">
        <v>19</v>
      </c>
      <c r="N1231" t="s">
        <v>21</v>
      </c>
      <c r="O1231" t="s">
        <v>20</v>
      </c>
      <c r="P1231" t="s">
        <v>20</v>
      </c>
      <c r="Q1231" t="s">
        <v>18</v>
      </c>
    </row>
    <row r="1232" spans="1:17" x14ac:dyDescent="0.35">
      <c r="A1232">
        <v>1255</v>
      </c>
      <c r="B1232">
        <v>53</v>
      </c>
      <c r="C1232" t="s">
        <v>27</v>
      </c>
      <c r="D1232">
        <v>152</v>
      </c>
      <c r="E1232">
        <v>70</v>
      </c>
      <c r="F1232" s="3">
        <v>26.692504466804898</v>
      </c>
      <c r="G1232" s="3" t="str">
        <f t="shared" si="19"/>
        <v>Overweight</v>
      </c>
      <c r="H1232" t="s">
        <v>955</v>
      </c>
      <c r="I1232" t="s">
        <v>24</v>
      </c>
      <c r="J1232" t="s">
        <v>20</v>
      </c>
      <c r="K1232" t="s">
        <v>18</v>
      </c>
      <c r="L1232" t="s">
        <v>14</v>
      </c>
      <c r="M1232" t="s">
        <v>19</v>
      </c>
      <c r="N1232" t="s">
        <v>21</v>
      </c>
      <c r="O1232" t="s">
        <v>19</v>
      </c>
      <c r="P1232" t="s">
        <v>19</v>
      </c>
      <c r="Q1232" t="s">
        <v>40</v>
      </c>
    </row>
    <row r="1233" spans="1:17" x14ac:dyDescent="0.35">
      <c r="A1233">
        <v>1257</v>
      </c>
      <c r="B1233">
        <v>39</v>
      </c>
      <c r="C1233" t="s">
        <v>27</v>
      </c>
      <c r="D1233">
        <v>183</v>
      </c>
      <c r="E1233">
        <v>90</v>
      </c>
      <c r="F1233" s="3">
        <v>25.1160103903578</v>
      </c>
      <c r="G1233" s="3" t="str">
        <f t="shared" si="19"/>
        <v>Overweight</v>
      </c>
      <c r="H1233" t="s">
        <v>956</v>
      </c>
      <c r="I1233" t="s">
        <v>18</v>
      </c>
      <c r="J1233" t="s">
        <v>20</v>
      </c>
      <c r="K1233" t="s">
        <v>18</v>
      </c>
      <c r="L1233" t="s">
        <v>38</v>
      </c>
      <c r="M1233" t="s">
        <v>19</v>
      </c>
      <c r="N1233" t="s">
        <v>25</v>
      </c>
      <c r="O1233" t="s">
        <v>20</v>
      </c>
      <c r="P1233" t="s">
        <v>20</v>
      </c>
      <c r="Q1233" t="s">
        <v>22</v>
      </c>
    </row>
    <row r="1234" spans="1:17" x14ac:dyDescent="0.35">
      <c r="A1234">
        <v>64</v>
      </c>
      <c r="B1234">
        <v>42</v>
      </c>
      <c r="C1234" t="s">
        <v>27</v>
      </c>
      <c r="D1234">
        <v>168</v>
      </c>
      <c r="E1234">
        <v>86</v>
      </c>
      <c r="F1234" s="3">
        <v>32.655926080955901</v>
      </c>
      <c r="G1234" s="3" t="str">
        <f t="shared" si="19"/>
        <v>Obese</v>
      </c>
      <c r="H1234" t="s">
        <v>93</v>
      </c>
      <c r="I1234" t="s">
        <v>31</v>
      </c>
      <c r="J1234" t="s">
        <v>19</v>
      </c>
      <c r="K1234" t="s">
        <v>22</v>
      </c>
      <c r="L1234" t="s">
        <v>38</v>
      </c>
      <c r="M1234" t="s">
        <v>20</v>
      </c>
      <c r="N1234" t="s">
        <v>21</v>
      </c>
      <c r="O1234" t="s">
        <v>20</v>
      </c>
      <c r="P1234" t="s">
        <v>20</v>
      </c>
      <c r="Q1234" t="s">
        <v>18</v>
      </c>
    </row>
    <row r="1235" spans="1:17" x14ac:dyDescent="0.35">
      <c r="A1235">
        <v>1258</v>
      </c>
      <c r="B1235">
        <v>51</v>
      </c>
      <c r="C1235" t="s">
        <v>16</v>
      </c>
      <c r="D1235">
        <v>174</v>
      </c>
      <c r="E1235">
        <v>50</v>
      </c>
      <c r="F1235" s="3">
        <v>24.286711501869299</v>
      </c>
      <c r="G1235" s="3" t="str">
        <f t="shared" si="19"/>
        <v>Normal Weight</v>
      </c>
      <c r="H1235" t="s">
        <v>102</v>
      </c>
      <c r="I1235" t="s">
        <v>24</v>
      </c>
      <c r="J1235" t="s">
        <v>20</v>
      </c>
      <c r="K1235" t="s">
        <v>18</v>
      </c>
      <c r="L1235" t="s">
        <v>38</v>
      </c>
      <c r="M1235" t="s">
        <v>19</v>
      </c>
      <c r="N1235" t="s">
        <v>21</v>
      </c>
      <c r="O1235" t="s">
        <v>20</v>
      </c>
      <c r="P1235" t="s">
        <v>19</v>
      </c>
      <c r="Q1235" t="s">
        <v>18</v>
      </c>
    </row>
    <row r="1236" spans="1:17" x14ac:dyDescent="0.35">
      <c r="A1236">
        <v>133</v>
      </c>
      <c r="B1236">
        <v>42</v>
      </c>
      <c r="C1236" t="s">
        <v>27</v>
      </c>
      <c r="D1236">
        <v>168</v>
      </c>
      <c r="E1236">
        <v>99</v>
      </c>
      <c r="F1236" s="3">
        <v>28.0173306740312</v>
      </c>
      <c r="G1236" s="3" t="str">
        <f t="shared" si="19"/>
        <v>Overweight</v>
      </c>
      <c r="H1236" t="s">
        <v>157</v>
      </c>
      <c r="I1236" t="s">
        <v>18</v>
      </c>
      <c r="J1236" t="s">
        <v>19</v>
      </c>
      <c r="K1236" t="s">
        <v>22</v>
      </c>
      <c r="L1236" t="s">
        <v>32</v>
      </c>
      <c r="M1236" t="s">
        <v>20</v>
      </c>
      <c r="N1236" t="s">
        <v>21</v>
      </c>
      <c r="O1236" t="s">
        <v>19</v>
      </c>
      <c r="P1236" t="s">
        <v>19</v>
      </c>
      <c r="Q1236" t="s">
        <v>40</v>
      </c>
    </row>
    <row r="1237" spans="1:17" x14ac:dyDescent="0.35">
      <c r="A1237">
        <v>1262</v>
      </c>
      <c r="B1237">
        <v>66</v>
      </c>
      <c r="C1237" t="s">
        <v>16</v>
      </c>
      <c r="D1237">
        <v>173</v>
      </c>
      <c r="E1237">
        <v>92</v>
      </c>
      <c r="F1237" s="3">
        <v>24.548094591757199</v>
      </c>
      <c r="G1237" s="3" t="str">
        <f t="shared" si="19"/>
        <v>Normal Weight</v>
      </c>
      <c r="H1237" t="s">
        <v>691</v>
      </c>
      <c r="I1237" t="s">
        <v>24</v>
      </c>
      <c r="J1237" t="s">
        <v>20</v>
      </c>
      <c r="K1237" t="s">
        <v>18</v>
      </c>
      <c r="L1237" t="s">
        <v>32</v>
      </c>
      <c r="M1237" t="s">
        <v>20</v>
      </c>
      <c r="N1237" t="s">
        <v>25</v>
      </c>
      <c r="O1237" t="s">
        <v>20</v>
      </c>
      <c r="P1237" t="s">
        <v>19</v>
      </c>
      <c r="Q1237" t="s">
        <v>22</v>
      </c>
    </row>
    <row r="1238" spans="1:17" x14ac:dyDescent="0.35">
      <c r="A1238">
        <v>350</v>
      </c>
      <c r="B1238">
        <v>42</v>
      </c>
      <c r="C1238" t="s">
        <v>16</v>
      </c>
      <c r="D1238">
        <v>175</v>
      </c>
      <c r="E1238">
        <v>78</v>
      </c>
      <c r="F1238" s="3">
        <v>27.3364508061136</v>
      </c>
      <c r="G1238" s="3" t="str">
        <f t="shared" si="19"/>
        <v>Overweight</v>
      </c>
      <c r="H1238" t="s">
        <v>352</v>
      </c>
      <c r="I1238" t="s">
        <v>31</v>
      </c>
      <c r="J1238" t="s">
        <v>20</v>
      </c>
      <c r="K1238" t="s">
        <v>22</v>
      </c>
      <c r="L1238" t="s">
        <v>38</v>
      </c>
      <c r="M1238" t="s">
        <v>19</v>
      </c>
      <c r="N1238" t="s">
        <v>21</v>
      </c>
      <c r="O1238" t="s">
        <v>20</v>
      </c>
      <c r="P1238" t="s">
        <v>19</v>
      </c>
      <c r="Q1238" t="s">
        <v>18</v>
      </c>
    </row>
    <row r="1239" spans="1:17" x14ac:dyDescent="0.35">
      <c r="A1239">
        <v>1264</v>
      </c>
      <c r="B1239">
        <v>36</v>
      </c>
      <c r="C1239" t="s">
        <v>27</v>
      </c>
      <c r="D1239">
        <v>187</v>
      </c>
      <c r="E1239">
        <v>72</v>
      </c>
      <c r="F1239" s="3">
        <v>20.9982723249454</v>
      </c>
      <c r="G1239" s="3" t="str">
        <f t="shared" si="19"/>
        <v>Normal Weight</v>
      </c>
      <c r="H1239" t="s">
        <v>649</v>
      </c>
      <c r="I1239" t="s">
        <v>31</v>
      </c>
      <c r="J1239" t="s">
        <v>19</v>
      </c>
      <c r="K1239" t="s">
        <v>18</v>
      </c>
      <c r="L1239" t="s">
        <v>29</v>
      </c>
      <c r="M1239" t="s">
        <v>19</v>
      </c>
      <c r="N1239" t="s">
        <v>25</v>
      </c>
      <c r="O1239" t="s">
        <v>20</v>
      </c>
      <c r="P1239" t="s">
        <v>20</v>
      </c>
      <c r="Q1239" t="s">
        <v>22</v>
      </c>
    </row>
    <row r="1240" spans="1:17" x14ac:dyDescent="0.35">
      <c r="A1240">
        <v>1267</v>
      </c>
      <c r="B1240">
        <v>54</v>
      </c>
      <c r="C1240" t="s">
        <v>16</v>
      </c>
      <c r="D1240">
        <v>188</v>
      </c>
      <c r="E1240">
        <v>62</v>
      </c>
      <c r="F1240" s="3">
        <v>21.641299473901</v>
      </c>
      <c r="G1240" s="3" t="str">
        <f t="shared" si="19"/>
        <v>Normal Weight</v>
      </c>
      <c r="H1240" t="s">
        <v>522</v>
      </c>
      <c r="I1240" t="s">
        <v>18</v>
      </c>
      <c r="J1240" t="s">
        <v>20</v>
      </c>
      <c r="K1240" t="s">
        <v>18</v>
      </c>
      <c r="L1240" t="s">
        <v>29</v>
      </c>
      <c r="M1240" t="s">
        <v>19</v>
      </c>
      <c r="N1240" t="s">
        <v>25</v>
      </c>
      <c r="O1240" t="s">
        <v>20</v>
      </c>
      <c r="P1240" t="s">
        <v>20</v>
      </c>
      <c r="Q1240" t="s">
        <v>22</v>
      </c>
    </row>
    <row r="1241" spans="1:17" x14ac:dyDescent="0.35">
      <c r="A1241">
        <v>489</v>
      </c>
      <c r="B1241">
        <v>42</v>
      </c>
      <c r="C1241" t="s">
        <v>16</v>
      </c>
      <c r="D1241">
        <v>171</v>
      </c>
      <c r="E1241">
        <v>65</v>
      </c>
      <c r="F1241" s="3">
        <v>19.698982195088998</v>
      </c>
      <c r="G1241" s="3" t="str">
        <f t="shared" si="19"/>
        <v>Normal Weight</v>
      </c>
      <c r="H1241" t="s">
        <v>456</v>
      </c>
      <c r="I1241" t="s">
        <v>31</v>
      </c>
      <c r="J1241" t="s">
        <v>19</v>
      </c>
      <c r="K1241" t="s">
        <v>22</v>
      </c>
      <c r="L1241" t="s">
        <v>32</v>
      </c>
      <c r="M1241" t="s">
        <v>19</v>
      </c>
      <c r="N1241" t="s">
        <v>21</v>
      </c>
      <c r="O1241" t="s">
        <v>20</v>
      </c>
      <c r="P1241" t="s">
        <v>20</v>
      </c>
      <c r="Q1241" t="s">
        <v>18</v>
      </c>
    </row>
    <row r="1242" spans="1:17" x14ac:dyDescent="0.35">
      <c r="A1242">
        <v>522</v>
      </c>
      <c r="B1242">
        <v>42</v>
      </c>
      <c r="C1242" t="s">
        <v>27</v>
      </c>
      <c r="D1242">
        <v>170</v>
      </c>
      <c r="E1242">
        <v>71</v>
      </c>
      <c r="F1242" s="3">
        <v>29.940729385560999</v>
      </c>
      <c r="G1242" s="3" t="str">
        <f t="shared" si="19"/>
        <v>Obese</v>
      </c>
      <c r="H1242" t="s">
        <v>482</v>
      </c>
      <c r="I1242" t="s">
        <v>18</v>
      </c>
      <c r="J1242" t="s">
        <v>19</v>
      </c>
      <c r="K1242" t="s">
        <v>22</v>
      </c>
      <c r="L1242" t="s">
        <v>38</v>
      </c>
      <c r="M1242" t="s">
        <v>19</v>
      </c>
      <c r="N1242" t="s">
        <v>21</v>
      </c>
      <c r="O1242" t="s">
        <v>20</v>
      </c>
      <c r="P1242" t="s">
        <v>19</v>
      </c>
      <c r="Q1242" t="s">
        <v>22</v>
      </c>
    </row>
    <row r="1243" spans="1:17" x14ac:dyDescent="0.35">
      <c r="A1243">
        <v>548</v>
      </c>
      <c r="B1243">
        <v>42</v>
      </c>
      <c r="C1243" t="s">
        <v>27</v>
      </c>
      <c r="D1243">
        <v>185</v>
      </c>
      <c r="E1243">
        <v>58</v>
      </c>
      <c r="F1243" s="3">
        <v>26.6180285356293</v>
      </c>
      <c r="G1243" s="3" t="str">
        <f t="shared" si="19"/>
        <v>Overweight</v>
      </c>
      <c r="H1243" t="s">
        <v>503</v>
      </c>
      <c r="I1243" t="s">
        <v>31</v>
      </c>
      <c r="J1243" t="s">
        <v>20</v>
      </c>
      <c r="K1243" t="s">
        <v>22</v>
      </c>
      <c r="L1243" t="s">
        <v>32</v>
      </c>
      <c r="M1243" t="s">
        <v>19</v>
      </c>
      <c r="N1243" t="s">
        <v>25</v>
      </c>
      <c r="O1243" t="s">
        <v>20</v>
      </c>
      <c r="P1243" t="s">
        <v>19</v>
      </c>
      <c r="Q1243" t="s">
        <v>22</v>
      </c>
    </row>
    <row r="1244" spans="1:17" x14ac:dyDescent="0.35">
      <c r="A1244">
        <v>1268</v>
      </c>
      <c r="B1244">
        <v>23</v>
      </c>
      <c r="C1244" t="s">
        <v>27</v>
      </c>
      <c r="D1244">
        <v>176</v>
      </c>
      <c r="E1244">
        <v>92</v>
      </c>
      <c r="F1244" s="3">
        <v>24.550911491797599</v>
      </c>
      <c r="G1244" s="3" t="str">
        <f t="shared" si="19"/>
        <v>Normal Weight</v>
      </c>
      <c r="H1244" t="s">
        <v>961</v>
      </c>
      <c r="I1244" t="s">
        <v>31</v>
      </c>
      <c r="J1244" t="s">
        <v>20</v>
      </c>
      <c r="K1244" t="s">
        <v>18</v>
      </c>
      <c r="L1244" t="s">
        <v>14</v>
      </c>
      <c r="M1244" t="s">
        <v>19</v>
      </c>
      <c r="N1244" t="s">
        <v>25</v>
      </c>
      <c r="O1244" t="s">
        <v>19</v>
      </c>
      <c r="P1244" t="s">
        <v>20</v>
      </c>
      <c r="Q1244" t="s">
        <v>40</v>
      </c>
    </row>
    <row r="1245" spans="1:17" x14ac:dyDescent="0.35">
      <c r="A1245">
        <v>739</v>
      </c>
      <c r="B1245">
        <v>42</v>
      </c>
      <c r="C1245" t="s">
        <v>16</v>
      </c>
      <c r="D1245">
        <v>162</v>
      </c>
      <c r="E1245">
        <v>94</v>
      </c>
      <c r="F1245" s="3">
        <v>30.954653062978402</v>
      </c>
      <c r="G1245" s="3" t="str">
        <f t="shared" si="19"/>
        <v>Obese</v>
      </c>
      <c r="H1245" t="s">
        <v>647</v>
      </c>
      <c r="I1245" t="s">
        <v>18</v>
      </c>
      <c r="J1245" t="s">
        <v>20</v>
      </c>
      <c r="K1245" t="s">
        <v>22</v>
      </c>
      <c r="L1245" t="s">
        <v>29</v>
      </c>
      <c r="M1245" t="s">
        <v>19</v>
      </c>
      <c r="N1245" t="s">
        <v>25</v>
      </c>
      <c r="O1245" t="s">
        <v>20</v>
      </c>
      <c r="P1245" t="s">
        <v>20</v>
      </c>
      <c r="Q1245" t="s">
        <v>18</v>
      </c>
    </row>
    <row r="1246" spans="1:17" x14ac:dyDescent="0.35">
      <c r="A1246">
        <v>1269</v>
      </c>
      <c r="B1246">
        <v>69</v>
      </c>
      <c r="C1246" t="s">
        <v>27</v>
      </c>
      <c r="D1246">
        <v>178</v>
      </c>
      <c r="E1246">
        <v>67</v>
      </c>
      <c r="F1246" s="3">
        <v>20.245782910132402</v>
      </c>
      <c r="G1246" s="3" t="str">
        <f t="shared" si="19"/>
        <v>Normal Weight</v>
      </c>
      <c r="H1246" t="s">
        <v>530</v>
      </c>
      <c r="I1246" t="s">
        <v>18</v>
      </c>
      <c r="J1246" t="s">
        <v>19</v>
      </c>
      <c r="K1246" t="s">
        <v>18</v>
      </c>
      <c r="L1246" t="s">
        <v>29</v>
      </c>
      <c r="M1246" t="s">
        <v>20</v>
      </c>
      <c r="N1246" t="s">
        <v>25</v>
      </c>
      <c r="O1246" t="s">
        <v>20</v>
      </c>
      <c r="P1246" t="s">
        <v>19</v>
      </c>
      <c r="Q1246" t="s">
        <v>40</v>
      </c>
    </row>
    <row r="1247" spans="1:17" x14ac:dyDescent="0.35">
      <c r="A1247">
        <v>1273</v>
      </c>
      <c r="B1247">
        <v>73</v>
      </c>
      <c r="C1247" t="s">
        <v>27</v>
      </c>
      <c r="D1247">
        <v>169</v>
      </c>
      <c r="E1247">
        <v>70</v>
      </c>
      <c r="F1247" s="3">
        <v>31.381254232349701</v>
      </c>
      <c r="G1247" s="3" t="str">
        <f t="shared" si="19"/>
        <v>Obese</v>
      </c>
      <c r="H1247" t="s">
        <v>964</v>
      </c>
      <c r="I1247" t="s">
        <v>31</v>
      </c>
      <c r="J1247" t="s">
        <v>20</v>
      </c>
      <c r="K1247" t="s">
        <v>40</v>
      </c>
      <c r="L1247" t="s">
        <v>29</v>
      </c>
      <c r="M1247" t="s">
        <v>19</v>
      </c>
      <c r="N1247" t="s">
        <v>21</v>
      </c>
      <c r="O1247" t="s">
        <v>20</v>
      </c>
      <c r="P1247" t="s">
        <v>20</v>
      </c>
      <c r="Q1247" t="s">
        <v>22</v>
      </c>
    </row>
    <row r="1248" spans="1:17" x14ac:dyDescent="0.35">
      <c r="A1248">
        <v>802</v>
      </c>
      <c r="B1248">
        <v>42</v>
      </c>
      <c r="C1248" t="s">
        <v>27</v>
      </c>
      <c r="D1248">
        <v>187</v>
      </c>
      <c r="E1248">
        <v>52</v>
      </c>
      <c r="F1248" s="3">
        <v>25.597355079597602</v>
      </c>
      <c r="G1248" s="3" t="str">
        <f t="shared" si="19"/>
        <v>Overweight</v>
      </c>
      <c r="H1248" t="s">
        <v>232</v>
      </c>
      <c r="I1248" t="s">
        <v>31</v>
      </c>
      <c r="J1248" t="s">
        <v>19</v>
      </c>
      <c r="K1248" t="s">
        <v>22</v>
      </c>
      <c r="L1248" t="s">
        <v>14</v>
      </c>
      <c r="M1248" t="s">
        <v>20</v>
      </c>
      <c r="N1248" t="s">
        <v>21</v>
      </c>
      <c r="O1248" t="s">
        <v>20</v>
      </c>
      <c r="P1248" t="s">
        <v>19</v>
      </c>
      <c r="Q1248" t="s">
        <v>40</v>
      </c>
    </row>
    <row r="1249" spans="1:17" x14ac:dyDescent="0.35">
      <c r="A1249">
        <v>1274</v>
      </c>
      <c r="B1249">
        <v>76</v>
      </c>
      <c r="C1249" t="s">
        <v>27</v>
      </c>
      <c r="D1249">
        <v>168</v>
      </c>
      <c r="E1249">
        <v>88</v>
      </c>
      <c r="F1249" s="3">
        <v>24.938936068135899</v>
      </c>
      <c r="G1249" s="3" t="str">
        <f t="shared" si="19"/>
        <v>Overweight</v>
      </c>
      <c r="H1249" t="s">
        <v>574</v>
      </c>
      <c r="I1249" t="s">
        <v>24</v>
      </c>
      <c r="J1249" t="s">
        <v>20</v>
      </c>
      <c r="K1249" t="s">
        <v>40</v>
      </c>
      <c r="L1249" t="s">
        <v>14</v>
      </c>
      <c r="M1249" t="s">
        <v>19</v>
      </c>
      <c r="N1249" t="s">
        <v>25</v>
      </c>
      <c r="O1249" t="s">
        <v>19</v>
      </c>
      <c r="P1249" t="s">
        <v>19</v>
      </c>
      <c r="Q1249" t="s">
        <v>18</v>
      </c>
    </row>
    <row r="1250" spans="1:17" x14ac:dyDescent="0.35">
      <c r="A1250">
        <v>1275</v>
      </c>
      <c r="B1250">
        <v>62</v>
      </c>
      <c r="C1250" t="s">
        <v>27</v>
      </c>
      <c r="D1250">
        <v>169</v>
      </c>
      <c r="E1250">
        <v>72</v>
      </c>
      <c r="F1250" s="3">
        <v>28.046304882609299</v>
      </c>
      <c r="G1250" s="3" t="str">
        <f t="shared" si="19"/>
        <v>Overweight</v>
      </c>
      <c r="H1250" t="s">
        <v>965</v>
      </c>
      <c r="I1250" t="s">
        <v>24</v>
      </c>
      <c r="J1250" t="s">
        <v>19</v>
      </c>
      <c r="K1250" t="s">
        <v>18</v>
      </c>
      <c r="L1250" t="s">
        <v>14</v>
      </c>
      <c r="M1250" t="s">
        <v>20</v>
      </c>
      <c r="N1250" t="s">
        <v>25</v>
      </c>
      <c r="O1250" t="s">
        <v>19</v>
      </c>
      <c r="P1250" t="s">
        <v>19</v>
      </c>
      <c r="Q1250" t="s">
        <v>40</v>
      </c>
    </row>
    <row r="1251" spans="1:17" x14ac:dyDescent="0.35">
      <c r="A1251">
        <v>1276</v>
      </c>
      <c r="B1251">
        <v>23</v>
      </c>
      <c r="C1251" t="s">
        <v>27</v>
      </c>
      <c r="D1251">
        <v>184</v>
      </c>
      <c r="E1251">
        <v>76</v>
      </c>
      <c r="F1251" s="3">
        <v>33.537139967570702</v>
      </c>
      <c r="G1251" s="3" t="str">
        <f t="shared" si="19"/>
        <v>Obese</v>
      </c>
      <c r="H1251" t="s">
        <v>966</v>
      </c>
      <c r="I1251" t="s">
        <v>18</v>
      </c>
      <c r="J1251" t="s">
        <v>20</v>
      </c>
      <c r="K1251" t="s">
        <v>18</v>
      </c>
      <c r="L1251" t="s">
        <v>38</v>
      </c>
      <c r="M1251" t="s">
        <v>20</v>
      </c>
      <c r="N1251" t="s">
        <v>25</v>
      </c>
      <c r="O1251" t="s">
        <v>20</v>
      </c>
      <c r="P1251" t="s">
        <v>19</v>
      </c>
      <c r="Q1251" t="s">
        <v>40</v>
      </c>
    </row>
    <row r="1252" spans="1:17" x14ac:dyDescent="0.35">
      <c r="A1252">
        <v>1004</v>
      </c>
      <c r="B1252">
        <v>42</v>
      </c>
      <c r="C1252" t="s">
        <v>16</v>
      </c>
      <c r="D1252">
        <v>184</v>
      </c>
      <c r="E1252">
        <v>79</v>
      </c>
      <c r="F1252" s="3">
        <v>31.880430679098001</v>
      </c>
      <c r="G1252" s="3" t="str">
        <f t="shared" si="19"/>
        <v>Obese</v>
      </c>
      <c r="H1252" t="s">
        <v>805</v>
      </c>
      <c r="I1252" t="s">
        <v>18</v>
      </c>
      <c r="J1252" t="s">
        <v>20</v>
      </c>
      <c r="K1252" t="s">
        <v>22</v>
      </c>
      <c r="L1252" t="s">
        <v>14</v>
      </c>
      <c r="M1252" t="s">
        <v>20</v>
      </c>
      <c r="N1252" t="s">
        <v>25</v>
      </c>
      <c r="O1252" t="s">
        <v>19</v>
      </c>
      <c r="P1252" t="s">
        <v>19</v>
      </c>
      <c r="Q1252" t="s">
        <v>18</v>
      </c>
    </row>
    <row r="1253" spans="1:17" x14ac:dyDescent="0.35">
      <c r="A1253">
        <v>1144</v>
      </c>
      <c r="B1253">
        <v>42</v>
      </c>
      <c r="C1253" t="s">
        <v>27</v>
      </c>
      <c r="D1253">
        <v>155</v>
      </c>
      <c r="E1253">
        <v>99</v>
      </c>
      <c r="F1253" s="3">
        <v>32.927567523187399</v>
      </c>
      <c r="G1253" s="3" t="str">
        <f t="shared" si="19"/>
        <v>Obese</v>
      </c>
      <c r="H1253" t="s">
        <v>890</v>
      </c>
      <c r="I1253" t="s">
        <v>18</v>
      </c>
      <c r="J1253" t="s">
        <v>19</v>
      </c>
      <c r="K1253" t="s">
        <v>22</v>
      </c>
      <c r="L1253" t="s">
        <v>38</v>
      </c>
      <c r="M1253" t="s">
        <v>20</v>
      </c>
      <c r="N1253" t="s">
        <v>21</v>
      </c>
      <c r="O1253" t="s">
        <v>19</v>
      </c>
      <c r="P1253" t="s">
        <v>20</v>
      </c>
      <c r="Q1253" t="s">
        <v>40</v>
      </c>
    </row>
    <row r="1254" spans="1:17" x14ac:dyDescent="0.35">
      <c r="A1254">
        <v>1278</v>
      </c>
      <c r="B1254">
        <v>74</v>
      </c>
      <c r="C1254" t="s">
        <v>27</v>
      </c>
      <c r="D1254">
        <v>179</v>
      </c>
      <c r="E1254">
        <v>93</v>
      </c>
      <c r="F1254" s="3">
        <v>21.3792250255662</v>
      </c>
      <c r="G1254" s="3" t="str">
        <f t="shared" si="19"/>
        <v>Normal Weight</v>
      </c>
      <c r="H1254" t="s">
        <v>968</v>
      </c>
      <c r="I1254" t="s">
        <v>18</v>
      </c>
      <c r="J1254" t="s">
        <v>19</v>
      </c>
      <c r="K1254" t="s">
        <v>40</v>
      </c>
      <c r="L1254" t="s">
        <v>29</v>
      </c>
      <c r="M1254" t="s">
        <v>20</v>
      </c>
      <c r="N1254" t="s">
        <v>21</v>
      </c>
      <c r="O1254" t="s">
        <v>19</v>
      </c>
      <c r="P1254" t="s">
        <v>19</v>
      </c>
      <c r="Q1254" t="s">
        <v>40</v>
      </c>
    </row>
    <row r="1255" spans="1:17" x14ac:dyDescent="0.35">
      <c r="A1255">
        <v>1243</v>
      </c>
      <c r="B1255">
        <v>42</v>
      </c>
      <c r="C1255" t="s">
        <v>16</v>
      </c>
      <c r="D1255">
        <v>166</v>
      </c>
      <c r="E1255">
        <v>65</v>
      </c>
      <c r="F1255" s="3">
        <v>21.953550251264399</v>
      </c>
      <c r="G1255" s="3" t="str">
        <f t="shared" si="19"/>
        <v>Normal Weight</v>
      </c>
      <c r="H1255" t="s">
        <v>711</v>
      </c>
      <c r="I1255" t="s">
        <v>18</v>
      </c>
      <c r="J1255" t="s">
        <v>19</v>
      </c>
      <c r="K1255" t="s">
        <v>22</v>
      </c>
      <c r="L1255" t="s">
        <v>32</v>
      </c>
      <c r="M1255" t="s">
        <v>20</v>
      </c>
      <c r="N1255" t="s">
        <v>21</v>
      </c>
      <c r="O1255" t="s">
        <v>19</v>
      </c>
      <c r="P1255" t="s">
        <v>20</v>
      </c>
      <c r="Q1255" t="s">
        <v>18</v>
      </c>
    </row>
    <row r="1256" spans="1:17" x14ac:dyDescent="0.35">
      <c r="A1256">
        <v>1247</v>
      </c>
      <c r="B1256">
        <v>42</v>
      </c>
      <c r="C1256" t="s">
        <v>16</v>
      </c>
      <c r="D1256">
        <v>177</v>
      </c>
      <c r="E1256">
        <v>94</v>
      </c>
      <c r="F1256" s="3">
        <v>33.680660867007397</v>
      </c>
      <c r="G1256" s="3" t="str">
        <f t="shared" si="19"/>
        <v>Obese</v>
      </c>
      <c r="H1256" t="s">
        <v>949</v>
      </c>
      <c r="I1256" t="s">
        <v>24</v>
      </c>
      <c r="J1256" t="s">
        <v>20</v>
      </c>
      <c r="K1256" t="s">
        <v>22</v>
      </c>
      <c r="L1256" t="s">
        <v>14</v>
      </c>
      <c r="M1256" t="s">
        <v>20</v>
      </c>
      <c r="N1256" t="s">
        <v>25</v>
      </c>
      <c r="O1256" t="s">
        <v>19</v>
      </c>
      <c r="P1256" t="s">
        <v>20</v>
      </c>
      <c r="Q1256" t="s">
        <v>18</v>
      </c>
    </row>
    <row r="1257" spans="1:17" x14ac:dyDescent="0.35">
      <c r="A1257">
        <v>1417</v>
      </c>
      <c r="B1257">
        <v>42</v>
      </c>
      <c r="C1257" t="s">
        <v>16</v>
      </c>
      <c r="D1257">
        <v>153</v>
      </c>
      <c r="E1257">
        <v>86</v>
      </c>
      <c r="F1257" s="3">
        <v>33.936129875521097</v>
      </c>
      <c r="G1257" s="3" t="str">
        <f t="shared" si="19"/>
        <v>Obese</v>
      </c>
      <c r="H1257" t="s">
        <v>1035</v>
      </c>
      <c r="I1257" t="s">
        <v>24</v>
      </c>
      <c r="J1257" t="s">
        <v>19</v>
      </c>
      <c r="K1257" t="s">
        <v>22</v>
      </c>
      <c r="L1257" t="s">
        <v>29</v>
      </c>
      <c r="M1257" t="s">
        <v>20</v>
      </c>
      <c r="N1257" t="s">
        <v>21</v>
      </c>
      <c r="O1257" t="s">
        <v>19</v>
      </c>
      <c r="P1257" t="s">
        <v>19</v>
      </c>
      <c r="Q1257" t="s">
        <v>40</v>
      </c>
    </row>
    <row r="1258" spans="1:17" x14ac:dyDescent="0.35">
      <c r="A1258">
        <v>1420</v>
      </c>
      <c r="B1258">
        <v>42</v>
      </c>
      <c r="C1258" t="s">
        <v>27</v>
      </c>
      <c r="D1258">
        <v>172</v>
      </c>
      <c r="E1258">
        <v>56</v>
      </c>
      <c r="F1258" s="3">
        <v>19.150390154485901</v>
      </c>
      <c r="G1258" s="3" t="str">
        <f t="shared" si="19"/>
        <v>Normal Weight</v>
      </c>
      <c r="H1258" t="s">
        <v>1037</v>
      </c>
      <c r="I1258" t="s">
        <v>31</v>
      </c>
      <c r="J1258" t="s">
        <v>20</v>
      </c>
      <c r="K1258" t="s">
        <v>22</v>
      </c>
      <c r="L1258" t="s">
        <v>14</v>
      </c>
      <c r="M1258" t="s">
        <v>20</v>
      </c>
      <c r="N1258" t="s">
        <v>21</v>
      </c>
      <c r="O1258" t="s">
        <v>19</v>
      </c>
      <c r="P1258" t="s">
        <v>19</v>
      </c>
      <c r="Q1258" t="s">
        <v>18</v>
      </c>
    </row>
    <row r="1259" spans="1:17" x14ac:dyDescent="0.35">
      <c r="A1259">
        <v>1279</v>
      </c>
      <c r="B1259">
        <v>50</v>
      </c>
      <c r="C1259" t="s">
        <v>16</v>
      </c>
      <c r="D1259">
        <v>183</v>
      </c>
      <c r="E1259">
        <v>67</v>
      </c>
      <c r="F1259" s="3">
        <v>24.748605367089102</v>
      </c>
      <c r="G1259" s="3" t="str">
        <f t="shared" si="19"/>
        <v>Normal Weight</v>
      </c>
      <c r="H1259" t="s">
        <v>969</v>
      </c>
      <c r="I1259" t="s">
        <v>31</v>
      </c>
      <c r="J1259" t="s">
        <v>19</v>
      </c>
      <c r="K1259" t="s">
        <v>18</v>
      </c>
      <c r="L1259" t="s">
        <v>14</v>
      </c>
      <c r="M1259" t="s">
        <v>19</v>
      </c>
      <c r="N1259" t="s">
        <v>25</v>
      </c>
      <c r="O1259" t="s">
        <v>20</v>
      </c>
      <c r="P1259" t="s">
        <v>20</v>
      </c>
      <c r="Q1259" t="s">
        <v>22</v>
      </c>
    </row>
    <row r="1260" spans="1:17" x14ac:dyDescent="0.35">
      <c r="A1260">
        <v>1282</v>
      </c>
      <c r="B1260">
        <v>38</v>
      </c>
      <c r="C1260" t="s">
        <v>27</v>
      </c>
      <c r="D1260">
        <v>155</v>
      </c>
      <c r="E1260">
        <v>89</v>
      </c>
      <c r="F1260" s="3">
        <v>29.236952341507699</v>
      </c>
      <c r="G1260" s="3" t="str">
        <f t="shared" si="19"/>
        <v>Overweight</v>
      </c>
      <c r="H1260" t="s">
        <v>971</v>
      </c>
      <c r="I1260" t="s">
        <v>18</v>
      </c>
      <c r="J1260" t="s">
        <v>20</v>
      </c>
      <c r="K1260" t="s">
        <v>18</v>
      </c>
      <c r="L1260" t="s">
        <v>29</v>
      </c>
      <c r="M1260" t="s">
        <v>20</v>
      </c>
      <c r="N1260" t="s">
        <v>25</v>
      </c>
      <c r="O1260" t="s">
        <v>20</v>
      </c>
      <c r="P1260" t="s">
        <v>19</v>
      </c>
      <c r="Q1260" t="s">
        <v>22</v>
      </c>
    </row>
    <row r="1261" spans="1:17" x14ac:dyDescent="0.35">
      <c r="A1261">
        <v>1283</v>
      </c>
      <c r="B1261">
        <v>23</v>
      </c>
      <c r="C1261" t="s">
        <v>27</v>
      </c>
      <c r="D1261">
        <v>164</v>
      </c>
      <c r="E1261">
        <v>91</v>
      </c>
      <c r="F1261" s="3">
        <v>32.802554513860002</v>
      </c>
      <c r="G1261" s="3" t="str">
        <f t="shared" si="19"/>
        <v>Obese</v>
      </c>
      <c r="H1261" t="s">
        <v>340</v>
      </c>
      <c r="I1261" t="s">
        <v>18</v>
      </c>
      <c r="J1261" t="s">
        <v>19</v>
      </c>
      <c r="K1261" t="s">
        <v>18</v>
      </c>
      <c r="L1261" t="s">
        <v>38</v>
      </c>
      <c r="M1261" t="s">
        <v>19</v>
      </c>
      <c r="N1261" t="s">
        <v>25</v>
      </c>
      <c r="O1261" t="s">
        <v>20</v>
      </c>
      <c r="P1261" t="s">
        <v>20</v>
      </c>
      <c r="Q1261" t="s">
        <v>22</v>
      </c>
    </row>
    <row r="1262" spans="1:17" x14ac:dyDescent="0.35">
      <c r="A1262">
        <v>1609</v>
      </c>
      <c r="B1262">
        <v>42</v>
      </c>
      <c r="C1262" t="s">
        <v>27</v>
      </c>
      <c r="D1262">
        <v>159</v>
      </c>
      <c r="E1262">
        <v>63</v>
      </c>
      <c r="F1262" s="3">
        <v>21.054883011683</v>
      </c>
      <c r="G1262" s="3" t="str">
        <f t="shared" si="19"/>
        <v>Normal Weight</v>
      </c>
      <c r="H1262" t="s">
        <v>1118</v>
      </c>
      <c r="I1262" t="s">
        <v>18</v>
      </c>
      <c r="J1262" t="s">
        <v>19</v>
      </c>
      <c r="K1262" t="s">
        <v>22</v>
      </c>
      <c r="L1262" t="s">
        <v>29</v>
      </c>
      <c r="M1262" t="s">
        <v>19</v>
      </c>
      <c r="N1262" t="s">
        <v>21</v>
      </c>
      <c r="O1262" t="s">
        <v>19</v>
      </c>
      <c r="P1262" t="s">
        <v>20</v>
      </c>
      <c r="Q1262" t="s">
        <v>22</v>
      </c>
    </row>
    <row r="1263" spans="1:17" x14ac:dyDescent="0.35">
      <c r="A1263">
        <v>1792</v>
      </c>
      <c r="B1263">
        <v>42</v>
      </c>
      <c r="C1263" t="s">
        <v>27</v>
      </c>
      <c r="D1263">
        <v>169</v>
      </c>
      <c r="E1263">
        <v>63</v>
      </c>
      <c r="F1263" s="3">
        <v>19.722235968972299</v>
      </c>
      <c r="G1263" s="3" t="str">
        <f t="shared" si="19"/>
        <v>Normal Weight</v>
      </c>
      <c r="H1263" t="s">
        <v>769</v>
      </c>
      <c r="I1263" t="s">
        <v>18</v>
      </c>
      <c r="J1263" t="s">
        <v>19</v>
      </c>
      <c r="K1263" t="s">
        <v>22</v>
      </c>
      <c r="L1263" t="s">
        <v>32</v>
      </c>
      <c r="M1263" t="s">
        <v>19</v>
      </c>
      <c r="N1263" t="s">
        <v>21</v>
      </c>
      <c r="O1263" t="s">
        <v>20</v>
      </c>
      <c r="P1263" t="s">
        <v>20</v>
      </c>
      <c r="Q1263" t="s">
        <v>40</v>
      </c>
    </row>
    <row r="1264" spans="1:17" x14ac:dyDescent="0.35">
      <c r="A1264">
        <v>1818</v>
      </c>
      <c r="B1264">
        <v>42</v>
      </c>
      <c r="C1264" t="s">
        <v>27</v>
      </c>
      <c r="D1264">
        <v>156</v>
      </c>
      <c r="E1264">
        <v>75</v>
      </c>
      <c r="F1264" s="3">
        <v>21.218059785337498</v>
      </c>
      <c r="G1264" s="3" t="str">
        <f t="shared" si="19"/>
        <v>Normal Weight</v>
      </c>
      <c r="H1264" t="s">
        <v>70</v>
      </c>
      <c r="I1264" t="s">
        <v>31</v>
      </c>
      <c r="J1264" t="s">
        <v>19</v>
      </c>
      <c r="K1264" t="s">
        <v>22</v>
      </c>
      <c r="L1264" t="s">
        <v>32</v>
      </c>
      <c r="M1264" t="s">
        <v>20</v>
      </c>
      <c r="N1264" t="s">
        <v>21</v>
      </c>
      <c r="O1264" t="s">
        <v>19</v>
      </c>
      <c r="P1264" t="s">
        <v>19</v>
      </c>
      <c r="Q1264" t="s">
        <v>40</v>
      </c>
    </row>
    <row r="1265" spans="1:17" x14ac:dyDescent="0.35">
      <c r="A1265">
        <v>1902</v>
      </c>
      <c r="B1265">
        <v>42</v>
      </c>
      <c r="C1265" t="s">
        <v>27</v>
      </c>
      <c r="D1265">
        <v>184</v>
      </c>
      <c r="E1265">
        <v>87</v>
      </c>
      <c r="F1265" s="3">
        <v>23.0406384942623</v>
      </c>
      <c r="G1265" s="3" t="str">
        <f t="shared" si="19"/>
        <v>Normal Weight</v>
      </c>
      <c r="H1265" t="s">
        <v>1239</v>
      </c>
      <c r="I1265" t="s">
        <v>18</v>
      </c>
      <c r="J1265" t="s">
        <v>19</v>
      </c>
      <c r="K1265" t="s">
        <v>22</v>
      </c>
      <c r="L1265" t="s">
        <v>14</v>
      </c>
      <c r="M1265" t="s">
        <v>19</v>
      </c>
      <c r="N1265" t="s">
        <v>25</v>
      </c>
      <c r="O1265" t="s">
        <v>19</v>
      </c>
      <c r="P1265" t="s">
        <v>19</v>
      </c>
      <c r="Q1265" t="s">
        <v>22</v>
      </c>
    </row>
    <row r="1266" spans="1:17" x14ac:dyDescent="0.35">
      <c r="A1266">
        <v>1907</v>
      </c>
      <c r="B1266">
        <v>42</v>
      </c>
      <c r="C1266" t="s">
        <v>16</v>
      </c>
      <c r="D1266">
        <v>174</v>
      </c>
      <c r="E1266">
        <v>95</v>
      </c>
      <c r="F1266" s="3">
        <v>34.303149859907599</v>
      </c>
      <c r="G1266" s="3" t="str">
        <f t="shared" si="19"/>
        <v>Obese</v>
      </c>
      <c r="H1266" t="s">
        <v>721</v>
      </c>
      <c r="I1266" t="s">
        <v>18</v>
      </c>
      <c r="J1266" t="s">
        <v>19</v>
      </c>
      <c r="K1266" t="s">
        <v>22</v>
      </c>
      <c r="L1266" t="s">
        <v>32</v>
      </c>
      <c r="M1266" t="s">
        <v>19</v>
      </c>
      <c r="N1266" t="s">
        <v>25</v>
      </c>
      <c r="O1266" t="s">
        <v>19</v>
      </c>
      <c r="P1266" t="s">
        <v>20</v>
      </c>
      <c r="Q1266" t="s">
        <v>18</v>
      </c>
    </row>
    <row r="1267" spans="1:17" x14ac:dyDescent="0.35">
      <c r="A1267">
        <v>1284</v>
      </c>
      <c r="B1267">
        <v>23</v>
      </c>
      <c r="C1267" t="s">
        <v>16</v>
      </c>
      <c r="D1267">
        <v>176</v>
      </c>
      <c r="E1267">
        <v>56</v>
      </c>
      <c r="F1267" s="3">
        <v>33.250555448131301</v>
      </c>
      <c r="G1267" s="3" t="str">
        <f t="shared" si="19"/>
        <v>Obese</v>
      </c>
      <c r="H1267" t="s">
        <v>972</v>
      </c>
      <c r="I1267" t="s">
        <v>24</v>
      </c>
      <c r="J1267" t="s">
        <v>20</v>
      </c>
      <c r="K1267" t="s">
        <v>18</v>
      </c>
      <c r="L1267" t="s">
        <v>32</v>
      </c>
      <c r="M1267" t="s">
        <v>19</v>
      </c>
      <c r="N1267" t="s">
        <v>21</v>
      </c>
      <c r="O1267" t="s">
        <v>19</v>
      </c>
      <c r="P1267" t="s">
        <v>19</v>
      </c>
      <c r="Q1267" t="s">
        <v>18</v>
      </c>
    </row>
    <row r="1268" spans="1:17" x14ac:dyDescent="0.35">
      <c r="A1268">
        <v>1950</v>
      </c>
      <c r="B1268">
        <v>42</v>
      </c>
      <c r="C1268" t="s">
        <v>16</v>
      </c>
      <c r="D1268">
        <v>180</v>
      </c>
      <c r="E1268">
        <v>93</v>
      </c>
      <c r="F1268" s="3">
        <v>19.3637284441166</v>
      </c>
      <c r="G1268" s="3" t="str">
        <f t="shared" si="19"/>
        <v>Normal Weight</v>
      </c>
      <c r="H1268" t="s">
        <v>1255</v>
      </c>
      <c r="I1268" t="s">
        <v>24</v>
      </c>
      <c r="J1268" t="s">
        <v>20</v>
      </c>
      <c r="K1268" t="s">
        <v>22</v>
      </c>
      <c r="L1268" t="s">
        <v>38</v>
      </c>
      <c r="M1268" t="s">
        <v>20</v>
      </c>
      <c r="N1268" t="s">
        <v>25</v>
      </c>
      <c r="O1268" t="s">
        <v>19</v>
      </c>
      <c r="P1268" t="s">
        <v>19</v>
      </c>
      <c r="Q1268" t="s">
        <v>40</v>
      </c>
    </row>
    <row r="1269" spans="1:17" x14ac:dyDescent="0.35">
      <c r="A1269">
        <v>15</v>
      </c>
      <c r="B1269">
        <v>41</v>
      </c>
      <c r="C1269" t="s">
        <v>27</v>
      </c>
      <c r="D1269">
        <v>155</v>
      </c>
      <c r="E1269">
        <v>82</v>
      </c>
      <c r="F1269" s="3">
        <v>26.339155621413301</v>
      </c>
      <c r="G1269" s="3" t="str">
        <f t="shared" si="19"/>
        <v>Overweight</v>
      </c>
      <c r="H1269" t="s">
        <v>44</v>
      </c>
      <c r="I1269" t="s">
        <v>31</v>
      </c>
      <c r="J1269" t="s">
        <v>20</v>
      </c>
      <c r="K1269" t="s">
        <v>22</v>
      </c>
      <c r="L1269" t="s">
        <v>38</v>
      </c>
      <c r="M1269" t="s">
        <v>20</v>
      </c>
      <c r="N1269" t="s">
        <v>21</v>
      </c>
      <c r="O1269" t="s">
        <v>19</v>
      </c>
      <c r="P1269" t="s">
        <v>20</v>
      </c>
      <c r="Q1269" t="s">
        <v>22</v>
      </c>
    </row>
    <row r="1270" spans="1:17" x14ac:dyDescent="0.35">
      <c r="A1270">
        <v>19</v>
      </c>
      <c r="B1270">
        <v>41</v>
      </c>
      <c r="C1270" t="s">
        <v>16</v>
      </c>
      <c r="D1270">
        <v>159</v>
      </c>
      <c r="E1270">
        <v>57</v>
      </c>
      <c r="F1270" s="3">
        <v>22.660852478676201</v>
      </c>
      <c r="G1270" s="3" t="str">
        <f t="shared" si="19"/>
        <v>Normal Weight</v>
      </c>
      <c r="H1270" t="s">
        <v>48</v>
      </c>
      <c r="I1270" t="s">
        <v>18</v>
      </c>
      <c r="J1270" t="s">
        <v>20</v>
      </c>
      <c r="K1270" t="s">
        <v>22</v>
      </c>
      <c r="L1270" t="s">
        <v>32</v>
      </c>
      <c r="M1270" t="s">
        <v>19</v>
      </c>
      <c r="N1270" t="s">
        <v>21</v>
      </c>
      <c r="O1270" t="s">
        <v>19</v>
      </c>
      <c r="P1270" t="s">
        <v>20</v>
      </c>
      <c r="Q1270" t="s">
        <v>22</v>
      </c>
    </row>
    <row r="1271" spans="1:17" x14ac:dyDescent="0.35">
      <c r="A1271">
        <v>24</v>
      </c>
      <c r="B1271">
        <v>41</v>
      </c>
      <c r="C1271" t="s">
        <v>27</v>
      </c>
      <c r="D1271">
        <v>151</v>
      </c>
      <c r="E1271">
        <v>89</v>
      </c>
      <c r="F1271" s="3">
        <v>19.147873352202801</v>
      </c>
      <c r="G1271" s="3" t="str">
        <f t="shared" si="19"/>
        <v>Normal Weight</v>
      </c>
      <c r="H1271" t="s">
        <v>53</v>
      </c>
      <c r="I1271" t="s">
        <v>31</v>
      </c>
      <c r="J1271" t="s">
        <v>19</v>
      </c>
      <c r="K1271" t="s">
        <v>22</v>
      </c>
      <c r="L1271" t="s">
        <v>29</v>
      </c>
      <c r="M1271" t="s">
        <v>20</v>
      </c>
      <c r="N1271" t="s">
        <v>21</v>
      </c>
      <c r="O1271" t="s">
        <v>19</v>
      </c>
      <c r="P1271" t="s">
        <v>19</v>
      </c>
      <c r="Q1271" t="s">
        <v>40</v>
      </c>
    </row>
    <row r="1272" spans="1:17" x14ac:dyDescent="0.35">
      <c r="A1272">
        <v>1285</v>
      </c>
      <c r="B1272">
        <v>72</v>
      </c>
      <c r="C1272" t="s">
        <v>16</v>
      </c>
      <c r="D1272">
        <v>159</v>
      </c>
      <c r="E1272">
        <v>99</v>
      </c>
      <c r="F1272" s="3">
        <v>33.676577434360603</v>
      </c>
      <c r="G1272" s="3" t="str">
        <f t="shared" si="19"/>
        <v>Obese</v>
      </c>
      <c r="H1272" t="s">
        <v>973</v>
      </c>
      <c r="I1272" t="s">
        <v>18</v>
      </c>
      <c r="J1272" t="s">
        <v>19</v>
      </c>
      <c r="K1272" t="s">
        <v>40</v>
      </c>
      <c r="L1272" t="s">
        <v>29</v>
      </c>
      <c r="M1272" t="s">
        <v>20</v>
      </c>
      <c r="N1272" t="s">
        <v>25</v>
      </c>
      <c r="O1272" t="s">
        <v>19</v>
      </c>
      <c r="P1272" t="s">
        <v>19</v>
      </c>
      <c r="Q1272" t="s">
        <v>40</v>
      </c>
    </row>
    <row r="1273" spans="1:17" x14ac:dyDescent="0.35">
      <c r="A1273">
        <v>1286</v>
      </c>
      <c r="B1273">
        <v>65</v>
      </c>
      <c r="C1273" t="s">
        <v>16</v>
      </c>
      <c r="D1273">
        <v>158</v>
      </c>
      <c r="E1273">
        <v>97</v>
      </c>
      <c r="F1273" s="3">
        <v>20.065011688677</v>
      </c>
      <c r="G1273" s="3" t="str">
        <f t="shared" si="19"/>
        <v>Normal Weight</v>
      </c>
      <c r="H1273" t="s">
        <v>974</v>
      </c>
      <c r="I1273" t="s">
        <v>31</v>
      </c>
      <c r="J1273" t="s">
        <v>19</v>
      </c>
      <c r="K1273" t="s">
        <v>18</v>
      </c>
      <c r="L1273" t="s">
        <v>38</v>
      </c>
      <c r="M1273" t="s">
        <v>19</v>
      </c>
      <c r="N1273" t="s">
        <v>21</v>
      </c>
      <c r="O1273" t="s">
        <v>19</v>
      </c>
      <c r="P1273" t="s">
        <v>19</v>
      </c>
      <c r="Q1273" t="s">
        <v>18</v>
      </c>
    </row>
    <row r="1274" spans="1:17" x14ac:dyDescent="0.35">
      <c r="A1274">
        <v>1287</v>
      </c>
      <c r="B1274">
        <v>21</v>
      </c>
      <c r="C1274" t="s">
        <v>16</v>
      </c>
      <c r="D1274">
        <v>182</v>
      </c>
      <c r="E1274">
        <v>69</v>
      </c>
      <c r="F1274" s="3">
        <v>27.478079032391101</v>
      </c>
      <c r="G1274" s="3" t="str">
        <f t="shared" si="19"/>
        <v>Overweight</v>
      </c>
      <c r="H1274" t="s">
        <v>975</v>
      </c>
      <c r="I1274" t="s">
        <v>24</v>
      </c>
      <c r="J1274" t="s">
        <v>20</v>
      </c>
      <c r="K1274" t="s">
        <v>18</v>
      </c>
      <c r="L1274" t="s">
        <v>29</v>
      </c>
      <c r="M1274" t="s">
        <v>19</v>
      </c>
      <c r="N1274" t="s">
        <v>25</v>
      </c>
      <c r="O1274" t="s">
        <v>19</v>
      </c>
      <c r="P1274" t="s">
        <v>20</v>
      </c>
      <c r="Q1274" t="s">
        <v>18</v>
      </c>
    </row>
    <row r="1275" spans="1:17" x14ac:dyDescent="0.35">
      <c r="A1275">
        <v>165</v>
      </c>
      <c r="B1275">
        <v>41</v>
      </c>
      <c r="C1275" t="s">
        <v>16</v>
      </c>
      <c r="D1275">
        <v>169</v>
      </c>
      <c r="E1275">
        <v>97</v>
      </c>
      <c r="F1275" s="3">
        <v>23.747653592959502</v>
      </c>
      <c r="G1275" s="3" t="str">
        <f t="shared" si="19"/>
        <v>Normal Weight</v>
      </c>
      <c r="H1275" t="s">
        <v>187</v>
      </c>
      <c r="I1275" t="s">
        <v>18</v>
      </c>
      <c r="J1275" t="s">
        <v>20</v>
      </c>
      <c r="K1275" t="s">
        <v>22</v>
      </c>
      <c r="L1275" t="s">
        <v>38</v>
      </c>
      <c r="M1275" t="s">
        <v>19</v>
      </c>
      <c r="N1275" t="s">
        <v>25</v>
      </c>
      <c r="O1275" t="s">
        <v>19</v>
      </c>
      <c r="P1275" t="s">
        <v>19</v>
      </c>
      <c r="Q1275" t="s">
        <v>18</v>
      </c>
    </row>
    <row r="1276" spans="1:17" x14ac:dyDescent="0.35">
      <c r="A1276">
        <v>1292</v>
      </c>
      <c r="B1276">
        <v>47</v>
      </c>
      <c r="C1276" t="s">
        <v>27</v>
      </c>
      <c r="D1276">
        <v>178</v>
      </c>
      <c r="E1276">
        <v>94</v>
      </c>
      <c r="F1276" s="3">
        <v>31.6574391400374</v>
      </c>
      <c r="G1276" s="3" t="str">
        <f t="shared" si="19"/>
        <v>Obese</v>
      </c>
      <c r="H1276" t="s">
        <v>978</v>
      </c>
      <c r="I1276" t="s">
        <v>31</v>
      </c>
      <c r="J1276" t="s">
        <v>19</v>
      </c>
      <c r="K1276" t="s">
        <v>18</v>
      </c>
      <c r="L1276" t="s">
        <v>14</v>
      </c>
      <c r="M1276" t="s">
        <v>19</v>
      </c>
      <c r="N1276" t="s">
        <v>21</v>
      </c>
      <c r="O1276" t="s">
        <v>20</v>
      </c>
      <c r="P1276" t="s">
        <v>20</v>
      </c>
      <c r="Q1276" t="s">
        <v>22</v>
      </c>
    </row>
    <row r="1277" spans="1:17" x14ac:dyDescent="0.35">
      <c r="A1277">
        <v>265</v>
      </c>
      <c r="B1277">
        <v>41</v>
      </c>
      <c r="C1277" t="s">
        <v>16</v>
      </c>
      <c r="D1277">
        <v>184</v>
      </c>
      <c r="E1277">
        <v>83</v>
      </c>
      <c r="F1277" s="3">
        <v>23.448835058305502</v>
      </c>
      <c r="G1277" s="3" t="str">
        <f t="shared" si="19"/>
        <v>Normal Weight</v>
      </c>
      <c r="H1277" t="s">
        <v>275</v>
      </c>
      <c r="I1277" t="s">
        <v>31</v>
      </c>
      <c r="J1277" t="s">
        <v>20</v>
      </c>
      <c r="K1277" t="s">
        <v>22</v>
      </c>
      <c r="L1277" t="s">
        <v>29</v>
      </c>
      <c r="M1277" t="s">
        <v>20</v>
      </c>
      <c r="N1277" t="s">
        <v>21</v>
      </c>
      <c r="O1277" t="s">
        <v>19</v>
      </c>
      <c r="P1277" t="s">
        <v>20</v>
      </c>
      <c r="Q1277" t="s">
        <v>40</v>
      </c>
    </row>
    <row r="1278" spans="1:17" x14ac:dyDescent="0.35">
      <c r="A1278">
        <v>311</v>
      </c>
      <c r="B1278">
        <v>41</v>
      </c>
      <c r="C1278" t="s">
        <v>27</v>
      </c>
      <c r="D1278">
        <v>176</v>
      </c>
      <c r="E1278">
        <v>97</v>
      </c>
      <c r="F1278" s="3">
        <v>23.299468094821101</v>
      </c>
      <c r="G1278" s="3" t="str">
        <f t="shared" si="19"/>
        <v>Normal Weight</v>
      </c>
      <c r="H1278" t="s">
        <v>317</v>
      </c>
      <c r="I1278" t="s">
        <v>31</v>
      </c>
      <c r="J1278" t="s">
        <v>20</v>
      </c>
      <c r="K1278" t="s">
        <v>22</v>
      </c>
      <c r="L1278" t="s">
        <v>32</v>
      </c>
      <c r="M1278" t="s">
        <v>19</v>
      </c>
      <c r="N1278" t="s">
        <v>25</v>
      </c>
      <c r="O1278" t="s">
        <v>19</v>
      </c>
      <c r="P1278" t="s">
        <v>20</v>
      </c>
      <c r="Q1278" t="s">
        <v>40</v>
      </c>
    </row>
    <row r="1279" spans="1:17" x14ac:dyDescent="0.35">
      <c r="A1279">
        <v>1293</v>
      </c>
      <c r="B1279">
        <v>48</v>
      </c>
      <c r="C1279" t="s">
        <v>27</v>
      </c>
      <c r="D1279">
        <v>153</v>
      </c>
      <c r="E1279">
        <v>80</v>
      </c>
      <c r="F1279" s="3">
        <v>30.381837002996601</v>
      </c>
      <c r="G1279" s="3" t="str">
        <f t="shared" si="19"/>
        <v>Obese</v>
      </c>
      <c r="H1279" t="s">
        <v>979</v>
      </c>
      <c r="I1279" t="s">
        <v>31</v>
      </c>
      <c r="J1279" t="s">
        <v>20</v>
      </c>
      <c r="K1279" t="s">
        <v>18</v>
      </c>
      <c r="L1279" t="s">
        <v>38</v>
      </c>
      <c r="M1279" t="s">
        <v>19</v>
      </c>
      <c r="N1279" t="s">
        <v>25</v>
      </c>
      <c r="O1279" t="s">
        <v>20</v>
      </c>
      <c r="P1279" t="s">
        <v>20</v>
      </c>
      <c r="Q1279" t="s">
        <v>40</v>
      </c>
    </row>
    <row r="1280" spans="1:17" x14ac:dyDescent="0.35">
      <c r="A1280">
        <v>1294</v>
      </c>
      <c r="B1280">
        <v>41</v>
      </c>
      <c r="C1280" t="s">
        <v>27</v>
      </c>
      <c r="D1280">
        <v>150</v>
      </c>
      <c r="E1280">
        <v>70</v>
      </c>
      <c r="F1280" s="3">
        <v>19.9212402305591</v>
      </c>
      <c r="G1280" s="3" t="str">
        <f t="shared" si="19"/>
        <v>Normal Weight</v>
      </c>
      <c r="H1280" t="s">
        <v>980</v>
      </c>
      <c r="I1280" t="s">
        <v>18</v>
      </c>
      <c r="J1280" t="s">
        <v>20</v>
      </c>
      <c r="K1280" t="s">
        <v>18</v>
      </c>
      <c r="L1280" t="s">
        <v>14</v>
      </c>
      <c r="M1280" t="s">
        <v>19</v>
      </c>
      <c r="N1280" t="s">
        <v>21</v>
      </c>
      <c r="O1280" t="s">
        <v>20</v>
      </c>
      <c r="P1280" t="s">
        <v>19</v>
      </c>
      <c r="Q1280" t="s">
        <v>40</v>
      </c>
    </row>
    <row r="1281" spans="1:17" x14ac:dyDescent="0.35">
      <c r="A1281">
        <v>472</v>
      </c>
      <c r="B1281">
        <v>41</v>
      </c>
      <c r="C1281" t="s">
        <v>16</v>
      </c>
      <c r="D1281">
        <v>176</v>
      </c>
      <c r="E1281">
        <v>76</v>
      </c>
      <c r="F1281" s="3">
        <v>22.486421061190001</v>
      </c>
      <c r="G1281" s="3" t="str">
        <f t="shared" si="19"/>
        <v>Normal Weight</v>
      </c>
      <c r="H1281" t="s">
        <v>445</v>
      </c>
      <c r="I1281" t="s">
        <v>18</v>
      </c>
      <c r="J1281" t="s">
        <v>19</v>
      </c>
      <c r="K1281" t="s">
        <v>22</v>
      </c>
      <c r="L1281" t="s">
        <v>14</v>
      </c>
      <c r="M1281" t="s">
        <v>20</v>
      </c>
      <c r="N1281" t="s">
        <v>21</v>
      </c>
      <c r="O1281" t="s">
        <v>19</v>
      </c>
      <c r="P1281" t="s">
        <v>19</v>
      </c>
      <c r="Q1281" t="s">
        <v>22</v>
      </c>
    </row>
    <row r="1282" spans="1:17" x14ac:dyDescent="0.35">
      <c r="A1282">
        <v>497</v>
      </c>
      <c r="B1282">
        <v>41</v>
      </c>
      <c r="C1282" t="s">
        <v>27</v>
      </c>
      <c r="D1282">
        <v>152</v>
      </c>
      <c r="E1282">
        <v>72</v>
      </c>
      <c r="F1282" s="3">
        <v>22.023457099090599</v>
      </c>
      <c r="G1282" s="3" t="str">
        <f t="shared" si="19"/>
        <v>Normal Weight</v>
      </c>
      <c r="H1282" t="s">
        <v>462</v>
      </c>
      <c r="I1282" t="s">
        <v>24</v>
      </c>
      <c r="J1282" t="s">
        <v>19</v>
      </c>
      <c r="K1282" t="s">
        <v>22</v>
      </c>
      <c r="L1282" t="s">
        <v>14</v>
      </c>
      <c r="M1282" t="s">
        <v>19</v>
      </c>
      <c r="N1282" t="s">
        <v>21</v>
      </c>
      <c r="O1282" t="s">
        <v>19</v>
      </c>
      <c r="P1282" t="s">
        <v>20</v>
      </c>
      <c r="Q1282" t="s">
        <v>18</v>
      </c>
    </row>
    <row r="1283" spans="1:17" x14ac:dyDescent="0.35">
      <c r="A1283">
        <v>523</v>
      </c>
      <c r="B1283">
        <v>41</v>
      </c>
      <c r="C1283" t="s">
        <v>27</v>
      </c>
      <c r="D1283">
        <v>157</v>
      </c>
      <c r="E1283">
        <v>81</v>
      </c>
      <c r="F1283" s="3">
        <v>31.1430503005462</v>
      </c>
      <c r="G1283" s="3" t="str">
        <f t="shared" ref="G1283:G1346" si="20">_xlfn.IFS(F1283&lt;18.5, "Underweight", F1283&lt;=24.9, "Normal Weight", F1283&lt;=29.9, "Overweight", TRUE, "Obese")</f>
        <v>Obese</v>
      </c>
      <c r="H1283" t="s">
        <v>483</v>
      </c>
      <c r="I1283" t="s">
        <v>24</v>
      </c>
      <c r="J1283" t="s">
        <v>19</v>
      </c>
      <c r="K1283" t="s">
        <v>22</v>
      </c>
      <c r="L1283" t="s">
        <v>32</v>
      </c>
      <c r="M1283" t="s">
        <v>19</v>
      </c>
      <c r="N1283" t="s">
        <v>21</v>
      </c>
      <c r="O1283" t="s">
        <v>19</v>
      </c>
      <c r="P1283" t="s">
        <v>20</v>
      </c>
      <c r="Q1283" t="s">
        <v>18</v>
      </c>
    </row>
    <row r="1284" spans="1:17" x14ac:dyDescent="0.35">
      <c r="A1284">
        <v>679</v>
      </c>
      <c r="B1284">
        <v>41</v>
      </c>
      <c r="C1284" t="s">
        <v>16</v>
      </c>
      <c r="D1284">
        <v>177</v>
      </c>
      <c r="E1284">
        <v>50</v>
      </c>
      <c r="F1284" s="3">
        <v>21.540102750949099</v>
      </c>
      <c r="G1284" s="3" t="str">
        <f t="shared" si="20"/>
        <v>Normal Weight</v>
      </c>
      <c r="H1284" t="s">
        <v>608</v>
      </c>
      <c r="I1284" t="s">
        <v>24</v>
      </c>
      <c r="J1284" t="s">
        <v>20</v>
      </c>
      <c r="K1284" t="s">
        <v>22</v>
      </c>
      <c r="L1284" t="s">
        <v>38</v>
      </c>
      <c r="M1284" t="s">
        <v>19</v>
      </c>
      <c r="N1284" t="s">
        <v>25</v>
      </c>
      <c r="O1284" t="s">
        <v>19</v>
      </c>
      <c r="P1284" t="s">
        <v>19</v>
      </c>
      <c r="Q1284" t="s">
        <v>40</v>
      </c>
    </row>
    <row r="1285" spans="1:17" x14ac:dyDescent="0.35">
      <c r="A1285">
        <v>688</v>
      </c>
      <c r="B1285">
        <v>41</v>
      </c>
      <c r="C1285" t="s">
        <v>16</v>
      </c>
      <c r="D1285">
        <v>167</v>
      </c>
      <c r="E1285">
        <v>64</v>
      </c>
      <c r="F1285" s="3">
        <v>24.2686375803274</v>
      </c>
      <c r="G1285" s="3" t="str">
        <f t="shared" si="20"/>
        <v>Normal Weight</v>
      </c>
      <c r="H1285" t="s">
        <v>616</v>
      </c>
      <c r="I1285" t="s">
        <v>31</v>
      </c>
      <c r="J1285" t="s">
        <v>20</v>
      </c>
      <c r="K1285" t="s">
        <v>22</v>
      </c>
      <c r="L1285" t="s">
        <v>14</v>
      </c>
      <c r="M1285" t="s">
        <v>20</v>
      </c>
      <c r="N1285" t="s">
        <v>21</v>
      </c>
      <c r="O1285" t="s">
        <v>20</v>
      </c>
      <c r="P1285" t="s">
        <v>20</v>
      </c>
      <c r="Q1285" t="s">
        <v>40</v>
      </c>
    </row>
    <row r="1286" spans="1:17" x14ac:dyDescent="0.35">
      <c r="A1286">
        <v>747</v>
      </c>
      <c r="B1286">
        <v>41</v>
      </c>
      <c r="C1286" t="s">
        <v>27</v>
      </c>
      <c r="D1286">
        <v>179</v>
      </c>
      <c r="E1286">
        <v>66</v>
      </c>
      <c r="F1286" s="3">
        <v>27.815802341290301</v>
      </c>
      <c r="G1286" s="3" t="str">
        <f t="shared" si="20"/>
        <v>Overweight</v>
      </c>
      <c r="H1286" t="s">
        <v>653</v>
      </c>
      <c r="I1286" t="s">
        <v>24</v>
      </c>
      <c r="J1286" t="s">
        <v>20</v>
      </c>
      <c r="K1286" t="s">
        <v>22</v>
      </c>
      <c r="L1286" t="s">
        <v>32</v>
      </c>
      <c r="M1286" t="s">
        <v>19</v>
      </c>
      <c r="N1286" t="s">
        <v>21</v>
      </c>
      <c r="O1286" t="s">
        <v>20</v>
      </c>
      <c r="P1286" t="s">
        <v>19</v>
      </c>
      <c r="Q1286" t="s">
        <v>22</v>
      </c>
    </row>
    <row r="1287" spans="1:17" x14ac:dyDescent="0.35">
      <c r="A1287">
        <v>757</v>
      </c>
      <c r="B1287">
        <v>41</v>
      </c>
      <c r="C1287" t="s">
        <v>27</v>
      </c>
      <c r="D1287">
        <v>188</v>
      </c>
      <c r="E1287">
        <v>63</v>
      </c>
      <c r="F1287" s="3">
        <v>25.972575446855899</v>
      </c>
      <c r="G1287" s="3" t="str">
        <f t="shared" si="20"/>
        <v>Overweight</v>
      </c>
      <c r="H1287" t="s">
        <v>661</v>
      </c>
      <c r="I1287" t="s">
        <v>18</v>
      </c>
      <c r="J1287" t="s">
        <v>19</v>
      </c>
      <c r="K1287" t="s">
        <v>22</v>
      </c>
      <c r="L1287" t="s">
        <v>29</v>
      </c>
      <c r="M1287" t="s">
        <v>19</v>
      </c>
      <c r="N1287" t="s">
        <v>21</v>
      </c>
      <c r="O1287" t="s">
        <v>20</v>
      </c>
      <c r="P1287" t="s">
        <v>19</v>
      </c>
      <c r="Q1287" t="s">
        <v>18</v>
      </c>
    </row>
    <row r="1288" spans="1:17" x14ac:dyDescent="0.35">
      <c r="A1288">
        <v>946</v>
      </c>
      <c r="B1288">
        <v>41</v>
      </c>
      <c r="C1288" t="s">
        <v>27</v>
      </c>
      <c r="D1288">
        <v>167</v>
      </c>
      <c r="E1288">
        <v>90</v>
      </c>
      <c r="F1288" s="3">
        <v>27.4585173340739</v>
      </c>
      <c r="G1288" s="3" t="str">
        <f t="shared" si="20"/>
        <v>Overweight</v>
      </c>
      <c r="H1288" t="s">
        <v>442</v>
      </c>
      <c r="I1288" t="s">
        <v>18</v>
      </c>
      <c r="J1288" t="s">
        <v>19</v>
      </c>
      <c r="K1288" t="s">
        <v>22</v>
      </c>
      <c r="L1288" t="s">
        <v>38</v>
      </c>
      <c r="M1288" t="s">
        <v>20</v>
      </c>
      <c r="N1288" t="s">
        <v>25</v>
      </c>
      <c r="O1288" t="s">
        <v>19</v>
      </c>
      <c r="P1288" t="s">
        <v>20</v>
      </c>
      <c r="Q1288" t="s">
        <v>22</v>
      </c>
    </row>
    <row r="1289" spans="1:17" x14ac:dyDescent="0.35">
      <c r="A1289">
        <v>1295</v>
      </c>
      <c r="B1289">
        <v>72</v>
      </c>
      <c r="C1289" t="s">
        <v>27</v>
      </c>
      <c r="D1289">
        <v>168</v>
      </c>
      <c r="E1289">
        <v>75</v>
      </c>
      <c r="F1289" s="3">
        <v>26.152862107127198</v>
      </c>
      <c r="G1289" s="3" t="str">
        <f t="shared" si="20"/>
        <v>Overweight</v>
      </c>
      <c r="H1289" t="s">
        <v>73</v>
      </c>
      <c r="I1289" t="s">
        <v>24</v>
      </c>
      <c r="J1289" t="s">
        <v>19</v>
      </c>
      <c r="K1289" t="s">
        <v>40</v>
      </c>
      <c r="L1289" t="s">
        <v>14</v>
      </c>
      <c r="M1289" t="s">
        <v>20</v>
      </c>
      <c r="N1289" t="s">
        <v>21</v>
      </c>
      <c r="O1289" t="s">
        <v>19</v>
      </c>
      <c r="P1289" t="s">
        <v>19</v>
      </c>
      <c r="Q1289" t="s">
        <v>18</v>
      </c>
    </row>
    <row r="1290" spans="1:17" x14ac:dyDescent="0.35">
      <c r="A1290">
        <v>1297</v>
      </c>
      <c r="B1290">
        <v>72</v>
      </c>
      <c r="C1290" t="s">
        <v>27</v>
      </c>
      <c r="D1290">
        <v>174</v>
      </c>
      <c r="E1290">
        <v>97</v>
      </c>
      <c r="F1290" s="3">
        <v>24.068371254264001</v>
      </c>
      <c r="G1290" s="3" t="str">
        <f t="shared" si="20"/>
        <v>Normal Weight</v>
      </c>
      <c r="H1290" t="s">
        <v>707</v>
      </c>
      <c r="I1290" t="s">
        <v>18</v>
      </c>
      <c r="J1290" t="s">
        <v>19</v>
      </c>
      <c r="K1290" t="s">
        <v>40</v>
      </c>
      <c r="L1290" t="s">
        <v>38</v>
      </c>
      <c r="M1290" t="s">
        <v>19</v>
      </c>
      <c r="N1290" t="s">
        <v>25</v>
      </c>
      <c r="O1290" t="s">
        <v>19</v>
      </c>
      <c r="P1290" t="s">
        <v>20</v>
      </c>
      <c r="Q1290" t="s">
        <v>40</v>
      </c>
    </row>
    <row r="1291" spans="1:17" x14ac:dyDescent="0.35">
      <c r="A1291">
        <v>1298</v>
      </c>
      <c r="B1291">
        <v>20</v>
      </c>
      <c r="C1291" t="s">
        <v>16</v>
      </c>
      <c r="D1291">
        <v>159</v>
      </c>
      <c r="E1291">
        <v>94</v>
      </c>
      <c r="F1291" s="3">
        <v>18.7983380213938</v>
      </c>
      <c r="G1291" s="3" t="str">
        <f t="shared" si="20"/>
        <v>Normal Weight</v>
      </c>
      <c r="H1291" t="s">
        <v>981</v>
      </c>
      <c r="I1291" t="s">
        <v>31</v>
      </c>
      <c r="J1291" t="s">
        <v>20</v>
      </c>
      <c r="K1291" t="s">
        <v>18</v>
      </c>
      <c r="L1291" t="s">
        <v>38</v>
      </c>
      <c r="M1291" t="s">
        <v>19</v>
      </c>
      <c r="N1291" t="s">
        <v>21</v>
      </c>
      <c r="O1291" t="s">
        <v>20</v>
      </c>
      <c r="P1291" t="s">
        <v>19</v>
      </c>
      <c r="Q1291" t="s">
        <v>40</v>
      </c>
    </row>
    <row r="1292" spans="1:17" x14ac:dyDescent="0.35">
      <c r="A1292">
        <v>1299</v>
      </c>
      <c r="B1292">
        <v>68</v>
      </c>
      <c r="C1292" t="s">
        <v>27</v>
      </c>
      <c r="D1292">
        <v>164</v>
      </c>
      <c r="E1292">
        <v>62</v>
      </c>
      <c r="F1292" s="3">
        <v>25.105442828777502</v>
      </c>
      <c r="G1292" s="3" t="str">
        <f t="shared" si="20"/>
        <v>Overweight</v>
      </c>
      <c r="H1292" t="s">
        <v>617</v>
      </c>
      <c r="I1292" t="s">
        <v>31</v>
      </c>
      <c r="J1292" t="s">
        <v>20</v>
      </c>
      <c r="K1292" t="s">
        <v>18</v>
      </c>
      <c r="L1292" t="s">
        <v>14</v>
      </c>
      <c r="M1292" t="s">
        <v>20</v>
      </c>
      <c r="N1292" t="s">
        <v>25</v>
      </c>
      <c r="O1292" t="s">
        <v>20</v>
      </c>
      <c r="P1292" t="s">
        <v>20</v>
      </c>
      <c r="Q1292" t="s">
        <v>18</v>
      </c>
    </row>
    <row r="1293" spans="1:17" x14ac:dyDescent="0.35">
      <c r="A1293">
        <v>1300</v>
      </c>
      <c r="B1293">
        <v>48</v>
      </c>
      <c r="C1293" t="s">
        <v>16</v>
      </c>
      <c r="D1293">
        <v>171</v>
      </c>
      <c r="E1293">
        <v>98</v>
      </c>
      <c r="F1293" s="3">
        <v>27.572969199077399</v>
      </c>
      <c r="G1293" s="3" t="str">
        <f t="shared" si="20"/>
        <v>Overweight</v>
      </c>
      <c r="H1293" t="s">
        <v>982</v>
      </c>
      <c r="I1293" t="s">
        <v>24</v>
      </c>
      <c r="J1293" t="s">
        <v>19</v>
      </c>
      <c r="K1293" t="s">
        <v>18</v>
      </c>
      <c r="L1293" t="s">
        <v>14</v>
      </c>
      <c r="M1293" t="s">
        <v>20</v>
      </c>
      <c r="N1293" t="s">
        <v>21</v>
      </c>
      <c r="O1293" t="s">
        <v>19</v>
      </c>
      <c r="P1293" t="s">
        <v>19</v>
      </c>
      <c r="Q1293" t="s">
        <v>18</v>
      </c>
    </row>
    <row r="1294" spans="1:17" x14ac:dyDescent="0.35">
      <c r="A1294">
        <v>1374</v>
      </c>
      <c r="B1294">
        <v>41</v>
      </c>
      <c r="C1294" t="s">
        <v>16</v>
      </c>
      <c r="D1294">
        <v>158</v>
      </c>
      <c r="E1294">
        <v>58</v>
      </c>
      <c r="F1294" s="3">
        <v>19.3697115325817</v>
      </c>
      <c r="G1294" s="3" t="str">
        <f t="shared" si="20"/>
        <v>Normal Weight</v>
      </c>
      <c r="H1294" t="s">
        <v>607</v>
      </c>
      <c r="I1294" t="s">
        <v>18</v>
      </c>
      <c r="J1294" t="s">
        <v>19</v>
      </c>
      <c r="K1294" t="s">
        <v>22</v>
      </c>
      <c r="L1294" t="s">
        <v>38</v>
      </c>
      <c r="M1294" t="s">
        <v>19</v>
      </c>
      <c r="N1294" t="s">
        <v>21</v>
      </c>
      <c r="O1294" t="s">
        <v>19</v>
      </c>
      <c r="P1294" t="s">
        <v>20</v>
      </c>
      <c r="Q1294" t="s">
        <v>22</v>
      </c>
    </row>
    <row r="1295" spans="1:17" x14ac:dyDescent="0.35">
      <c r="A1295">
        <v>1302</v>
      </c>
      <c r="B1295">
        <v>54</v>
      </c>
      <c r="C1295" t="s">
        <v>27</v>
      </c>
      <c r="D1295">
        <v>171</v>
      </c>
      <c r="E1295">
        <v>69</v>
      </c>
      <c r="F1295" s="3">
        <v>29.447590694623699</v>
      </c>
      <c r="G1295" s="3" t="str">
        <f t="shared" si="20"/>
        <v>Overweight</v>
      </c>
      <c r="H1295" t="s">
        <v>389</v>
      </c>
      <c r="I1295" t="s">
        <v>24</v>
      </c>
      <c r="J1295" t="s">
        <v>19</v>
      </c>
      <c r="K1295" t="s">
        <v>18</v>
      </c>
      <c r="L1295" t="s">
        <v>38</v>
      </c>
      <c r="M1295" t="s">
        <v>20</v>
      </c>
      <c r="N1295" t="s">
        <v>25</v>
      </c>
      <c r="O1295" t="s">
        <v>19</v>
      </c>
      <c r="P1295" t="s">
        <v>19</v>
      </c>
      <c r="Q1295" t="s">
        <v>40</v>
      </c>
    </row>
    <row r="1296" spans="1:17" x14ac:dyDescent="0.35">
      <c r="A1296">
        <v>1608</v>
      </c>
      <c r="B1296">
        <v>41</v>
      </c>
      <c r="C1296" t="s">
        <v>27</v>
      </c>
      <c r="D1296">
        <v>161</v>
      </c>
      <c r="E1296">
        <v>86</v>
      </c>
      <c r="F1296" s="3">
        <v>28.019446035189802</v>
      </c>
      <c r="G1296" s="3" t="str">
        <f t="shared" si="20"/>
        <v>Overweight</v>
      </c>
      <c r="H1296" t="s">
        <v>98</v>
      </c>
      <c r="I1296" t="s">
        <v>24</v>
      </c>
      <c r="J1296" t="s">
        <v>19</v>
      </c>
      <c r="K1296" t="s">
        <v>22</v>
      </c>
      <c r="L1296" t="s">
        <v>38</v>
      </c>
      <c r="M1296" t="s">
        <v>19</v>
      </c>
      <c r="N1296" t="s">
        <v>21</v>
      </c>
      <c r="O1296" t="s">
        <v>20</v>
      </c>
      <c r="P1296" t="s">
        <v>19</v>
      </c>
      <c r="Q1296" t="s">
        <v>22</v>
      </c>
    </row>
    <row r="1297" spans="1:17" x14ac:dyDescent="0.35">
      <c r="A1297">
        <v>1304</v>
      </c>
      <c r="B1297">
        <v>41</v>
      </c>
      <c r="C1297" t="s">
        <v>27</v>
      </c>
      <c r="D1297">
        <v>183</v>
      </c>
      <c r="E1297">
        <v>77</v>
      </c>
      <c r="F1297" s="3">
        <v>22.0551379700495</v>
      </c>
      <c r="G1297" s="3" t="str">
        <f t="shared" si="20"/>
        <v>Normal Weight</v>
      </c>
      <c r="H1297" t="s">
        <v>985</v>
      </c>
      <c r="I1297" t="s">
        <v>31</v>
      </c>
      <c r="J1297" t="s">
        <v>20</v>
      </c>
      <c r="K1297" t="s">
        <v>18</v>
      </c>
      <c r="L1297" t="s">
        <v>38</v>
      </c>
      <c r="M1297" t="s">
        <v>19</v>
      </c>
      <c r="N1297" t="s">
        <v>25</v>
      </c>
      <c r="O1297" t="s">
        <v>20</v>
      </c>
      <c r="P1297" t="s">
        <v>19</v>
      </c>
      <c r="Q1297" t="s">
        <v>18</v>
      </c>
    </row>
    <row r="1298" spans="1:17" x14ac:dyDescent="0.35">
      <c r="A1298">
        <v>1699</v>
      </c>
      <c r="B1298">
        <v>41</v>
      </c>
      <c r="C1298" t="s">
        <v>16</v>
      </c>
      <c r="D1298">
        <v>173</v>
      </c>
      <c r="E1298">
        <v>91</v>
      </c>
      <c r="F1298" s="3">
        <v>22.449602299643701</v>
      </c>
      <c r="G1298" s="3" t="str">
        <f t="shared" si="20"/>
        <v>Normal Weight</v>
      </c>
      <c r="H1298" t="s">
        <v>644</v>
      </c>
      <c r="I1298" t="s">
        <v>24</v>
      </c>
      <c r="J1298" t="s">
        <v>20</v>
      </c>
      <c r="K1298" t="s">
        <v>22</v>
      </c>
      <c r="L1298" t="s">
        <v>14</v>
      </c>
      <c r="M1298" t="s">
        <v>19</v>
      </c>
      <c r="N1298" t="s">
        <v>21</v>
      </c>
      <c r="O1298" t="s">
        <v>19</v>
      </c>
      <c r="P1298" t="s">
        <v>19</v>
      </c>
      <c r="Q1298" t="s">
        <v>18</v>
      </c>
    </row>
    <row r="1299" spans="1:17" x14ac:dyDescent="0.35">
      <c r="A1299">
        <v>1717</v>
      </c>
      <c r="B1299">
        <v>41</v>
      </c>
      <c r="C1299" t="s">
        <v>27</v>
      </c>
      <c r="D1299">
        <v>174</v>
      </c>
      <c r="E1299">
        <v>91</v>
      </c>
      <c r="F1299" s="3">
        <v>22.564746079497901</v>
      </c>
      <c r="G1299" s="3" t="str">
        <f t="shared" si="20"/>
        <v>Normal Weight</v>
      </c>
      <c r="H1299" t="s">
        <v>104</v>
      </c>
      <c r="I1299" t="s">
        <v>18</v>
      </c>
      <c r="J1299" t="s">
        <v>19</v>
      </c>
      <c r="K1299" t="s">
        <v>22</v>
      </c>
      <c r="L1299" t="s">
        <v>14</v>
      </c>
      <c r="M1299" t="s">
        <v>19</v>
      </c>
      <c r="N1299" t="s">
        <v>21</v>
      </c>
      <c r="O1299" t="s">
        <v>19</v>
      </c>
      <c r="P1299" t="s">
        <v>19</v>
      </c>
      <c r="Q1299" t="s">
        <v>40</v>
      </c>
    </row>
    <row r="1300" spans="1:17" x14ac:dyDescent="0.35">
      <c r="A1300">
        <v>1774</v>
      </c>
      <c r="B1300">
        <v>41</v>
      </c>
      <c r="C1300" t="s">
        <v>16</v>
      </c>
      <c r="D1300">
        <v>162</v>
      </c>
      <c r="E1300">
        <v>65</v>
      </c>
      <c r="F1300" s="3">
        <v>31.819817213883098</v>
      </c>
      <c r="G1300" s="3" t="str">
        <f t="shared" si="20"/>
        <v>Obese</v>
      </c>
      <c r="H1300" t="s">
        <v>1189</v>
      </c>
      <c r="I1300" t="s">
        <v>31</v>
      </c>
      <c r="J1300" t="s">
        <v>20</v>
      </c>
      <c r="K1300" t="s">
        <v>22</v>
      </c>
      <c r="L1300" t="s">
        <v>29</v>
      </c>
      <c r="M1300" t="s">
        <v>19</v>
      </c>
      <c r="N1300" t="s">
        <v>25</v>
      </c>
      <c r="O1300" t="s">
        <v>19</v>
      </c>
      <c r="P1300" t="s">
        <v>19</v>
      </c>
      <c r="Q1300" t="s">
        <v>22</v>
      </c>
    </row>
    <row r="1301" spans="1:17" x14ac:dyDescent="0.35">
      <c r="A1301">
        <v>1305</v>
      </c>
      <c r="B1301">
        <v>48</v>
      </c>
      <c r="C1301" t="s">
        <v>16</v>
      </c>
      <c r="D1301">
        <v>179</v>
      </c>
      <c r="E1301">
        <v>66</v>
      </c>
      <c r="F1301" s="3">
        <v>20.487950070234699</v>
      </c>
      <c r="G1301" s="3" t="str">
        <f t="shared" si="20"/>
        <v>Normal Weight</v>
      </c>
      <c r="H1301" t="s">
        <v>986</v>
      </c>
      <c r="I1301" t="s">
        <v>31</v>
      </c>
      <c r="J1301" t="s">
        <v>20</v>
      </c>
      <c r="K1301" t="s">
        <v>18</v>
      </c>
      <c r="L1301" t="s">
        <v>29</v>
      </c>
      <c r="M1301" t="s">
        <v>19</v>
      </c>
      <c r="N1301" t="s">
        <v>25</v>
      </c>
      <c r="O1301" t="s">
        <v>20</v>
      </c>
      <c r="P1301" t="s">
        <v>19</v>
      </c>
      <c r="Q1301" t="s">
        <v>18</v>
      </c>
    </row>
    <row r="1302" spans="1:17" x14ac:dyDescent="0.35">
      <c r="A1302">
        <v>1306</v>
      </c>
      <c r="B1302">
        <v>23</v>
      </c>
      <c r="C1302" t="s">
        <v>27</v>
      </c>
      <c r="D1302">
        <v>174</v>
      </c>
      <c r="E1302">
        <v>77</v>
      </c>
      <c r="F1302" s="3">
        <v>32.550363336315698</v>
      </c>
      <c r="G1302" s="3" t="str">
        <f t="shared" si="20"/>
        <v>Obese</v>
      </c>
      <c r="H1302" t="s">
        <v>828</v>
      </c>
      <c r="I1302" t="s">
        <v>31</v>
      </c>
      <c r="J1302" t="s">
        <v>20</v>
      </c>
      <c r="K1302" t="s">
        <v>18</v>
      </c>
      <c r="L1302" t="s">
        <v>14</v>
      </c>
      <c r="M1302" t="s">
        <v>20</v>
      </c>
      <c r="N1302" t="s">
        <v>21</v>
      </c>
      <c r="O1302" t="s">
        <v>20</v>
      </c>
      <c r="P1302" t="s">
        <v>19</v>
      </c>
      <c r="Q1302" t="s">
        <v>22</v>
      </c>
    </row>
    <row r="1303" spans="1:17" x14ac:dyDescent="0.35">
      <c r="A1303">
        <v>1995</v>
      </c>
      <c r="B1303">
        <v>41</v>
      </c>
      <c r="C1303" t="s">
        <v>16</v>
      </c>
      <c r="D1303">
        <v>168</v>
      </c>
      <c r="E1303">
        <v>59</v>
      </c>
      <c r="F1303" s="3">
        <v>30.9199977741286</v>
      </c>
      <c r="G1303" s="3" t="str">
        <f t="shared" si="20"/>
        <v>Obese</v>
      </c>
      <c r="H1303" t="s">
        <v>1276</v>
      </c>
      <c r="I1303" t="s">
        <v>31</v>
      </c>
      <c r="J1303" t="s">
        <v>19</v>
      </c>
      <c r="K1303" t="s">
        <v>22</v>
      </c>
      <c r="L1303" t="s">
        <v>29</v>
      </c>
      <c r="M1303" t="s">
        <v>20</v>
      </c>
      <c r="N1303" t="s">
        <v>21</v>
      </c>
      <c r="O1303" t="s">
        <v>19</v>
      </c>
      <c r="P1303" t="s">
        <v>20</v>
      </c>
      <c r="Q1303" t="s">
        <v>18</v>
      </c>
    </row>
    <row r="1304" spans="1:17" x14ac:dyDescent="0.35">
      <c r="A1304">
        <v>1308</v>
      </c>
      <c r="B1304">
        <v>37</v>
      </c>
      <c r="C1304" t="s">
        <v>27</v>
      </c>
      <c r="D1304">
        <v>150</v>
      </c>
      <c r="E1304">
        <v>51</v>
      </c>
      <c r="F1304" s="3">
        <v>34.583541342047198</v>
      </c>
      <c r="G1304" s="3" t="str">
        <f t="shared" si="20"/>
        <v>Obese</v>
      </c>
      <c r="H1304" t="s">
        <v>987</v>
      </c>
      <c r="I1304" t="s">
        <v>24</v>
      </c>
      <c r="J1304" t="s">
        <v>20</v>
      </c>
      <c r="K1304" t="s">
        <v>18</v>
      </c>
      <c r="L1304" t="s">
        <v>32</v>
      </c>
      <c r="M1304" t="s">
        <v>19</v>
      </c>
      <c r="N1304" t="s">
        <v>21</v>
      </c>
      <c r="O1304" t="s">
        <v>20</v>
      </c>
      <c r="P1304" t="s">
        <v>19</v>
      </c>
      <c r="Q1304" t="s">
        <v>40</v>
      </c>
    </row>
    <row r="1305" spans="1:17" x14ac:dyDescent="0.35">
      <c r="A1305">
        <v>110</v>
      </c>
      <c r="B1305">
        <v>40</v>
      </c>
      <c r="C1305" t="s">
        <v>16</v>
      </c>
      <c r="D1305">
        <v>162</v>
      </c>
      <c r="E1305">
        <v>58</v>
      </c>
      <c r="F1305" s="3">
        <v>19.1057635674706</v>
      </c>
      <c r="G1305" s="3" t="str">
        <f t="shared" si="20"/>
        <v>Normal Weight</v>
      </c>
      <c r="H1305" t="s">
        <v>137</v>
      </c>
      <c r="I1305" t="s">
        <v>24</v>
      </c>
      <c r="J1305" t="s">
        <v>19</v>
      </c>
      <c r="K1305" t="s">
        <v>22</v>
      </c>
      <c r="L1305" t="s">
        <v>29</v>
      </c>
      <c r="M1305" t="s">
        <v>19</v>
      </c>
      <c r="N1305" t="s">
        <v>25</v>
      </c>
      <c r="O1305" t="s">
        <v>20</v>
      </c>
      <c r="P1305" t="s">
        <v>19</v>
      </c>
      <c r="Q1305" t="s">
        <v>18</v>
      </c>
    </row>
    <row r="1306" spans="1:17" x14ac:dyDescent="0.35">
      <c r="A1306">
        <v>163</v>
      </c>
      <c r="B1306">
        <v>40</v>
      </c>
      <c r="C1306" t="s">
        <v>16</v>
      </c>
      <c r="D1306">
        <v>184</v>
      </c>
      <c r="E1306">
        <v>98</v>
      </c>
      <c r="F1306" s="3">
        <v>31.0033132461901</v>
      </c>
      <c r="G1306" s="3" t="str">
        <f t="shared" si="20"/>
        <v>Obese</v>
      </c>
      <c r="H1306" t="s">
        <v>185</v>
      </c>
      <c r="I1306" t="s">
        <v>18</v>
      </c>
      <c r="J1306" t="s">
        <v>20</v>
      </c>
      <c r="K1306" t="s">
        <v>22</v>
      </c>
      <c r="L1306" t="s">
        <v>29</v>
      </c>
      <c r="M1306" t="s">
        <v>19</v>
      </c>
      <c r="N1306" t="s">
        <v>21</v>
      </c>
      <c r="O1306" t="s">
        <v>19</v>
      </c>
      <c r="P1306" t="s">
        <v>19</v>
      </c>
      <c r="Q1306" t="s">
        <v>18</v>
      </c>
    </row>
    <row r="1307" spans="1:17" x14ac:dyDescent="0.35">
      <c r="A1307">
        <v>1309</v>
      </c>
      <c r="B1307">
        <v>45</v>
      </c>
      <c r="C1307" t="s">
        <v>27</v>
      </c>
      <c r="D1307">
        <v>153</v>
      </c>
      <c r="E1307">
        <v>74</v>
      </c>
      <c r="F1307" s="3">
        <v>32.401880785077502</v>
      </c>
      <c r="G1307" s="3" t="str">
        <f t="shared" si="20"/>
        <v>Obese</v>
      </c>
      <c r="H1307" t="s">
        <v>334</v>
      </c>
      <c r="I1307" t="s">
        <v>31</v>
      </c>
      <c r="J1307" t="s">
        <v>20</v>
      </c>
      <c r="K1307" t="s">
        <v>18</v>
      </c>
      <c r="L1307" t="s">
        <v>29</v>
      </c>
      <c r="M1307" t="s">
        <v>20</v>
      </c>
      <c r="N1307" t="s">
        <v>21</v>
      </c>
      <c r="O1307" t="s">
        <v>20</v>
      </c>
      <c r="P1307" t="s">
        <v>19</v>
      </c>
      <c r="Q1307" t="s">
        <v>18</v>
      </c>
    </row>
    <row r="1308" spans="1:17" x14ac:dyDescent="0.35">
      <c r="A1308">
        <v>289</v>
      </c>
      <c r="B1308">
        <v>40</v>
      </c>
      <c r="C1308" t="s">
        <v>16</v>
      </c>
      <c r="D1308">
        <v>177</v>
      </c>
      <c r="E1308">
        <v>84</v>
      </c>
      <c r="F1308" s="3">
        <v>30.334820951784899</v>
      </c>
      <c r="G1308" s="3" t="str">
        <f t="shared" si="20"/>
        <v>Obese</v>
      </c>
      <c r="H1308" t="s">
        <v>112</v>
      </c>
      <c r="I1308" t="s">
        <v>31</v>
      </c>
      <c r="J1308" t="s">
        <v>19</v>
      </c>
      <c r="K1308" t="s">
        <v>22</v>
      </c>
      <c r="L1308" t="s">
        <v>29</v>
      </c>
      <c r="M1308" t="s">
        <v>19</v>
      </c>
      <c r="N1308" t="s">
        <v>25</v>
      </c>
      <c r="O1308" t="s">
        <v>19</v>
      </c>
      <c r="P1308" t="s">
        <v>19</v>
      </c>
      <c r="Q1308" t="s">
        <v>40</v>
      </c>
    </row>
    <row r="1309" spans="1:17" x14ac:dyDescent="0.35">
      <c r="A1309">
        <v>1310</v>
      </c>
      <c r="B1309">
        <v>28</v>
      </c>
      <c r="C1309" t="s">
        <v>27</v>
      </c>
      <c r="D1309">
        <v>156</v>
      </c>
      <c r="E1309">
        <v>99</v>
      </c>
      <c r="F1309" s="3">
        <v>26.7644639971783</v>
      </c>
      <c r="G1309" s="3" t="str">
        <f t="shared" si="20"/>
        <v>Overweight</v>
      </c>
      <c r="H1309" t="s">
        <v>131</v>
      </c>
      <c r="I1309" t="s">
        <v>18</v>
      </c>
      <c r="J1309" t="s">
        <v>20</v>
      </c>
      <c r="K1309" t="s">
        <v>18</v>
      </c>
      <c r="L1309" t="s">
        <v>14</v>
      </c>
      <c r="M1309" t="s">
        <v>19</v>
      </c>
      <c r="N1309" t="s">
        <v>25</v>
      </c>
      <c r="O1309" t="s">
        <v>19</v>
      </c>
      <c r="P1309" t="s">
        <v>19</v>
      </c>
      <c r="Q1309" t="s">
        <v>40</v>
      </c>
    </row>
    <row r="1310" spans="1:17" x14ac:dyDescent="0.35">
      <c r="A1310">
        <v>1313</v>
      </c>
      <c r="B1310">
        <v>23</v>
      </c>
      <c r="C1310" t="s">
        <v>27</v>
      </c>
      <c r="D1310">
        <v>168</v>
      </c>
      <c r="E1310">
        <v>60</v>
      </c>
      <c r="F1310" s="3">
        <v>23.500585059389099</v>
      </c>
      <c r="G1310" s="3" t="str">
        <f t="shared" si="20"/>
        <v>Normal Weight</v>
      </c>
      <c r="H1310" t="s">
        <v>989</v>
      </c>
      <c r="I1310" t="s">
        <v>18</v>
      </c>
      <c r="J1310" t="s">
        <v>19</v>
      </c>
      <c r="K1310" t="s">
        <v>18</v>
      </c>
      <c r="L1310" t="s">
        <v>38</v>
      </c>
      <c r="M1310" t="s">
        <v>20</v>
      </c>
      <c r="N1310" t="s">
        <v>25</v>
      </c>
      <c r="O1310" t="s">
        <v>20</v>
      </c>
      <c r="P1310" t="s">
        <v>20</v>
      </c>
      <c r="Q1310" t="s">
        <v>18</v>
      </c>
    </row>
    <row r="1311" spans="1:17" x14ac:dyDescent="0.35">
      <c r="A1311">
        <v>502</v>
      </c>
      <c r="B1311">
        <v>40</v>
      </c>
      <c r="C1311" t="s">
        <v>27</v>
      </c>
      <c r="D1311">
        <v>160</v>
      </c>
      <c r="E1311">
        <v>94</v>
      </c>
      <c r="F1311" s="3">
        <v>24.950137542879101</v>
      </c>
      <c r="G1311" s="3" t="str">
        <f t="shared" si="20"/>
        <v>Overweight</v>
      </c>
      <c r="H1311" t="s">
        <v>465</v>
      </c>
      <c r="I1311" t="s">
        <v>24</v>
      </c>
      <c r="J1311" t="s">
        <v>20</v>
      </c>
      <c r="K1311" t="s">
        <v>22</v>
      </c>
      <c r="L1311" t="s">
        <v>14</v>
      </c>
      <c r="M1311" t="s">
        <v>19</v>
      </c>
      <c r="N1311" t="s">
        <v>25</v>
      </c>
      <c r="O1311" t="s">
        <v>19</v>
      </c>
      <c r="P1311" t="s">
        <v>19</v>
      </c>
      <c r="Q1311" t="s">
        <v>40</v>
      </c>
    </row>
    <row r="1312" spans="1:17" x14ac:dyDescent="0.35">
      <c r="A1312">
        <v>1315</v>
      </c>
      <c r="B1312">
        <v>66</v>
      </c>
      <c r="C1312" t="s">
        <v>16</v>
      </c>
      <c r="D1312">
        <v>159</v>
      </c>
      <c r="E1312">
        <v>55</v>
      </c>
      <c r="F1312" s="3">
        <v>24.2751133298074</v>
      </c>
      <c r="G1312" s="3" t="str">
        <f t="shared" si="20"/>
        <v>Normal Weight</v>
      </c>
      <c r="H1312" t="s">
        <v>990</v>
      </c>
      <c r="I1312" t="s">
        <v>31</v>
      </c>
      <c r="J1312" t="s">
        <v>20</v>
      </c>
      <c r="K1312" t="s">
        <v>18</v>
      </c>
      <c r="L1312" t="s">
        <v>38</v>
      </c>
      <c r="M1312" t="s">
        <v>19</v>
      </c>
      <c r="N1312" t="s">
        <v>21</v>
      </c>
      <c r="O1312" t="s">
        <v>20</v>
      </c>
      <c r="P1312" t="s">
        <v>19</v>
      </c>
      <c r="Q1312" t="s">
        <v>18</v>
      </c>
    </row>
    <row r="1313" spans="1:17" x14ac:dyDescent="0.35">
      <c r="A1313">
        <v>1316</v>
      </c>
      <c r="B1313">
        <v>47</v>
      </c>
      <c r="C1313" t="s">
        <v>16</v>
      </c>
      <c r="D1313">
        <v>185</v>
      </c>
      <c r="E1313">
        <v>94</v>
      </c>
      <c r="F1313" s="3">
        <v>33.818147107682996</v>
      </c>
      <c r="G1313" s="3" t="str">
        <f t="shared" si="20"/>
        <v>Obese</v>
      </c>
      <c r="H1313" t="s">
        <v>381</v>
      </c>
      <c r="I1313" t="s">
        <v>31</v>
      </c>
      <c r="J1313" t="s">
        <v>20</v>
      </c>
      <c r="K1313" t="s">
        <v>18</v>
      </c>
      <c r="L1313" t="s">
        <v>29</v>
      </c>
      <c r="M1313" t="s">
        <v>20</v>
      </c>
      <c r="N1313" t="s">
        <v>21</v>
      </c>
      <c r="O1313" t="s">
        <v>19</v>
      </c>
      <c r="P1313" t="s">
        <v>20</v>
      </c>
      <c r="Q1313" t="s">
        <v>18</v>
      </c>
    </row>
    <row r="1314" spans="1:17" x14ac:dyDescent="0.35">
      <c r="A1314">
        <v>1318</v>
      </c>
      <c r="B1314">
        <v>55</v>
      </c>
      <c r="C1314" t="s">
        <v>16</v>
      </c>
      <c r="D1314">
        <v>181</v>
      </c>
      <c r="E1314">
        <v>63</v>
      </c>
      <c r="F1314" s="3">
        <v>27.565295229005901</v>
      </c>
      <c r="G1314" s="3" t="str">
        <f t="shared" si="20"/>
        <v>Overweight</v>
      </c>
      <c r="H1314" t="s">
        <v>246</v>
      </c>
      <c r="I1314" t="s">
        <v>18</v>
      </c>
      <c r="J1314" t="s">
        <v>19</v>
      </c>
      <c r="K1314" t="s">
        <v>18</v>
      </c>
      <c r="L1314" t="s">
        <v>29</v>
      </c>
      <c r="M1314" t="s">
        <v>19</v>
      </c>
      <c r="N1314" t="s">
        <v>21</v>
      </c>
      <c r="O1314" t="s">
        <v>19</v>
      </c>
      <c r="P1314" t="s">
        <v>20</v>
      </c>
      <c r="Q1314" t="s">
        <v>40</v>
      </c>
    </row>
    <row r="1315" spans="1:17" x14ac:dyDescent="0.35">
      <c r="A1315">
        <v>659</v>
      </c>
      <c r="B1315">
        <v>40</v>
      </c>
      <c r="C1315" t="s">
        <v>16</v>
      </c>
      <c r="D1315">
        <v>150</v>
      </c>
      <c r="E1315">
        <v>90</v>
      </c>
      <c r="F1315" s="3">
        <v>25.451464546950501</v>
      </c>
      <c r="G1315" s="3" t="str">
        <f t="shared" si="20"/>
        <v>Overweight</v>
      </c>
      <c r="H1315" t="s">
        <v>595</v>
      </c>
      <c r="I1315" t="s">
        <v>24</v>
      </c>
      <c r="J1315" t="s">
        <v>19</v>
      </c>
      <c r="K1315" t="s">
        <v>22</v>
      </c>
      <c r="L1315" t="s">
        <v>38</v>
      </c>
      <c r="M1315" t="s">
        <v>20</v>
      </c>
      <c r="N1315" t="s">
        <v>25</v>
      </c>
      <c r="O1315" t="s">
        <v>19</v>
      </c>
      <c r="P1315" t="s">
        <v>19</v>
      </c>
      <c r="Q1315" t="s">
        <v>18</v>
      </c>
    </row>
    <row r="1316" spans="1:17" x14ac:dyDescent="0.35">
      <c r="A1316">
        <v>1319</v>
      </c>
      <c r="B1316">
        <v>68</v>
      </c>
      <c r="C1316" t="s">
        <v>16</v>
      </c>
      <c r="D1316">
        <v>181</v>
      </c>
      <c r="E1316">
        <v>51</v>
      </c>
      <c r="F1316" s="3">
        <v>28.249293412019298</v>
      </c>
      <c r="G1316" s="3" t="str">
        <f t="shared" si="20"/>
        <v>Overweight</v>
      </c>
      <c r="H1316" t="s">
        <v>992</v>
      </c>
      <c r="I1316" t="s">
        <v>18</v>
      </c>
      <c r="J1316" t="s">
        <v>19</v>
      </c>
      <c r="K1316" t="s">
        <v>18</v>
      </c>
      <c r="L1316" t="s">
        <v>14</v>
      </c>
      <c r="M1316" t="s">
        <v>20</v>
      </c>
      <c r="N1316" t="s">
        <v>25</v>
      </c>
      <c r="O1316" t="s">
        <v>19</v>
      </c>
      <c r="P1316" t="s">
        <v>19</v>
      </c>
      <c r="Q1316" t="s">
        <v>40</v>
      </c>
    </row>
    <row r="1317" spans="1:17" x14ac:dyDescent="0.35">
      <c r="A1317">
        <v>758</v>
      </c>
      <c r="B1317">
        <v>40</v>
      </c>
      <c r="C1317" t="s">
        <v>27</v>
      </c>
      <c r="D1317">
        <v>177</v>
      </c>
      <c r="E1317">
        <v>64</v>
      </c>
      <c r="F1317" s="3">
        <v>34.104299289276902</v>
      </c>
      <c r="G1317" s="3" t="str">
        <f t="shared" si="20"/>
        <v>Obese</v>
      </c>
      <c r="H1317" t="s">
        <v>662</v>
      </c>
      <c r="I1317" t="s">
        <v>31</v>
      </c>
      <c r="J1317" t="s">
        <v>19</v>
      </c>
      <c r="K1317" t="s">
        <v>22</v>
      </c>
      <c r="L1317" t="s">
        <v>32</v>
      </c>
      <c r="M1317" t="s">
        <v>20</v>
      </c>
      <c r="N1317" t="s">
        <v>25</v>
      </c>
      <c r="O1317" t="s">
        <v>19</v>
      </c>
      <c r="P1317" t="s">
        <v>20</v>
      </c>
      <c r="Q1317" t="s">
        <v>40</v>
      </c>
    </row>
    <row r="1318" spans="1:17" x14ac:dyDescent="0.35">
      <c r="A1318">
        <v>766</v>
      </c>
      <c r="B1318">
        <v>40</v>
      </c>
      <c r="C1318" t="s">
        <v>16</v>
      </c>
      <c r="D1318">
        <v>186</v>
      </c>
      <c r="E1318">
        <v>95</v>
      </c>
      <c r="F1318" s="3">
        <v>25.478568471735699</v>
      </c>
      <c r="G1318" s="3" t="str">
        <f t="shared" si="20"/>
        <v>Overweight</v>
      </c>
      <c r="H1318" t="s">
        <v>668</v>
      </c>
      <c r="I1318" t="s">
        <v>24</v>
      </c>
      <c r="J1318" t="s">
        <v>19</v>
      </c>
      <c r="K1318" t="s">
        <v>22</v>
      </c>
      <c r="L1318" t="s">
        <v>38</v>
      </c>
      <c r="M1318" t="s">
        <v>20</v>
      </c>
      <c r="N1318" t="s">
        <v>21</v>
      </c>
      <c r="O1318" t="s">
        <v>20</v>
      </c>
      <c r="P1318" t="s">
        <v>19</v>
      </c>
      <c r="Q1318" t="s">
        <v>22</v>
      </c>
    </row>
    <row r="1319" spans="1:17" x14ac:dyDescent="0.35">
      <c r="A1319">
        <v>808</v>
      </c>
      <c r="B1319">
        <v>40</v>
      </c>
      <c r="C1319" t="s">
        <v>27</v>
      </c>
      <c r="D1319">
        <v>163</v>
      </c>
      <c r="E1319">
        <v>78</v>
      </c>
      <c r="F1319" s="3">
        <v>21.383891200436398</v>
      </c>
      <c r="G1319" s="3" t="str">
        <f t="shared" si="20"/>
        <v>Normal Weight</v>
      </c>
      <c r="H1319" t="s">
        <v>593</v>
      </c>
      <c r="I1319" t="s">
        <v>24</v>
      </c>
      <c r="J1319" t="s">
        <v>19</v>
      </c>
      <c r="K1319" t="s">
        <v>22</v>
      </c>
      <c r="L1319" t="s">
        <v>32</v>
      </c>
      <c r="M1319" t="s">
        <v>19</v>
      </c>
      <c r="N1319" t="s">
        <v>25</v>
      </c>
      <c r="O1319" t="s">
        <v>20</v>
      </c>
      <c r="P1319" t="s">
        <v>19</v>
      </c>
      <c r="Q1319" t="s">
        <v>22</v>
      </c>
    </row>
    <row r="1320" spans="1:17" x14ac:dyDescent="0.35">
      <c r="A1320">
        <v>1324</v>
      </c>
      <c r="B1320">
        <v>28</v>
      </c>
      <c r="C1320" t="s">
        <v>27</v>
      </c>
      <c r="D1320">
        <v>176</v>
      </c>
      <c r="E1320">
        <v>73</v>
      </c>
      <c r="F1320" s="3">
        <v>21.716555688007599</v>
      </c>
      <c r="G1320" s="3" t="str">
        <f t="shared" si="20"/>
        <v>Normal Weight</v>
      </c>
      <c r="H1320" t="s">
        <v>611</v>
      </c>
      <c r="I1320" t="s">
        <v>31</v>
      </c>
      <c r="J1320" t="s">
        <v>20</v>
      </c>
      <c r="K1320" t="s">
        <v>18</v>
      </c>
      <c r="L1320" t="s">
        <v>38</v>
      </c>
      <c r="M1320" t="s">
        <v>20</v>
      </c>
      <c r="N1320" t="s">
        <v>21</v>
      </c>
      <c r="O1320" t="s">
        <v>20</v>
      </c>
      <c r="P1320" t="s">
        <v>19</v>
      </c>
      <c r="Q1320" t="s">
        <v>22</v>
      </c>
    </row>
    <row r="1321" spans="1:17" x14ac:dyDescent="0.35">
      <c r="A1321">
        <v>936</v>
      </c>
      <c r="B1321">
        <v>40</v>
      </c>
      <c r="C1321" t="s">
        <v>16</v>
      </c>
      <c r="D1321">
        <v>184</v>
      </c>
      <c r="E1321">
        <v>96</v>
      </c>
      <c r="F1321" s="3">
        <v>28.172885729882498</v>
      </c>
      <c r="G1321" s="3" t="str">
        <f t="shared" si="20"/>
        <v>Overweight</v>
      </c>
      <c r="H1321" t="s">
        <v>760</v>
      </c>
      <c r="I1321" t="s">
        <v>18</v>
      </c>
      <c r="J1321" t="s">
        <v>19</v>
      </c>
      <c r="K1321" t="s">
        <v>22</v>
      </c>
      <c r="L1321" t="s">
        <v>14</v>
      </c>
      <c r="M1321" t="s">
        <v>20</v>
      </c>
      <c r="N1321" t="s">
        <v>21</v>
      </c>
      <c r="O1321" t="s">
        <v>19</v>
      </c>
      <c r="P1321" t="s">
        <v>20</v>
      </c>
      <c r="Q1321" t="s">
        <v>22</v>
      </c>
    </row>
    <row r="1322" spans="1:17" x14ac:dyDescent="0.35">
      <c r="A1322">
        <v>1027</v>
      </c>
      <c r="B1322">
        <v>40</v>
      </c>
      <c r="C1322" t="s">
        <v>27</v>
      </c>
      <c r="D1322">
        <v>171</v>
      </c>
      <c r="E1322">
        <v>82</v>
      </c>
      <c r="F1322" s="3">
        <v>34.346051781265103</v>
      </c>
      <c r="G1322" s="3" t="str">
        <f t="shared" si="20"/>
        <v>Obese</v>
      </c>
      <c r="H1322" t="s">
        <v>644</v>
      </c>
      <c r="I1322" t="s">
        <v>24</v>
      </c>
      <c r="J1322" t="s">
        <v>19</v>
      </c>
      <c r="K1322" t="s">
        <v>22</v>
      </c>
      <c r="L1322" t="s">
        <v>29</v>
      </c>
      <c r="M1322" t="s">
        <v>19</v>
      </c>
      <c r="N1322" t="s">
        <v>21</v>
      </c>
      <c r="O1322" t="s">
        <v>20</v>
      </c>
      <c r="P1322" t="s">
        <v>20</v>
      </c>
      <c r="Q1322" t="s">
        <v>40</v>
      </c>
    </row>
    <row r="1323" spans="1:17" x14ac:dyDescent="0.35">
      <c r="A1323">
        <v>1074</v>
      </c>
      <c r="B1323">
        <v>40</v>
      </c>
      <c r="C1323" t="s">
        <v>16</v>
      </c>
      <c r="D1323">
        <v>154</v>
      </c>
      <c r="E1323">
        <v>77</v>
      </c>
      <c r="F1323" s="3">
        <v>20.169232723616201</v>
      </c>
      <c r="G1323" s="3" t="str">
        <f t="shared" si="20"/>
        <v>Normal Weight</v>
      </c>
      <c r="H1323" t="s">
        <v>849</v>
      </c>
      <c r="I1323" t="s">
        <v>31</v>
      </c>
      <c r="J1323" t="s">
        <v>19</v>
      </c>
      <c r="K1323" t="s">
        <v>22</v>
      </c>
      <c r="L1323" t="s">
        <v>38</v>
      </c>
      <c r="M1323" t="s">
        <v>19</v>
      </c>
      <c r="N1323" t="s">
        <v>21</v>
      </c>
      <c r="O1323" t="s">
        <v>20</v>
      </c>
      <c r="P1323" t="s">
        <v>19</v>
      </c>
      <c r="Q1323" t="s">
        <v>18</v>
      </c>
    </row>
    <row r="1324" spans="1:17" x14ac:dyDescent="0.35">
      <c r="A1324">
        <v>1325</v>
      </c>
      <c r="B1324">
        <v>25</v>
      </c>
      <c r="C1324" t="s">
        <v>27</v>
      </c>
      <c r="D1324">
        <v>184</v>
      </c>
      <c r="E1324">
        <v>68</v>
      </c>
      <c r="F1324" s="3">
        <v>32.143319478360397</v>
      </c>
      <c r="G1324" s="3" t="str">
        <f t="shared" si="20"/>
        <v>Obese</v>
      </c>
      <c r="H1324" t="s">
        <v>802</v>
      </c>
      <c r="I1324" t="s">
        <v>18</v>
      </c>
      <c r="J1324" t="s">
        <v>20</v>
      </c>
      <c r="K1324" t="s">
        <v>18</v>
      </c>
      <c r="L1324" t="s">
        <v>32</v>
      </c>
      <c r="M1324" t="s">
        <v>19</v>
      </c>
      <c r="N1324" t="s">
        <v>21</v>
      </c>
      <c r="O1324" t="s">
        <v>19</v>
      </c>
      <c r="P1324" t="s">
        <v>20</v>
      </c>
      <c r="Q1324" t="s">
        <v>40</v>
      </c>
    </row>
    <row r="1325" spans="1:17" x14ac:dyDescent="0.35">
      <c r="A1325">
        <v>1326</v>
      </c>
      <c r="B1325">
        <v>43</v>
      </c>
      <c r="C1325" t="s">
        <v>16</v>
      </c>
      <c r="D1325">
        <v>170</v>
      </c>
      <c r="E1325">
        <v>67</v>
      </c>
      <c r="F1325" s="3">
        <v>27.783814477895199</v>
      </c>
      <c r="G1325" s="3" t="str">
        <f t="shared" si="20"/>
        <v>Overweight</v>
      </c>
      <c r="H1325" t="s">
        <v>704</v>
      </c>
      <c r="I1325" t="s">
        <v>18</v>
      </c>
      <c r="J1325" t="s">
        <v>19</v>
      </c>
      <c r="K1325" t="s">
        <v>18</v>
      </c>
      <c r="L1325" t="s">
        <v>32</v>
      </c>
      <c r="M1325" t="s">
        <v>19</v>
      </c>
      <c r="N1325" t="s">
        <v>25</v>
      </c>
      <c r="O1325" t="s">
        <v>20</v>
      </c>
      <c r="P1325" t="s">
        <v>20</v>
      </c>
      <c r="Q1325" t="s">
        <v>40</v>
      </c>
    </row>
    <row r="1326" spans="1:17" x14ac:dyDescent="0.35">
      <c r="A1326">
        <v>1327</v>
      </c>
      <c r="B1326">
        <v>68</v>
      </c>
      <c r="C1326" t="s">
        <v>16</v>
      </c>
      <c r="D1326">
        <v>174</v>
      </c>
      <c r="E1326">
        <v>98</v>
      </c>
      <c r="F1326" s="3">
        <v>31.0760939347023</v>
      </c>
      <c r="G1326" s="3" t="str">
        <f t="shared" si="20"/>
        <v>Obese</v>
      </c>
      <c r="H1326" t="s">
        <v>863</v>
      </c>
      <c r="I1326" t="s">
        <v>31</v>
      </c>
      <c r="J1326" t="s">
        <v>19</v>
      </c>
      <c r="K1326" t="s">
        <v>18</v>
      </c>
      <c r="L1326" t="s">
        <v>14</v>
      </c>
      <c r="M1326" t="s">
        <v>20</v>
      </c>
      <c r="N1326" t="s">
        <v>25</v>
      </c>
      <c r="O1326" t="s">
        <v>20</v>
      </c>
      <c r="P1326" t="s">
        <v>20</v>
      </c>
      <c r="Q1326" t="s">
        <v>40</v>
      </c>
    </row>
    <row r="1327" spans="1:17" x14ac:dyDescent="0.35">
      <c r="A1327">
        <v>1328</v>
      </c>
      <c r="B1327">
        <v>62</v>
      </c>
      <c r="C1327" t="s">
        <v>27</v>
      </c>
      <c r="D1327">
        <v>177</v>
      </c>
      <c r="E1327">
        <v>73</v>
      </c>
      <c r="F1327" s="3">
        <v>30.274521543347198</v>
      </c>
      <c r="G1327" s="3" t="str">
        <f t="shared" si="20"/>
        <v>Obese</v>
      </c>
      <c r="H1327" t="s">
        <v>395</v>
      </c>
      <c r="I1327" t="s">
        <v>31</v>
      </c>
      <c r="J1327" t="s">
        <v>20</v>
      </c>
      <c r="K1327" t="s">
        <v>18</v>
      </c>
      <c r="L1327" t="s">
        <v>29</v>
      </c>
      <c r="M1327" t="s">
        <v>19</v>
      </c>
      <c r="N1327" t="s">
        <v>21</v>
      </c>
      <c r="O1327" t="s">
        <v>20</v>
      </c>
      <c r="P1327" t="s">
        <v>20</v>
      </c>
      <c r="Q1327" t="s">
        <v>18</v>
      </c>
    </row>
    <row r="1328" spans="1:17" x14ac:dyDescent="0.35">
      <c r="A1328">
        <v>1329</v>
      </c>
      <c r="B1328">
        <v>61</v>
      </c>
      <c r="C1328" t="s">
        <v>16</v>
      </c>
      <c r="D1328">
        <v>164</v>
      </c>
      <c r="E1328">
        <v>94</v>
      </c>
      <c r="F1328" s="3">
        <v>21.923939673850501</v>
      </c>
      <c r="G1328" s="3" t="str">
        <f t="shared" si="20"/>
        <v>Normal Weight</v>
      </c>
      <c r="H1328" t="s">
        <v>994</v>
      </c>
      <c r="I1328" t="s">
        <v>18</v>
      </c>
      <c r="J1328" t="s">
        <v>19</v>
      </c>
      <c r="K1328" t="s">
        <v>18</v>
      </c>
      <c r="L1328" t="s">
        <v>29</v>
      </c>
      <c r="M1328" t="s">
        <v>19</v>
      </c>
      <c r="N1328" t="s">
        <v>21</v>
      </c>
      <c r="O1328" t="s">
        <v>20</v>
      </c>
      <c r="P1328" t="s">
        <v>19</v>
      </c>
      <c r="Q1328" t="s">
        <v>22</v>
      </c>
    </row>
    <row r="1329" spans="1:17" x14ac:dyDescent="0.35">
      <c r="A1329">
        <v>1521</v>
      </c>
      <c r="B1329">
        <v>40</v>
      </c>
      <c r="C1329" t="s">
        <v>27</v>
      </c>
      <c r="D1329">
        <v>178</v>
      </c>
      <c r="E1329">
        <v>56</v>
      </c>
      <c r="F1329" s="3">
        <v>27.032676218175499</v>
      </c>
      <c r="G1329" s="3" t="str">
        <f t="shared" si="20"/>
        <v>Overweight</v>
      </c>
      <c r="H1329" t="s">
        <v>161</v>
      </c>
      <c r="I1329" t="s">
        <v>24</v>
      </c>
      <c r="J1329" t="s">
        <v>19</v>
      </c>
      <c r="K1329" t="s">
        <v>22</v>
      </c>
      <c r="L1329" t="s">
        <v>29</v>
      </c>
      <c r="M1329" t="s">
        <v>19</v>
      </c>
      <c r="N1329" t="s">
        <v>21</v>
      </c>
      <c r="O1329" t="s">
        <v>19</v>
      </c>
      <c r="P1329" t="s">
        <v>19</v>
      </c>
      <c r="Q1329" t="s">
        <v>22</v>
      </c>
    </row>
    <row r="1330" spans="1:17" x14ac:dyDescent="0.35">
      <c r="A1330">
        <v>1330</v>
      </c>
      <c r="B1330">
        <v>22</v>
      </c>
      <c r="C1330" t="s">
        <v>27</v>
      </c>
      <c r="D1330">
        <v>153</v>
      </c>
      <c r="E1330">
        <v>84</v>
      </c>
      <c r="F1330" s="3">
        <v>27.885410151158901</v>
      </c>
      <c r="G1330" s="3" t="str">
        <f t="shared" si="20"/>
        <v>Overweight</v>
      </c>
      <c r="H1330" t="s">
        <v>603</v>
      </c>
      <c r="I1330" t="s">
        <v>24</v>
      </c>
      <c r="J1330" t="s">
        <v>20</v>
      </c>
      <c r="K1330" t="s">
        <v>18</v>
      </c>
      <c r="L1330" t="s">
        <v>14</v>
      </c>
      <c r="M1330" t="s">
        <v>20</v>
      </c>
      <c r="N1330" t="s">
        <v>21</v>
      </c>
      <c r="O1330" t="s">
        <v>20</v>
      </c>
      <c r="P1330" t="s">
        <v>20</v>
      </c>
      <c r="Q1330" t="s">
        <v>22</v>
      </c>
    </row>
    <row r="1331" spans="1:17" x14ac:dyDescent="0.35">
      <c r="A1331">
        <v>1570</v>
      </c>
      <c r="B1331">
        <v>40</v>
      </c>
      <c r="C1331" t="s">
        <v>27</v>
      </c>
      <c r="D1331">
        <v>174</v>
      </c>
      <c r="E1331">
        <v>64</v>
      </c>
      <c r="F1331" s="3">
        <v>34.976253308662798</v>
      </c>
      <c r="G1331" s="3" t="str">
        <f t="shared" si="20"/>
        <v>Obese</v>
      </c>
      <c r="H1331" t="s">
        <v>1106</v>
      </c>
      <c r="I1331" t="s">
        <v>24</v>
      </c>
      <c r="J1331" t="s">
        <v>20</v>
      </c>
      <c r="K1331" t="s">
        <v>22</v>
      </c>
      <c r="L1331" t="s">
        <v>38</v>
      </c>
      <c r="M1331" t="s">
        <v>19</v>
      </c>
      <c r="N1331" t="s">
        <v>21</v>
      </c>
      <c r="O1331" t="s">
        <v>20</v>
      </c>
      <c r="P1331" t="s">
        <v>20</v>
      </c>
      <c r="Q1331" t="s">
        <v>40</v>
      </c>
    </row>
    <row r="1332" spans="1:17" x14ac:dyDescent="0.35">
      <c r="A1332">
        <v>1642</v>
      </c>
      <c r="B1332">
        <v>40</v>
      </c>
      <c r="C1332" t="s">
        <v>27</v>
      </c>
      <c r="D1332">
        <v>172</v>
      </c>
      <c r="E1332">
        <v>54</v>
      </c>
      <c r="F1332" s="3">
        <v>22.657970657127098</v>
      </c>
      <c r="G1332" s="3" t="str">
        <f t="shared" si="20"/>
        <v>Normal Weight</v>
      </c>
      <c r="H1332" t="s">
        <v>335</v>
      </c>
      <c r="I1332" t="s">
        <v>24</v>
      </c>
      <c r="J1332" t="s">
        <v>19</v>
      </c>
      <c r="K1332" t="s">
        <v>22</v>
      </c>
      <c r="L1332" t="s">
        <v>38</v>
      </c>
      <c r="M1332" t="s">
        <v>20</v>
      </c>
      <c r="N1332" t="s">
        <v>21</v>
      </c>
      <c r="O1332" t="s">
        <v>19</v>
      </c>
      <c r="P1332" t="s">
        <v>20</v>
      </c>
      <c r="Q1332" t="s">
        <v>22</v>
      </c>
    </row>
    <row r="1333" spans="1:17" x14ac:dyDescent="0.35">
      <c r="A1333">
        <v>1687</v>
      </c>
      <c r="B1333">
        <v>40</v>
      </c>
      <c r="C1333" t="s">
        <v>16</v>
      </c>
      <c r="D1333">
        <v>165</v>
      </c>
      <c r="E1333">
        <v>88</v>
      </c>
      <c r="F1333" s="3">
        <v>26.660851370602</v>
      </c>
      <c r="G1333" s="3" t="str">
        <f t="shared" si="20"/>
        <v>Overweight</v>
      </c>
      <c r="H1333" t="s">
        <v>238</v>
      </c>
      <c r="I1333" t="s">
        <v>24</v>
      </c>
      <c r="J1333" t="s">
        <v>19</v>
      </c>
      <c r="K1333" t="s">
        <v>22</v>
      </c>
      <c r="L1333" t="s">
        <v>38</v>
      </c>
      <c r="M1333" t="s">
        <v>19</v>
      </c>
      <c r="N1333" t="s">
        <v>25</v>
      </c>
      <c r="O1333" t="s">
        <v>19</v>
      </c>
      <c r="P1333" t="s">
        <v>19</v>
      </c>
      <c r="Q1333" t="s">
        <v>40</v>
      </c>
    </row>
    <row r="1334" spans="1:17" x14ac:dyDescent="0.35">
      <c r="A1334">
        <v>1700</v>
      </c>
      <c r="B1334">
        <v>40</v>
      </c>
      <c r="C1334" t="s">
        <v>16</v>
      </c>
      <c r="D1334">
        <v>181</v>
      </c>
      <c r="E1334">
        <v>56</v>
      </c>
      <c r="F1334" s="3">
        <v>25.3964803822291</v>
      </c>
      <c r="G1334" s="3" t="str">
        <f t="shared" si="20"/>
        <v>Overweight</v>
      </c>
      <c r="H1334" t="s">
        <v>981</v>
      </c>
      <c r="I1334" t="s">
        <v>24</v>
      </c>
      <c r="J1334" t="s">
        <v>19</v>
      </c>
      <c r="K1334" t="s">
        <v>22</v>
      </c>
      <c r="L1334" t="s">
        <v>14</v>
      </c>
      <c r="M1334" t="s">
        <v>20</v>
      </c>
      <c r="N1334" t="s">
        <v>25</v>
      </c>
      <c r="O1334" t="s">
        <v>19</v>
      </c>
      <c r="P1334" t="s">
        <v>20</v>
      </c>
      <c r="Q1334" t="s">
        <v>22</v>
      </c>
    </row>
    <row r="1335" spans="1:17" x14ac:dyDescent="0.35">
      <c r="A1335">
        <v>1738</v>
      </c>
      <c r="B1335">
        <v>40</v>
      </c>
      <c r="C1335" t="s">
        <v>27</v>
      </c>
      <c r="D1335">
        <v>176</v>
      </c>
      <c r="E1335">
        <v>78</v>
      </c>
      <c r="F1335" s="3">
        <v>31.753000033527499</v>
      </c>
      <c r="G1335" s="3" t="str">
        <f t="shared" si="20"/>
        <v>Obese</v>
      </c>
      <c r="H1335" t="s">
        <v>559</v>
      </c>
      <c r="I1335" t="s">
        <v>31</v>
      </c>
      <c r="J1335" t="s">
        <v>19</v>
      </c>
      <c r="K1335" t="s">
        <v>22</v>
      </c>
      <c r="L1335" t="s">
        <v>38</v>
      </c>
      <c r="M1335" t="s">
        <v>20</v>
      </c>
      <c r="N1335" t="s">
        <v>21</v>
      </c>
      <c r="O1335" t="s">
        <v>20</v>
      </c>
      <c r="P1335" t="s">
        <v>19</v>
      </c>
      <c r="Q1335" t="s">
        <v>40</v>
      </c>
    </row>
    <row r="1336" spans="1:17" x14ac:dyDescent="0.35">
      <c r="A1336">
        <v>1757</v>
      </c>
      <c r="B1336">
        <v>40</v>
      </c>
      <c r="C1336" t="s">
        <v>27</v>
      </c>
      <c r="D1336">
        <v>171</v>
      </c>
      <c r="E1336">
        <v>93</v>
      </c>
      <c r="F1336" s="3">
        <v>30.1968501031511</v>
      </c>
      <c r="G1336" s="3" t="str">
        <f t="shared" si="20"/>
        <v>Obese</v>
      </c>
      <c r="H1336" t="s">
        <v>344</v>
      </c>
      <c r="I1336" t="s">
        <v>18</v>
      </c>
      <c r="J1336" t="s">
        <v>20</v>
      </c>
      <c r="K1336" t="s">
        <v>22</v>
      </c>
      <c r="L1336" t="s">
        <v>14</v>
      </c>
      <c r="M1336" t="s">
        <v>20</v>
      </c>
      <c r="N1336" t="s">
        <v>25</v>
      </c>
      <c r="O1336" t="s">
        <v>19</v>
      </c>
      <c r="P1336" t="s">
        <v>20</v>
      </c>
      <c r="Q1336" t="s">
        <v>18</v>
      </c>
    </row>
    <row r="1337" spans="1:17" x14ac:dyDescent="0.35">
      <c r="A1337">
        <v>1331</v>
      </c>
      <c r="B1337">
        <v>23</v>
      </c>
      <c r="C1337" t="s">
        <v>27</v>
      </c>
      <c r="D1337">
        <v>178</v>
      </c>
      <c r="E1337">
        <v>50</v>
      </c>
      <c r="F1337" s="3">
        <v>32.817432021283999</v>
      </c>
      <c r="G1337" s="3" t="str">
        <f t="shared" si="20"/>
        <v>Obese</v>
      </c>
      <c r="H1337" t="s">
        <v>995</v>
      </c>
      <c r="I1337" t="s">
        <v>31</v>
      </c>
      <c r="J1337" t="s">
        <v>20</v>
      </c>
      <c r="K1337" t="s">
        <v>18</v>
      </c>
      <c r="L1337" t="s">
        <v>38</v>
      </c>
      <c r="M1337" t="s">
        <v>19</v>
      </c>
      <c r="N1337" t="s">
        <v>25</v>
      </c>
      <c r="O1337" t="s">
        <v>20</v>
      </c>
      <c r="P1337" t="s">
        <v>19</v>
      </c>
      <c r="Q1337" t="s">
        <v>18</v>
      </c>
    </row>
    <row r="1338" spans="1:17" x14ac:dyDescent="0.35">
      <c r="A1338">
        <v>1805</v>
      </c>
      <c r="B1338">
        <v>40</v>
      </c>
      <c r="C1338" t="s">
        <v>27</v>
      </c>
      <c r="D1338">
        <v>157</v>
      </c>
      <c r="E1338">
        <v>81</v>
      </c>
      <c r="F1338" s="3">
        <v>23.1275085685409</v>
      </c>
      <c r="G1338" s="3" t="str">
        <f t="shared" si="20"/>
        <v>Normal Weight</v>
      </c>
      <c r="H1338" t="s">
        <v>303</v>
      </c>
      <c r="I1338" t="s">
        <v>31</v>
      </c>
      <c r="J1338" t="s">
        <v>20</v>
      </c>
      <c r="K1338" t="s">
        <v>22</v>
      </c>
      <c r="L1338" t="s">
        <v>32</v>
      </c>
      <c r="M1338" t="s">
        <v>20</v>
      </c>
      <c r="N1338" t="s">
        <v>21</v>
      </c>
      <c r="O1338" t="s">
        <v>19</v>
      </c>
      <c r="P1338" t="s">
        <v>19</v>
      </c>
      <c r="Q1338" t="s">
        <v>18</v>
      </c>
    </row>
    <row r="1339" spans="1:17" x14ac:dyDescent="0.35">
      <c r="A1339">
        <v>1333</v>
      </c>
      <c r="B1339">
        <v>71</v>
      </c>
      <c r="C1339" t="s">
        <v>27</v>
      </c>
      <c r="D1339">
        <v>176</v>
      </c>
      <c r="E1339">
        <v>74</v>
      </c>
      <c r="F1339" s="3">
        <v>34.448747708684699</v>
      </c>
      <c r="G1339" s="3" t="str">
        <f t="shared" si="20"/>
        <v>Obese</v>
      </c>
      <c r="H1339" t="s">
        <v>969</v>
      </c>
      <c r="I1339" t="s">
        <v>31</v>
      </c>
      <c r="J1339" t="s">
        <v>20</v>
      </c>
      <c r="K1339" t="s">
        <v>40</v>
      </c>
      <c r="L1339" t="s">
        <v>29</v>
      </c>
      <c r="M1339" t="s">
        <v>19</v>
      </c>
      <c r="N1339" t="s">
        <v>21</v>
      </c>
      <c r="O1339" t="s">
        <v>20</v>
      </c>
      <c r="P1339" t="s">
        <v>20</v>
      </c>
      <c r="Q1339" t="s">
        <v>22</v>
      </c>
    </row>
    <row r="1340" spans="1:17" x14ac:dyDescent="0.35">
      <c r="A1340">
        <v>1942</v>
      </c>
      <c r="B1340">
        <v>40</v>
      </c>
      <c r="C1340" t="s">
        <v>27</v>
      </c>
      <c r="D1340">
        <v>184</v>
      </c>
      <c r="E1340">
        <v>98</v>
      </c>
      <c r="F1340" s="3">
        <v>18.560329137186699</v>
      </c>
      <c r="G1340" s="3" t="str">
        <f t="shared" si="20"/>
        <v>Normal Weight</v>
      </c>
      <c r="H1340" t="s">
        <v>499</v>
      </c>
      <c r="I1340" t="s">
        <v>18</v>
      </c>
      <c r="J1340" t="s">
        <v>19</v>
      </c>
      <c r="K1340" t="s">
        <v>22</v>
      </c>
      <c r="L1340" t="s">
        <v>14</v>
      </c>
      <c r="M1340" t="s">
        <v>19</v>
      </c>
      <c r="N1340" t="s">
        <v>21</v>
      </c>
      <c r="O1340" t="s">
        <v>20</v>
      </c>
      <c r="P1340" t="s">
        <v>19</v>
      </c>
      <c r="Q1340" t="s">
        <v>22</v>
      </c>
    </row>
    <row r="1341" spans="1:17" x14ac:dyDescent="0.35">
      <c r="A1341">
        <v>1964</v>
      </c>
      <c r="B1341">
        <v>40</v>
      </c>
      <c r="C1341" t="s">
        <v>16</v>
      </c>
      <c r="D1341">
        <v>162</v>
      </c>
      <c r="E1341">
        <v>95</v>
      </c>
      <c r="F1341" s="3">
        <v>25.297118052102299</v>
      </c>
      <c r="G1341" s="3" t="str">
        <f t="shared" si="20"/>
        <v>Overweight</v>
      </c>
      <c r="H1341" t="s">
        <v>1264</v>
      </c>
      <c r="I1341" t="s">
        <v>24</v>
      </c>
      <c r="J1341" t="s">
        <v>19</v>
      </c>
      <c r="K1341" t="s">
        <v>22</v>
      </c>
      <c r="L1341" t="s">
        <v>14</v>
      </c>
      <c r="M1341" t="s">
        <v>19</v>
      </c>
      <c r="N1341" t="s">
        <v>25</v>
      </c>
      <c r="O1341" t="s">
        <v>19</v>
      </c>
      <c r="P1341" t="s">
        <v>20</v>
      </c>
      <c r="Q1341" t="s">
        <v>40</v>
      </c>
    </row>
    <row r="1342" spans="1:17" x14ac:dyDescent="0.35">
      <c r="A1342">
        <v>1980</v>
      </c>
      <c r="B1342">
        <v>40</v>
      </c>
      <c r="C1342" t="s">
        <v>27</v>
      </c>
      <c r="D1342">
        <v>167</v>
      </c>
      <c r="E1342">
        <v>92</v>
      </c>
      <c r="F1342" s="3">
        <v>26.340319289373301</v>
      </c>
      <c r="G1342" s="3" t="str">
        <f t="shared" si="20"/>
        <v>Overweight</v>
      </c>
      <c r="H1342" t="s">
        <v>1116</v>
      </c>
      <c r="I1342" t="s">
        <v>18</v>
      </c>
      <c r="J1342" t="s">
        <v>20</v>
      </c>
      <c r="K1342" t="s">
        <v>22</v>
      </c>
      <c r="L1342" t="s">
        <v>14</v>
      </c>
      <c r="M1342" t="s">
        <v>19</v>
      </c>
      <c r="N1342" t="s">
        <v>21</v>
      </c>
      <c r="O1342" t="s">
        <v>19</v>
      </c>
      <c r="P1342" t="s">
        <v>19</v>
      </c>
      <c r="Q1342" t="s">
        <v>18</v>
      </c>
    </row>
    <row r="1343" spans="1:17" x14ac:dyDescent="0.35">
      <c r="A1343">
        <v>21</v>
      </c>
      <c r="B1343">
        <v>39</v>
      </c>
      <c r="C1343" t="s">
        <v>16</v>
      </c>
      <c r="D1343">
        <v>154</v>
      </c>
      <c r="E1343">
        <v>61</v>
      </c>
      <c r="F1343" s="3">
        <v>20.5369227858708</v>
      </c>
      <c r="G1343" s="3" t="str">
        <f t="shared" si="20"/>
        <v>Normal Weight</v>
      </c>
      <c r="H1343" t="s">
        <v>50</v>
      </c>
      <c r="I1343" t="s">
        <v>31</v>
      </c>
      <c r="J1343" t="s">
        <v>19</v>
      </c>
      <c r="K1343" t="s">
        <v>22</v>
      </c>
      <c r="L1343" t="s">
        <v>32</v>
      </c>
      <c r="M1343" t="s">
        <v>19</v>
      </c>
      <c r="N1343" t="s">
        <v>21</v>
      </c>
      <c r="O1343" t="s">
        <v>19</v>
      </c>
      <c r="P1343" t="s">
        <v>20</v>
      </c>
      <c r="Q1343" t="s">
        <v>40</v>
      </c>
    </row>
    <row r="1344" spans="1:17" x14ac:dyDescent="0.35">
      <c r="A1344">
        <v>1334</v>
      </c>
      <c r="B1344">
        <v>21</v>
      </c>
      <c r="C1344" t="s">
        <v>27</v>
      </c>
      <c r="D1344">
        <v>175</v>
      </c>
      <c r="E1344">
        <v>94</v>
      </c>
      <c r="F1344" s="3">
        <v>25.961549151678302</v>
      </c>
      <c r="G1344" s="3" t="str">
        <f t="shared" si="20"/>
        <v>Overweight</v>
      </c>
      <c r="H1344" t="s">
        <v>341</v>
      </c>
      <c r="I1344" t="s">
        <v>18</v>
      </c>
      <c r="J1344" t="s">
        <v>19</v>
      </c>
      <c r="K1344" t="s">
        <v>18</v>
      </c>
      <c r="L1344" t="s">
        <v>14</v>
      </c>
      <c r="M1344" t="s">
        <v>19</v>
      </c>
      <c r="N1344" t="s">
        <v>21</v>
      </c>
      <c r="O1344" t="s">
        <v>19</v>
      </c>
      <c r="P1344" t="s">
        <v>20</v>
      </c>
      <c r="Q1344" t="s">
        <v>40</v>
      </c>
    </row>
    <row r="1345" spans="1:17" x14ac:dyDescent="0.35">
      <c r="A1345">
        <v>1335</v>
      </c>
      <c r="B1345">
        <v>36</v>
      </c>
      <c r="C1345" t="s">
        <v>27</v>
      </c>
      <c r="D1345">
        <v>168</v>
      </c>
      <c r="E1345">
        <v>98</v>
      </c>
      <c r="F1345" s="3">
        <v>20.855963005020001</v>
      </c>
      <c r="G1345" s="3" t="str">
        <f t="shared" si="20"/>
        <v>Normal Weight</v>
      </c>
      <c r="H1345" t="s">
        <v>997</v>
      </c>
      <c r="I1345" t="s">
        <v>31</v>
      </c>
      <c r="J1345" t="s">
        <v>19</v>
      </c>
      <c r="K1345" t="s">
        <v>18</v>
      </c>
      <c r="L1345" t="s">
        <v>38</v>
      </c>
      <c r="M1345" t="s">
        <v>20</v>
      </c>
      <c r="N1345" t="s">
        <v>21</v>
      </c>
      <c r="O1345" t="s">
        <v>19</v>
      </c>
      <c r="P1345" t="s">
        <v>19</v>
      </c>
      <c r="Q1345" t="s">
        <v>22</v>
      </c>
    </row>
    <row r="1346" spans="1:17" x14ac:dyDescent="0.35">
      <c r="A1346">
        <v>1336</v>
      </c>
      <c r="B1346">
        <v>37</v>
      </c>
      <c r="C1346" t="s">
        <v>16</v>
      </c>
      <c r="D1346">
        <v>177</v>
      </c>
      <c r="E1346">
        <v>92</v>
      </c>
      <c r="F1346" s="3">
        <v>24.925672221281602</v>
      </c>
      <c r="G1346" s="3" t="str">
        <f t="shared" si="20"/>
        <v>Overweight</v>
      </c>
      <c r="H1346" t="s">
        <v>998</v>
      </c>
      <c r="I1346" t="s">
        <v>31</v>
      </c>
      <c r="J1346" t="s">
        <v>19</v>
      </c>
      <c r="K1346" t="s">
        <v>18</v>
      </c>
      <c r="L1346" t="s">
        <v>38</v>
      </c>
      <c r="M1346" t="s">
        <v>19</v>
      </c>
      <c r="N1346" t="s">
        <v>21</v>
      </c>
      <c r="O1346" t="s">
        <v>20</v>
      </c>
      <c r="P1346" t="s">
        <v>20</v>
      </c>
      <c r="Q1346" t="s">
        <v>40</v>
      </c>
    </row>
    <row r="1347" spans="1:17" x14ac:dyDescent="0.35">
      <c r="A1347">
        <v>316</v>
      </c>
      <c r="B1347">
        <v>39</v>
      </c>
      <c r="C1347" t="s">
        <v>16</v>
      </c>
      <c r="D1347">
        <v>184</v>
      </c>
      <c r="E1347">
        <v>65</v>
      </c>
      <c r="F1347" s="3">
        <v>20.629675574359499</v>
      </c>
      <c r="G1347" s="3" t="str">
        <f t="shared" ref="G1347:G1410" si="21">_xlfn.IFS(F1347&lt;18.5, "Underweight", F1347&lt;=24.9, "Normal Weight", F1347&lt;=29.9, "Overweight", TRUE, "Obese")</f>
        <v>Normal Weight</v>
      </c>
      <c r="H1347" t="s">
        <v>169</v>
      </c>
      <c r="I1347" t="s">
        <v>24</v>
      </c>
      <c r="J1347" t="s">
        <v>19</v>
      </c>
      <c r="K1347" t="s">
        <v>22</v>
      </c>
      <c r="L1347" t="s">
        <v>29</v>
      </c>
      <c r="M1347" t="s">
        <v>20</v>
      </c>
      <c r="N1347" t="s">
        <v>25</v>
      </c>
      <c r="O1347" t="s">
        <v>19</v>
      </c>
      <c r="P1347" t="s">
        <v>19</v>
      </c>
      <c r="Q1347" t="s">
        <v>22</v>
      </c>
    </row>
    <row r="1348" spans="1:17" x14ac:dyDescent="0.35">
      <c r="A1348">
        <v>1337</v>
      </c>
      <c r="B1348">
        <v>50</v>
      </c>
      <c r="C1348" t="s">
        <v>16</v>
      </c>
      <c r="D1348">
        <v>166</v>
      </c>
      <c r="E1348">
        <v>83</v>
      </c>
      <c r="F1348" s="3">
        <v>34.203089705443801</v>
      </c>
      <c r="G1348" s="3" t="str">
        <f t="shared" si="21"/>
        <v>Obese</v>
      </c>
      <c r="H1348" t="s">
        <v>409</v>
      </c>
      <c r="I1348" t="s">
        <v>31</v>
      </c>
      <c r="J1348" t="s">
        <v>20</v>
      </c>
      <c r="K1348" t="s">
        <v>18</v>
      </c>
      <c r="L1348" t="s">
        <v>32</v>
      </c>
      <c r="M1348" t="s">
        <v>20</v>
      </c>
      <c r="N1348" t="s">
        <v>21</v>
      </c>
      <c r="O1348" t="s">
        <v>20</v>
      </c>
      <c r="P1348" t="s">
        <v>19</v>
      </c>
      <c r="Q1348" t="s">
        <v>22</v>
      </c>
    </row>
    <row r="1349" spans="1:17" x14ac:dyDescent="0.35">
      <c r="A1349">
        <v>1341</v>
      </c>
      <c r="B1349">
        <v>64</v>
      </c>
      <c r="C1349" t="s">
        <v>16</v>
      </c>
      <c r="D1349">
        <v>172</v>
      </c>
      <c r="E1349">
        <v>78</v>
      </c>
      <c r="F1349" s="3">
        <v>24.2780776514773</v>
      </c>
      <c r="G1349" s="3" t="str">
        <f t="shared" si="21"/>
        <v>Normal Weight</v>
      </c>
      <c r="H1349" t="s">
        <v>65</v>
      </c>
      <c r="I1349" t="s">
        <v>24</v>
      </c>
      <c r="J1349" t="s">
        <v>19</v>
      </c>
      <c r="K1349" t="s">
        <v>18</v>
      </c>
      <c r="L1349" t="s">
        <v>38</v>
      </c>
      <c r="M1349" t="s">
        <v>20</v>
      </c>
      <c r="N1349" t="s">
        <v>21</v>
      </c>
      <c r="O1349" t="s">
        <v>20</v>
      </c>
      <c r="P1349" t="s">
        <v>20</v>
      </c>
      <c r="Q1349" t="s">
        <v>40</v>
      </c>
    </row>
    <row r="1350" spans="1:17" x14ac:dyDescent="0.35">
      <c r="A1350">
        <v>1342</v>
      </c>
      <c r="B1350">
        <v>18</v>
      </c>
      <c r="C1350" t="s">
        <v>27</v>
      </c>
      <c r="D1350">
        <v>181</v>
      </c>
      <c r="E1350">
        <v>68</v>
      </c>
      <c r="F1350" s="3">
        <v>19.873751357835399</v>
      </c>
      <c r="G1350" s="3" t="str">
        <f t="shared" si="21"/>
        <v>Normal Weight</v>
      </c>
      <c r="H1350" t="s">
        <v>821</v>
      </c>
      <c r="I1350" t="s">
        <v>31</v>
      </c>
      <c r="J1350" t="s">
        <v>20</v>
      </c>
      <c r="K1350" t="s">
        <v>18</v>
      </c>
      <c r="L1350" t="s">
        <v>38</v>
      </c>
      <c r="M1350" t="s">
        <v>19</v>
      </c>
      <c r="N1350" t="s">
        <v>21</v>
      </c>
      <c r="O1350" t="s">
        <v>19</v>
      </c>
      <c r="P1350" t="s">
        <v>20</v>
      </c>
      <c r="Q1350" t="s">
        <v>40</v>
      </c>
    </row>
    <row r="1351" spans="1:17" x14ac:dyDescent="0.35">
      <c r="A1351">
        <v>1343</v>
      </c>
      <c r="B1351">
        <v>43</v>
      </c>
      <c r="C1351" t="s">
        <v>16</v>
      </c>
      <c r="D1351">
        <v>182</v>
      </c>
      <c r="E1351">
        <v>72</v>
      </c>
      <c r="F1351" s="3">
        <v>30.455205501120499</v>
      </c>
      <c r="G1351" s="3" t="str">
        <f t="shared" si="21"/>
        <v>Obese</v>
      </c>
      <c r="H1351" t="s">
        <v>1000</v>
      </c>
      <c r="I1351" t="s">
        <v>31</v>
      </c>
      <c r="J1351" t="s">
        <v>19</v>
      </c>
      <c r="K1351" t="s">
        <v>18</v>
      </c>
      <c r="L1351" t="s">
        <v>29</v>
      </c>
      <c r="M1351" t="s">
        <v>19</v>
      </c>
      <c r="N1351" t="s">
        <v>21</v>
      </c>
      <c r="O1351" t="s">
        <v>19</v>
      </c>
      <c r="P1351" t="s">
        <v>19</v>
      </c>
      <c r="Q1351" t="s">
        <v>22</v>
      </c>
    </row>
    <row r="1352" spans="1:17" x14ac:dyDescent="0.35">
      <c r="A1352">
        <v>552</v>
      </c>
      <c r="B1352">
        <v>39</v>
      </c>
      <c r="C1352" t="s">
        <v>16</v>
      </c>
      <c r="D1352">
        <v>173</v>
      </c>
      <c r="E1352">
        <v>67</v>
      </c>
      <c r="F1352" s="3">
        <v>23.826361591889501</v>
      </c>
      <c r="G1352" s="3" t="str">
        <f t="shared" si="21"/>
        <v>Normal Weight</v>
      </c>
      <c r="H1352" t="s">
        <v>507</v>
      </c>
      <c r="I1352" t="s">
        <v>24</v>
      </c>
      <c r="J1352" t="s">
        <v>19</v>
      </c>
      <c r="K1352" t="s">
        <v>22</v>
      </c>
      <c r="L1352" t="s">
        <v>29</v>
      </c>
      <c r="M1352" t="s">
        <v>20</v>
      </c>
      <c r="N1352" t="s">
        <v>21</v>
      </c>
      <c r="O1352" t="s">
        <v>19</v>
      </c>
      <c r="P1352" t="s">
        <v>20</v>
      </c>
      <c r="Q1352" t="s">
        <v>22</v>
      </c>
    </row>
    <row r="1353" spans="1:17" x14ac:dyDescent="0.35">
      <c r="A1353">
        <v>555</v>
      </c>
      <c r="B1353">
        <v>39</v>
      </c>
      <c r="C1353" t="s">
        <v>27</v>
      </c>
      <c r="D1353">
        <v>176</v>
      </c>
      <c r="E1353">
        <v>72</v>
      </c>
      <c r="F1353" s="3">
        <v>20.699190258355799</v>
      </c>
      <c r="G1353" s="3" t="str">
        <f t="shared" si="21"/>
        <v>Normal Weight</v>
      </c>
      <c r="H1353" t="s">
        <v>510</v>
      </c>
      <c r="I1353" t="s">
        <v>31</v>
      </c>
      <c r="J1353" t="s">
        <v>19</v>
      </c>
      <c r="K1353" t="s">
        <v>22</v>
      </c>
      <c r="L1353" t="s">
        <v>14</v>
      </c>
      <c r="M1353" t="s">
        <v>20</v>
      </c>
      <c r="N1353" t="s">
        <v>21</v>
      </c>
      <c r="O1353" t="s">
        <v>19</v>
      </c>
      <c r="P1353" t="s">
        <v>20</v>
      </c>
      <c r="Q1353" t="s">
        <v>22</v>
      </c>
    </row>
    <row r="1354" spans="1:17" x14ac:dyDescent="0.35">
      <c r="A1354">
        <v>625</v>
      </c>
      <c r="B1354">
        <v>39</v>
      </c>
      <c r="C1354" t="s">
        <v>27</v>
      </c>
      <c r="D1354">
        <v>180</v>
      </c>
      <c r="E1354">
        <v>60</v>
      </c>
      <c r="F1354" s="3">
        <v>19.159141559220501</v>
      </c>
      <c r="G1354" s="3" t="str">
        <f t="shared" si="21"/>
        <v>Normal Weight</v>
      </c>
      <c r="H1354" t="s">
        <v>566</v>
      </c>
      <c r="I1354" t="s">
        <v>18</v>
      </c>
      <c r="J1354" t="s">
        <v>19</v>
      </c>
      <c r="K1354" t="s">
        <v>22</v>
      </c>
      <c r="L1354" t="s">
        <v>29</v>
      </c>
      <c r="M1354" t="s">
        <v>19</v>
      </c>
      <c r="N1354" t="s">
        <v>21</v>
      </c>
      <c r="O1354" t="s">
        <v>19</v>
      </c>
      <c r="P1354" t="s">
        <v>20</v>
      </c>
      <c r="Q1354" t="s">
        <v>18</v>
      </c>
    </row>
    <row r="1355" spans="1:17" x14ac:dyDescent="0.35">
      <c r="A1355">
        <v>1344</v>
      </c>
      <c r="B1355">
        <v>31</v>
      </c>
      <c r="C1355" t="s">
        <v>27</v>
      </c>
      <c r="D1355">
        <v>154</v>
      </c>
      <c r="E1355">
        <v>68</v>
      </c>
      <c r="F1355" s="3">
        <v>23.639952933730701</v>
      </c>
      <c r="G1355" s="3" t="str">
        <f t="shared" si="21"/>
        <v>Normal Weight</v>
      </c>
      <c r="H1355" t="s">
        <v>1001</v>
      </c>
      <c r="I1355" t="s">
        <v>31</v>
      </c>
      <c r="J1355" t="s">
        <v>19</v>
      </c>
      <c r="K1355" t="s">
        <v>18</v>
      </c>
      <c r="L1355" t="s">
        <v>38</v>
      </c>
      <c r="M1355" t="s">
        <v>20</v>
      </c>
      <c r="N1355" t="s">
        <v>21</v>
      </c>
      <c r="O1355" t="s">
        <v>19</v>
      </c>
      <c r="P1355" t="s">
        <v>19</v>
      </c>
      <c r="Q1355" t="s">
        <v>18</v>
      </c>
    </row>
    <row r="1356" spans="1:17" x14ac:dyDescent="0.35">
      <c r="A1356">
        <v>1347</v>
      </c>
      <c r="B1356">
        <v>79</v>
      </c>
      <c r="C1356" t="s">
        <v>16</v>
      </c>
      <c r="D1356">
        <v>160</v>
      </c>
      <c r="E1356">
        <v>58</v>
      </c>
      <c r="F1356" s="3">
        <v>26.5069012486532</v>
      </c>
      <c r="G1356" s="3" t="str">
        <f t="shared" si="21"/>
        <v>Overweight</v>
      </c>
      <c r="H1356" t="s">
        <v>387</v>
      </c>
      <c r="I1356" t="s">
        <v>18</v>
      </c>
      <c r="J1356" t="s">
        <v>20</v>
      </c>
      <c r="K1356" t="s">
        <v>40</v>
      </c>
      <c r="L1356" t="s">
        <v>14</v>
      </c>
      <c r="M1356" t="s">
        <v>20</v>
      </c>
      <c r="N1356" t="s">
        <v>21</v>
      </c>
      <c r="O1356" t="s">
        <v>20</v>
      </c>
      <c r="P1356" t="s">
        <v>19</v>
      </c>
      <c r="Q1356" t="s">
        <v>40</v>
      </c>
    </row>
    <row r="1357" spans="1:17" x14ac:dyDescent="0.35">
      <c r="A1357">
        <v>855</v>
      </c>
      <c r="B1357">
        <v>39</v>
      </c>
      <c r="C1357" t="s">
        <v>16</v>
      </c>
      <c r="D1357">
        <v>157</v>
      </c>
      <c r="E1357">
        <v>88</v>
      </c>
      <c r="F1357" s="3">
        <v>21.247885472704901</v>
      </c>
      <c r="G1357" s="3" t="str">
        <f t="shared" si="21"/>
        <v>Normal Weight</v>
      </c>
      <c r="H1357" t="s">
        <v>632</v>
      </c>
      <c r="I1357" t="s">
        <v>18</v>
      </c>
      <c r="J1357" t="s">
        <v>20</v>
      </c>
      <c r="K1357" t="s">
        <v>22</v>
      </c>
      <c r="L1357" t="s">
        <v>32</v>
      </c>
      <c r="M1357" t="s">
        <v>19</v>
      </c>
      <c r="N1357" t="s">
        <v>21</v>
      </c>
      <c r="O1357" t="s">
        <v>19</v>
      </c>
      <c r="P1357" t="s">
        <v>20</v>
      </c>
      <c r="Q1357" t="s">
        <v>18</v>
      </c>
    </row>
    <row r="1358" spans="1:17" x14ac:dyDescent="0.35">
      <c r="A1358">
        <v>1348</v>
      </c>
      <c r="B1358">
        <v>28</v>
      </c>
      <c r="C1358" t="s">
        <v>27</v>
      </c>
      <c r="D1358">
        <v>152</v>
      </c>
      <c r="E1358">
        <v>50</v>
      </c>
      <c r="F1358" s="3">
        <v>31.335505211350799</v>
      </c>
      <c r="G1358" s="3" t="str">
        <f t="shared" si="21"/>
        <v>Obese</v>
      </c>
      <c r="H1358" t="s">
        <v>397</v>
      </c>
      <c r="I1358" t="s">
        <v>18</v>
      </c>
      <c r="J1358" t="s">
        <v>19</v>
      </c>
      <c r="K1358" t="s">
        <v>18</v>
      </c>
      <c r="L1358" t="s">
        <v>29</v>
      </c>
      <c r="M1358" t="s">
        <v>20</v>
      </c>
      <c r="N1358" t="s">
        <v>25</v>
      </c>
      <c r="O1358" t="s">
        <v>19</v>
      </c>
      <c r="P1358" t="s">
        <v>20</v>
      </c>
      <c r="Q1358" t="s">
        <v>22</v>
      </c>
    </row>
    <row r="1359" spans="1:17" x14ac:dyDescent="0.35">
      <c r="A1359">
        <v>1356</v>
      </c>
      <c r="B1359">
        <v>73</v>
      </c>
      <c r="C1359" t="s">
        <v>16</v>
      </c>
      <c r="D1359">
        <v>187</v>
      </c>
      <c r="E1359">
        <v>67</v>
      </c>
      <c r="F1359" s="3">
        <v>27.150202888872599</v>
      </c>
      <c r="G1359" s="3" t="str">
        <f t="shared" si="21"/>
        <v>Overweight</v>
      </c>
      <c r="H1359" t="s">
        <v>196</v>
      </c>
      <c r="I1359" t="s">
        <v>18</v>
      </c>
      <c r="J1359" t="s">
        <v>19</v>
      </c>
      <c r="K1359" t="s">
        <v>40</v>
      </c>
      <c r="L1359" t="s">
        <v>29</v>
      </c>
      <c r="M1359" t="s">
        <v>20</v>
      </c>
      <c r="N1359" t="s">
        <v>21</v>
      </c>
      <c r="O1359" t="s">
        <v>19</v>
      </c>
      <c r="P1359" t="s">
        <v>20</v>
      </c>
      <c r="Q1359" t="s">
        <v>18</v>
      </c>
    </row>
    <row r="1360" spans="1:17" x14ac:dyDescent="0.35">
      <c r="A1360">
        <v>1357</v>
      </c>
      <c r="B1360">
        <v>27</v>
      </c>
      <c r="C1360" t="s">
        <v>27</v>
      </c>
      <c r="D1360">
        <v>168</v>
      </c>
      <c r="E1360">
        <v>83</v>
      </c>
      <c r="F1360" s="3">
        <v>29.5670008698029</v>
      </c>
      <c r="G1360" s="3" t="str">
        <f t="shared" si="21"/>
        <v>Overweight</v>
      </c>
      <c r="H1360" t="s">
        <v>1008</v>
      </c>
      <c r="I1360" t="s">
        <v>18</v>
      </c>
      <c r="J1360" t="s">
        <v>20</v>
      </c>
      <c r="K1360" t="s">
        <v>18</v>
      </c>
      <c r="L1360" t="s">
        <v>14</v>
      </c>
      <c r="M1360" t="s">
        <v>20</v>
      </c>
      <c r="N1360" t="s">
        <v>25</v>
      </c>
      <c r="O1360" t="s">
        <v>20</v>
      </c>
      <c r="P1360" t="s">
        <v>20</v>
      </c>
      <c r="Q1360" t="s">
        <v>18</v>
      </c>
    </row>
    <row r="1361" spans="1:17" x14ac:dyDescent="0.35">
      <c r="A1361">
        <v>1201</v>
      </c>
      <c r="B1361">
        <v>39</v>
      </c>
      <c r="C1361" t="s">
        <v>27</v>
      </c>
      <c r="D1361">
        <v>165</v>
      </c>
      <c r="E1361">
        <v>99</v>
      </c>
      <c r="F1361" s="3">
        <v>30.765322776905201</v>
      </c>
      <c r="G1361" s="3" t="str">
        <f t="shared" si="21"/>
        <v>Obese</v>
      </c>
      <c r="H1361" t="s">
        <v>339</v>
      </c>
      <c r="I1361" t="s">
        <v>18</v>
      </c>
      <c r="J1361" t="s">
        <v>20</v>
      </c>
      <c r="K1361" t="s">
        <v>22</v>
      </c>
      <c r="L1361" t="s">
        <v>38</v>
      </c>
      <c r="M1361" t="s">
        <v>20</v>
      </c>
      <c r="N1361" t="s">
        <v>25</v>
      </c>
      <c r="O1361" t="s">
        <v>20</v>
      </c>
      <c r="P1361" t="s">
        <v>20</v>
      </c>
      <c r="Q1361" t="s">
        <v>22</v>
      </c>
    </row>
    <row r="1362" spans="1:17" x14ac:dyDescent="0.35">
      <c r="A1362">
        <v>1239</v>
      </c>
      <c r="B1362">
        <v>39</v>
      </c>
      <c r="C1362" t="s">
        <v>16</v>
      </c>
      <c r="D1362">
        <v>157</v>
      </c>
      <c r="E1362">
        <v>87</v>
      </c>
      <c r="F1362" s="3">
        <v>29.916801493898699</v>
      </c>
      <c r="G1362" s="3" t="str">
        <f t="shared" si="21"/>
        <v>Obese</v>
      </c>
      <c r="H1362" t="s">
        <v>904</v>
      </c>
      <c r="I1362" t="s">
        <v>24</v>
      </c>
      <c r="J1362" t="s">
        <v>19</v>
      </c>
      <c r="K1362" t="s">
        <v>22</v>
      </c>
      <c r="L1362" t="s">
        <v>38</v>
      </c>
      <c r="M1362" t="s">
        <v>19</v>
      </c>
      <c r="N1362" t="s">
        <v>25</v>
      </c>
      <c r="O1362" t="s">
        <v>19</v>
      </c>
      <c r="P1362" t="s">
        <v>20</v>
      </c>
      <c r="Q1362" t="s">
        <v>18</v>
      </c>
    </row>
    <row r="1363" spans="1:17" x14ac:dyDescent="0.35">
      <c r="A1363">
        <v>1359</v>
      </c>
      <c r="B1363">
        <v>40</v>
      </c>
      <c r="C1363" t="s">
        <v>16</v>
      </c>
      <c r="D1363">
        <v>162</v>
      </c>
      <c r="E1363">
        <v>94</v>
      </c>
      <c r="F1363" s="3">
        <v>23.079126280889401</v>
      </c>
      <c r="G1363" s="3" t="str">
        <f t="shared" si="21"/>
        <v>Normal Weight</v>
      </c>
      <c r="H1363" t="s">
        <v>1010</v>
      </c>
      <c r="I1363" t="s">
        <v>24</v>
      </c>
      <c r="J1363" t="s">
        <v>20</v>
      </c>
      <c r="K1363" t="s">
        <v>18</v>
      </c>
      <c r="L1363" t="s">
        <v>29</v>
      </c>
      <c r="M1363" t="s">
        <v>19</v>
      </c>
      <c r="N1363" t="s">
        <v>21</v>
      </c>
      <c r="O1363" t="s">
        <v>20</v>
      </c>
      <c r="P1363" t="s">
        <v>19</v>
      </c>
      <c r="Q1363" t="s">
        <v>40</v>
      </c>
    </row>
    <row r="1364" spans="1:17" x14ac:dyDescent="0.35">
      <c r="A1364">
        <v>1281</v>
      </c>
      <c r="B1364">
        <v>39</v>
      </c>
      <c r="C1364" t="s">
        <v>16</v>
      </c>
      <c r="D1364">
        <v>152</v>
      </c>
      <c r="E1364">
        <v>96</v>
      </c>
      <c r="F1364" s="3">
        <v>29.129514763828599</v>
      </c>
      <c r="G1364" s="3" t="str">
        <f t="shared" si="21"/>
        <v>Overweight</v>
      </c>
      <c r="H1364" t="s">
        <v>970</v>
      </c>
      <c r="I1364" t="s">
        <v>31</v>
      </c>
      <c r="J1364" t="s">
        <v>19</v>
      </c>
      <c r="K1364" t="s">
        <v>22</v>
      </c>
      <c r="L1364" t="s">
        <v>14</v>
      </c>
      <c r="M1364" t="s">
        <v>19</v>
      </c>
      <c r="N1364" t="s">
        <v>25</v>
      </c>
      <c r="O1364" t="s">
        <v>19</v>
      </c>
      <c r="P1364" t="s">
        <v>19</v>
      </c>
      <c r="Q1364" t="s">
        <v>18</v>
      </c>
    </row>
    <row r="1365" spans="1:17" x14ac:dyDescent="0.35">
      <c r="A1365">
        <v>1397</v>
      </c>
      <c r="B1365">
        <v>39</v>
      </c>
      <c r="C1365" t="s">
        <v>27</v>
      </c>
      <c r="D1365">
        <v>152</v>
      </c>
      <c r="E1365">
        <v>53</v>
      </c>
      <c r="F1365" s="3">
        <v>19.119222849274699</v>
      </c>
      <c r="G1365" s="3" t="str">
        <f t="shared" si="21"/>
        <v>Normal Weight</v>
      </c>
      <c r="H1365" t="s">
        <v>823</v>
      </c>
      <c r="I1365" t="s">
        <v>31</v>
      </c>
      <c r="J1365" t="s">
        <v>19</v>
      </c>
      <c r="K1365" t="s">
        <v>22</v>
      </c>
      <c r="L1365" t="s">
        <v>29</v>
      </c>
      <c r="M1365" t="s">
        <v>19</v>
      </c>
      <c r="N1365" t="s">
        <v>21</v>
      </c>
      <c r="O1365" t="s">
        <v>20</v>
      </c>
      <c r="P1365" t="s">
        <v>19</v>
      </c>
      <c r="Q1365" t="s">
        <v>22</v>
      </c>
    </row>
    <row r="1366" spans="1:17" x14ac:dyDescent="0.35">
      <c r="A1366">
        <v>1361</v>
      </c>
      <c r="B1366">
        <v>61</v>
      </c>
      <c r="C1366" t="s">
        <v>27</v>
      </c>
      <c r="D1366">
        <v>159</v>
      </c>
      <c r="E1366">
        <v>70</v>
      </c>
      <c r="F1366" s="3">
        <v>30.438320459962899</v>
      </c>
      <c r="G1366" s="3" t="str">
        <f t="shared" si="21"/>
        <v>Obese</v>
      </c>
      <c r="H1366" t="s">
        <v>468</v>
      </c>
      <c r="I1366" t="s">
        <v>31</v>
      </c>
      <c r="J1366" t="s">
        <v>19</v>
      </c>
      <c r="K1366" t="s">
        <v>18</v>
      </c>
      <c r="L1366" t="s">
        <v>32</v>
      </c>
      <c r="M1366" t="s">
        <v>20</v>
      </c>
      <c r="N1366" t="s">
        <v>21</v>
      </c>
      <c r="O1366" t="s">
        <v>19</v>
      </c>
      <c r="P1366" t="s">
        <v>19</v>
      </c>
      <c r="Q1366" t="s">
        <v>40</v>
      </c>
    </row>
    <row r="1367" spans="1:17" x14ac:dyDescent="0.35">
      <c r="A1367">
        <v>1559</v>
      </c>
      <c r="B1367">
        <v>39</v>
      </c>
      <c r="C1367" t="s">
        <v>16</v>
      </c>
      <c r="D1367">
        <v>160</v>
      </c>
      <c r="E1367">
        <v>97</v>
      </c>
      <c r="F1367" s="3">
        <v>26.889904082582401</v>
      </c>
      <c r="G1367" s="3" t="str">
        <f t="shared" si="21"/>
        <v>Overweight</v>
      </c>
      <c r="H1367" t="s">
        <v>1099</v>
      </c>
      <c r="I1367" t="s">
        <v>31</v>
      </c>
      <c r="J1367" t="s">
        <v>20</v>
      </c>
      <c r="K1367" t="s">
        <v>22</v>
      </c>
      <c r="L1367" t="s">
        <v>14</v>
      </c>
      <c r="M1367" t="s">
        <v>20</v>
      </c>
      <c r="N1367" t="s">
        <v>25</v>
      </c>
      <c r="O1367" t="s">
        <v>19</v>
      </c>
      <c r="P1367" t="s">
        <v>19</v>
      </c>
      <c r="Q1367" t="s">
        <v>22</v>
      </c>
    </row>
    <row r="1368" spans="1:17" x14ac:dyDescent="0.35">
      <c r="A1368">
        <v>1619</v>
      </c>
      <c r="B1368">
        <v>39</v>
      </c>
      <c r="C1368" t="s">
        <v>27</v>
      </c>
      <c r="D1368">
        <v>167</v>
      </c>
      <c r="E1368">
        <v>99</v>
      </c>
      <c r="F1368" s="3">
        <v>19.785003320006201</v>
      </c>
      <c r="G1368" s="3" t="str">
        <f t="shared" si="21"/>
        <v>Normal Weight</v>
      </c>
      <c r="H1368" t="s">
        <v>557</v>
      </c>
      <c r="I1368" t="s">
        <v>24</v>
      </c>
      <c r="J1368" t="s">
        <v>20</v>
      </c>
      <c r="K1368" t="s">
        <v>22</v>
      </c>
      <c r="L1368" t="s">
        <v>38</v>
      </c>
      <c r="M1368" t="s">
        <v>19</v>
      </c>
      <c r="N1368" t="s">
        <v>21</v>
      </c>
      <c r="O1368" t="s">
        <v>20</v>
      </c>
      <c r="P1368" t="s">
        <v>19</v>
      </c>
      <c r="Q1368" t="s">
        <v>18</v>
      </c>
    </row>
    <row r="1369" spans="1:17" x14ac:dyDescent="0.35">
      <c r="A1369">
        <v>1632</v>
      </c>
      <c r="B1369">
        <v>39</v>
      </c>
      <c r="C1369" t="s">
        <v>16</v>
      </c>
      <c r="D1369">
        <v>176</v>
      </c>
      <c r="E1369">
        <v>88</v>
      </c>
      <c r="F1369" s="3">
        <v>19.310948440695402</v>
      </c>
      <c r="G1369" s="3" t="str">
        <f t="shared" si="21"/>
        <v>Normal Weight</v>
      </c>
      <c r="H1369" t="s">
        <v>567</v>
      </c>
      <c r="I1369" t="s">
        <v>18</v>
      </c>
      <c r="J1369" t="s">
        <v>20</v>
      </c>
      <c r="K1369" t="s">
        <v>22</v>
      </c>
      <c r="L1369" t="s">
        <v>32</v>
      </c>
      <c r="M1369" t="s">
        <v>19</v>
      </c>
      <c r="N1369" t="s">
        <v>25</v>
      </c>
      <c r="O1369" t="s">
        <v>19</v>
      </c>
      <c r="P1369" t="s">
        <v>20</v>
      </c>
      <c r="Q1369" t="s">
        <v>18</v>
      </c>
    </row>
    <row r="1370" spans="1:17" x14ac:dyDescent="0.35">
      <c r="A1370">
        <v>1772</v>
      </c>
      <c r="B1370">
        <v>39</v>
      </c>
      <c r="C1370" t="s">
        <v>27</v>
      </c>
      <c r="D1370">
        <v>179</v>
      </c>
      <c r="E1370">
        <v>89</v>
      </c>
      <c r="F1370" s="3">
        <v>19.9800651637449</v>
      </c>
      <c r="G1370" s="3" t="str">
        <f t="shared" si="21"/>
        <v>Normal Weight</v>
      </c>
      <c r="H1370" t="s">
        <v>551</v>
      </c>
      <c r="I1370" t="s">
        <v>18</v>
      </c>
      <c r="J1370" t="s">
        <v>19</v>
      </c>
      <c r="K1370" t="s">
        <v>22</v>
      </c>
      <c r="L1370" t="s">
        <v>29</v>
      </c>
      <c r="M1370" t="s">
        <v>20</v>
      </c>
      <c r="N1370" t="s">
        <v>21</v>
      </c>
      <c r="O1370" t="s">
        <v>20</v>
      </c>
      <c r="P1370" t="s">
        <v>19</v>
      </c>
      <c r="Q1370" t="s">
        <v>22</v>
      </c>
    </row>
    <row r="1371" spans="1:17" x14ac:dyDescent="0.35">
      <c r="A1371">
        <v>1796</v>
      </c>
      <c r="B1371">
        <v>39</v>
      </c>
      <c r="C1371" t="s">
        <v>27</v>
      </c>
      <c r="D1371">
        <v>176</v>
      </c>
      <c r="E1371">
        <v>68</v>
      </c>
      <c r="F1371" s="3">
        <v>27.705006529035099</v>
      </c>
      <c r="G1371" s="3" t="str">
        <f t="shared" si="21"/>
        <v>Overweight</v>
      </c>
      <c r="H1371" t="s">
        <v>1198</v>
      </c>
      <c r="I1371" t="s">
        <v>18</v>
      </c>
      <c r="J1371" t="s">
        <v>19</v>
      </c>
      <c r="K1371" t="s">
        <v>22</v>
      </c>
      <c r="L1371" t="s">
        <v>29</v>
      </c>
      <c r="M1371" t="s">
        <v>19</v>
      </c>
      <c r="N1371" t="s">
        <v>21</v>
      </c>
      <c r="O1371" t="s">
        <v>20</v>
      </c>
      <c r="P1371" t="s">
        <v>20</v>
      </c>
      <c r="Q1371" t="s">
        <v>40</v>
      </c>
    </row>
    <row r="1372" spans="1:17" x14ac:dyDescent="0.35">
      <c r="A1372">
        <v>1825</v>
      </c>
      <c r="B1372">
        <v>39</v>
      </c>
      <c r="C1372" t="s">
        <v>16</v>
      </c>
      <c r="D1372">
        <v>164</v>
      </c>
      <c r="E1372">
        <v>82</v>
      </c>
      <c r="F1372" s="3">
        <v>24.357751891248</v>
      </c>
      <c r="G1372" s="3" t="str">
        <f t="shared" si="21"/>
        <v>Normal Weight</v>
      </c>
      <c r="H1372" t="s">
        <v>1212</v>
      </c>
      <c r="I1372" t="s">
        <v>31</v>
      </c>
      <c r="J1372" t="s">
        <v>20</v>
      </c>
      <c r="K1372" t="s">
        <v>22</v>
      </c>
      <c r="L1372" t="s">
        <v>32</v>
      </c>
      <c r="M1372" t="s">
        <v>19</v>
      </c>
      <c r="N1372" t="s">
        <v>25</v>
      </c>
      <c r="O1372" t="s">
        <v>19</v>
      </c>
      <c r="P1372" t="s">
        <v>20</v>
      </c>
      <c r="Q1372" t="s">
        <v>18</v>
      </c>
    </row>
    <row r="1373" spans="1:17" x14ac:dyDescent="0.35">
      <c r="A1373">
        <v>1875</v>
      </c>
      <c r="B1373">
        <v>39</v>
      </c>
      <c r="C1373" t="s">
        <v>27</v>
      </c>
      <c r="D1373">
        <v>162</v>
      </c>
      <c r="E1373">
        <v>61</v>
      </c>
      <c r="F1373" s="3">
        <v>33.870482717257502</v>
      </c>
      <c r="G1373" s="3" t="str">
        <f t="shared" si="21"/>
        <v>Obese</v>
      </c>
      <c r="H1373" t="s">
        <v>1226</v>
      </c>
      <c r="I1373" t="s">
        <v>31</v>
      </c>
      <c r="J1373" t="s">
        <v>20</v>
      </c>
      <c r="K1373" t="s">
        <v>22</v>
      </c>
      <c r="L1373" t="s">
        <v>32</v>
      </c>
      <c r="M1373" t="s">
        <v>19</v>
      </c>
      <c r="N1373" t="s">
        <v>25</v>
      </c>
      <c r="O1373" t="s">
        <v>19</v>
      </c>
      <c r="P1373" t="s">
        <v>19</v>
      </c>
      <c r="Q1373" t="s">
        <v>40</v>
      </c>
    </row>
    <row r="1374" spans="1:17" x14ac:dyDescent="0.35">
      <c r="A1374">
        <v>1967</v>
      </c>
      <c r="B1374">
        <v>39</v>
      </c>
      <c r="C1374" t="s">
        <v>16</v>
      </c>
      <c r="D1374">
        <v>157</v>
      </c>
      <c r="E1374">
        <v>67</v>
      </c>
      <c r="F1374" s="3">
        <v>21.969556935380702</v>
      </c>
      <c r="G1374" s="3" t="str">
        <f t="shared" si="21"/>
        <v>Normal Weight</v>
      </c>
      <c r="H1374" t="s">
        <v>856</v>
      </c>
      <c r="I1374" t="s">
        <v>24</v>
      </c>
      <c r="J1374" t="s">
        <v>19</v>
      </c>
      <c r="K1374" t="s">
        <v>22</v>
      </c>
      <c r="L1374" t="s">
        <v>29</v>
      </c>
      <c r="M1374" t="s">
        <v>20</v>
      </c>
      <c r="N1374" t="s">
        <v>21</v>
      </c>
      <c r="O1374" t="s">
        <v>19</v>
      </c>
      <c r="P1374" t="s">
        <v>19</v>
      </c>
      <c r="Q1374" t="s">
        <v>18</v>
      </c>
    </row>
    <row r="1375" spans="1:17" x14ac:dyDescent="0.35">
      <c r="A1375">
        <v>8</v>
      </c>
      <c r="B1375">
        <v>38</v>
      </c>
      <c r="C1375" t="s">
        <v>27</v>
      </c>
      <c r="D1375">
        <v>173</v>
      </c>
      <c r="E1375">
        <v>60</v>
      </c>
      <c r="F1375" s="3">
        <v>30.852043691600201</v>
      </c>
      <c r="G1375" s="3" t="str">
        <f t="shared" si="21"/>
        <v>Obese</v>
      </c>
      <c r="H1375" t="s">
        <v>35</v>
      </c>
      <c r="I1375" t="s">
        <v>24</v>
      </c>
      <c r="J1375" t="s">
        <v>19</v>
      </c>
      <c r="K1375" t="s">
        <v>22</v>
      </c>
      <c r="L1375" t="s">
        <v>14</v>
      </c>
      <c r="M1375" t="s">
        <v>19</v>
      </c>
      <c r="N1375" t="s">
        <v>25</v>
      </c>
      <c r="O1375" t="s">
        <v>19</v>
      </c>
      <c r="P1375" t="s">
        <v>19</v>
      </c>
      <c r="Q1375" t="s">
        <v>22</v>
      </c>
    </row>
    <row r="1376" spans="1:17" x14ac:dyDescent="0.35">
      <c r="A1376">
        <v>1363</v>
      </c>
      <c r="B1376">
        <v>30</v>
      </c>
      <c r="C1376" t="s">
        <v>27</v>
      </c>
      <c r="D1376">
        <v>150</v>
      </c>
      <c r="E1376">
        <v>81</v>
      </c>
      <c r="F1376" s="3">
        <v>29.187380897940098</v>
      </c>
      <c r="G1376" s="3" t="str">
        <f t="shared" si="21"/>
        <v>Overweight</v>
      </c>
      <c r="H1376" t="s">
        <v>138</v>
      </c>
      <c r="I1376" t="s">
        <v>18</v>
      </c>
      <c r="J1376" t="s">
        <v>19</v>
      </c>
      <c r="K1376" t="s">
        <v>18</v>
      </c>
      <c r="L1376" t="s">
        <v>29</v>
      </c>
      <c r="M1376" t="s">
        <v>20</v>
      </c>
      <c r="N1376" t="s">
        <v>25</v>
      </c>
      <c r="O1376" t="s">
        <v>19</v>
      </c>
      <c r="P1376" t="s">
        <v>19</v>
      </c>
      <c r="Q1376" t="s">
        <v>22</v>
      </c>
    </row>
    <row r="1377" spans="1:17" x14ac:dyDescent="0.35">
      <c r="A1377">
        <v>1365</v>
      </c>
      <c r="B1377">
        <v>19</v>
      </c>
      <c r="C1377" t="s">
        <v>16</v>
      </c>
      <c r="D1377">
        <v>157</v>
      </c>
      <c r="E1377">
        <v>97</v>
      </c>
      <c r="F1377" s="3">
        <v>28.698698931768</v>
      </c>
      <c r="G1377" s="3" t="str">
        <f t="shared" si="21"/>
        <v>Overweight</v>
      </c>
      <c r="H1377" t="s">
        <v>1012</v>
      </c>
      <c r="I1377" t="s">
        <v>18</v>
      </c>
      <c r="J1377" t="s">
        <v>20</v>
      </c>
      <c r="K1377" t="s">
        <v>18</v>
      </c>
      <c r="L1377" t="s">
        <v>38</v>
      </c>
      <c r="M1377" t="s">
        <v>19</v>
      </c>
      <c r="N1377" t="s">
        <v>21</v>
      </c>
      <c r="O1377" t="s">
        <v>20</v>
      </c>
      <c r="P1377" t="s">
        <v>19</v>
      </c>
      <c r="Q1377" t="s">
        <v>18</v>
      </c>
    </row>
    <row r="1378" spans="1:17" x14ac:dyDescent="0.35">
      <c r="A1378">
        <v>1366</v>
      </c>
      <c r="B1378">
        <v>37</v>
      </c>
      <c r="C1378" t="s">
        <v>27</v>
      </c>
      <c r="D1378">
        <v>166</v>
      </c>
      <c r="E1378">
        <v>92</v>
      </c>
      <c r="F1378" s="3">
        <v>26.906896408199302</v>
      </c>
      <c r="G1378" s="3" t="str">
        <f t="shared" si="21"/>
        <v>Overweight</v>
      </c>
      <c r="H1378" t="s">
        <v>666</v>
      </c>
      <c r="I1378" t="s">
        <v>31</v>
      </c>
      <c r="J1378" t="s">
        <v>20</v>
      </c>
      <c r="K1378" t="s">
        <v>18</v>
      </c>
      <c r="L1378" t="s">
        <v>32</v>
      </c>
      <c r="M1378" t="s">
        <v>20</v>
      </c>
      <c r="N1378" t="s">
        <v>25</v>
      </c>
      <c r="O1378" t="s">
        <v>19</v>
      </c>
      <c r="P1378" t="s">
        <v>19</v>
      </c>
      <c r="Q1378" t="s">
        <v>22</v>
      </c>
    </row>
    <row r="1379" spans="1:17" x14ac:dyDescent="0.35">
      <c r="A1379">
        <v>419</v>
      </c>
      <c r="B1379">
        <v>38</v>
      </c>
      <c r="C1379" t="s">
        <v>27</v>
      </c>
      <c r="D1379">
        <v>184</v>
      </c>
      <c r="E1379">
        <v>74</v>
      </c>
      <c r="F1379" s="3">
        <v>26.4888550306962</v>
      </c>
      <c r="G1379" s="3" t="str">
        <f t="shared" si="21"/>
        <v>Overweight</v>
      </c>
      <c r="H1379" t="s">
        <v>401</v>
      </c>
      <c r="I1379" t="s">
        <v>24</v>
      </c>
      <c r="J1379" t="s">
        <v>19</v>
      </c>
      <c r="K1379" t="s">
        <v>22</v>
      </c>
      <c r="L1379" t="s">
        <v>38</v>
      </c>
      <c r="M1379" t="s">
        <v>19</v>
      </c>
      <c r="N1379" t="s">
        <v>21</v>
      </c>
      <c r="O1379" t="s">
        <v>20</v>
      </c>
      <c r="P1379" t="s">
        <v>20</v>
      </c>
      <c r="Q1379" t="s">
        <v>22</v>
      </c>
    </row>
    <row r="1380" spans="1:17" x14ac:dyDescent="0.35">
      <c r="A1380">
        <v>1370</v>
      </c>
      <c r="B1380">
        <v>34</v>
      </c>
      <c r="C1380" t="s">
        <v>16</v>
      </c>
      <c r="D1380">
        <v>188</v>
      </c>
      <c r="E1380">
        <v>59</v>
      </c>
      <c r="F1380" s="3">
        <v>21.690097354598802</v>
      </c>
      <c r="G1380" s="3" t="str">
        <f t="shared" si="21"/>
        <v>Normal Weight</v>
      </c>
      <c r="H1380" t="s">
        <v>235</v>
      </c>
      <c r="I1380" t="s">
        <v>24</v>
      </c>
      <c r="J1380" t="s">
        <v>20</v>
      </c>
      <c r="K1380" t="s">
        <v>18</v>
      </c>
      <c r="L1380" t="s">
        <v>32</v>
      </c>
      <c r="M1380" t="s">
        <v>19</v>
      </c>
      <c r="N1380" t="s">
        <v>25</v>
      </c>
      <c r="O1380" t="s">
        <v>19</v>
      </c>
      <c r="P1380" t="s">
        <v>19</v>
      </c>
      <c r="Q1380" t="s">
        <v>40</v>
      </c>
    </row>
    <row r="1381" spans="1:17" x14ac:dyDescent="0.35">
      <c r="A1381">
        <v>483</v>
      </c>
      <c r="B1381">
        <v>38</v>
      </c>
      <c r="C1381" t="s">
        <v>16</v>
      </c>
      <c r="D1381">
        <v>167</v>
      </c>
      <c r="E1381">
        <v>66</v>
      </c>
      <c r="F1381" s="3">
        <v>19.000837791294501</v>
      </c>
      <c r="G1381" s="3" t="str">
        <f t="shared" si="21"/>
        <v>Normal Weight</v>
      </c>
      <c r="H1381" t="s">
        <v>254</v>
      </c>
      <c r="I1381" t="s">
        <v>24</v>
      </c>
      <c r="J1381" t="s">
        <v>19</v>
      </c>
      <c r="K1381" t="s">
        <v>22</v>
      </c>
      <c r="L1381" t="s">
        <v>14</v>
      </c>
      <c r="M1381" t="s">
        <v>19</v>
      </c>
      <c r="N1381" t="s">
        <v>21</v>
      </c>
      <c r="O1381" t="s">
        <v>20</v>
      </c>
      <c r="P1381" t="s">
        <v>19</v>
      </c>
      <c r="Q1381" t="s">
        <v>22</v>
      </c>
    </row>
    <row r="1382" spans="1:17" x14ac:dyDescent="0.35">
      <c r="A1382">
        <v>652</v>
      </c>
      <c r="B1382">
        <v>38</v>
      </c>
      <c r="C1382" t="s">
        <v>27</v>
      </c>
      <c r="D1382">
        <v>157</v>
      </c>
      <c r="E1382">
        <v>65</v>
      </c>
      <c r="F1382" s="3">
        <v>33.198730446778903</v>
      </c>
      <c r="G1382" s="3" t="str">
        <f t="shared" si="21"/>
        <v>Obese</v>
      </c>
      <c r="H1382" t="s">
        <v>590</v>
      </c>
      <c r="I1382" t="s">
        <v>31</v>
      </c>
      <c r="J1382" t="s">
        <v>20</v>
      </c>
      <c r="K1382" t="s">
        <v>22</v>
      </c>
      <c r="L1382" t="s">
        <v>38</v>
      </c>
      <c r="M1382" t="s">
        <v>20</v>
      </c>
      <c r="N1382" t="s">
        <v>25</v>
      </c>
      <c r="O1382" t="s">
        <v>20</v>
      </c>
      <c r="P1382" t="s">
        <v>19</v>
      </c>
      <c r="Q1382" t="s">
        <v>40</v>
      </c>
    </row>
    <row r="1383" spans="1:17" x14ac:dyDescent="0.35">
      <c r="A1383">
        <v>1371</v>
      </c>
      <c r="B1383">
        <v>26</v>
      </c>
      <c r="C1383" t="s">
        <v>16</v>
      </c>
      <c r="D1383">
        <v>177</v>
      </c>
      <c r="E1383">
        <v>79</v>
      </c>
      <c r="F1383" s="3">
        <v>34.187287768009</v>
      </c>
      <c r="G1383" s="3" t="str">
        <f t="shared" si="21"/>
        <v>Obese</v>
      </c>
      <c r="H1383" t="s">
        <v>1015</v>
      </c>
      <c r="I1383" t="s">
        <v>31</v>
      </c>
      <c r="J1383" t="s">
        <v>19</v>
      </c>
      <c r="K1383" t="s">
        <v>18</v>
      </c>
      <c r="L1383" t="s">
        <v>32</v>
      </c>
      <c r="M1383" t="s">
        <v>20</v>
      </c>
      <c r="N1383" t="s">
        <v>25</v>
      </c>
      <c r="O1383" t="s">
        <v>19</v>
      </c>
      <c r="P1383" t="s">
        <v>20</v>
      </c>
      <c r="Q1383" t="s">
        <v>40</v>
      </c>
    </row>
    <row r="1384" spans="1:17" x14ac:dyDescent="0.35">
      <c r="A1384">
        <v>1372</v>
      </c>
      <c r="B1384">
        <v>28</v>
      </c>
      <c r="C1384" t="s">
        <v>16</v>
      </c>
      <c r="D1384">
        <v>182</v>
      </c>
      <c r="E1384">
        <v>67</v>
      </c>
      <c r="F1384" s="3">
        <v>25.243542777470399</v>
      </c>
      <c r="G1384" s="3" t="str">
        <f t="shared" si="21"/>
        <v>Overweight</v>
      </c>
      <c r="H1384" t="s">
        <v>376</v>
      </c>
      <c r="I1384" t="s">
        <v>18</v>
      </c>
      <c r="J1384" t="s">
        <v>19</v>
      </c>
      <c r="K1384" t="s">
        <v>18</v>
      </c>
      <c r="L1384" t="s">
        <v>32</v>
      </c>
      <c r="M1384" t="s">
        <v>19</v>
      </c>
      <c r="N1384" t="s">
        <v>25</v>
      </c>
      <c r="O1384" t="s">
        <v>20</v>
      </c>
      <c r="P1384" t="s">
        <v>19</v>
      </c>
      <c r="Q1384" t="s">
        <v>40</v>
      </c>
    </row>
    <row r="1385" spans="1:17" x14ac:dyDescent="0.35">
      <c r="A1385">
        <v>911</v>
      </c>
      <c r="B1385">
        <v>38</v>
      </c>
      <c r="C1385" t="s">
        <v>16</v>
      </c>
      <c r="D1385">
        <v>154</v>
      </c>
      <c r="E1385">
        <v>92</v>
      </c>
      <c r="F1385" s="3">
        <v>30.581616904151598</v>
      </c>
      <c r="G1385" s="3" t="str">
        <f t="shared" si="21"/>
        <v>Obese</v>
      </c>
      <c r="H1385" t="s">
        <v>748</v>
      </c>
      <c r="I1385" t="s">
        <v>18</v>
      </c>
      <c r="J1385" t="s">
        <v>20</v>
      </c>
      <c r="K1385" t="s">
        <v>22</v>
      </c>
      <c r="L1385" t="s">
        <v>14</v>
      </c>
      <c r="M1385" t="s">
        <v>20</v>
      </c>
      <c r="N1385" t="s">
        <v>21</v>
      </c>
      <c r="O1385" t="s">
        <v>20</v>
      </c>
      <c r="P1385" t="s">
        <v>19</v>
      </c>
      <c r="Q1385" t="s">
        <v>18</v>
      </c>
    </row>
    <row r="1386" spans="1:17" x14ac:dyDescent="0.35">
      <c r="A1386">
        <v>914</v>
      </c>
      <c r="B1386">
        <v>38</v>
      </c>
      <c r="C1386" t="s">
        <v>16</v>
      </c>
      <c r="D1386">
        <v>171</v>
      </c>
      <c r="E1386">
        <v>74</v>
      </c>
      <c r="F1386" s="3">
        <v>28.209115467481901</v>
      </c>
      <c r="G1386" s="3" t="str">
        <f t="shared" si="21"/>
        <v>Overweight</v>
      </c>
      <c r="H1386" t="s">
        <v>124</v>
      </c>
      <c r="I1386" t="s">
        <v>18</v>
      </c>
      <c r="J1386" t="s">
        <v>19</v>
      </c>
      <c r="K1386" t="s">
        <v>22</v>
      </c>
      <c r="L1386" t="s">
        <v>38</v>
      </c>
      <c r="M1386" t="s">
        <v>19</v>
      </c>
      <c r="N1386" t="s">
        <v>25</v>
      </c>
      <c r="O1386" t="s">
        <v>19</v>
      </c>
      <c r="P1386" t="s">
        <v>19</v>
      </c>
      <c r="Q1386" t="s">
        <v>40</v>
      </c>
    </row>
    <row r="1387" spans="1:17" x14ac:dyDescent="0.35">
      <c r="A1387">
        <v>1002</v>
      </c>
      <c r="B1387">
        <v>38</v>
      </c>
      <c r="C1387" t="s">
        <v>16</v>
      </c>
      <c r="D1387">
        <v>169</v>
      </c>
      <c r="E1387">
        <v>93</v>
      </c>
      <c r="F1387" s="3">
        <v>24.583965065268899</v>
      </c>
      <c r="G1387" s="3" t="str">
        <f t="shared" si="21"/>
        <v>Normal Weight</v>
      </c>
      <c r="H1387" t="s">
        <v>180</v>
      </c>
      <c r="I1387" t="s">
        <v>18</v>
      </c>
      <c r="J1387" t="s">
        <v>20</v>
      </c>
      <c r="K1387" t="s">
        <v>22</v>
      </c>
      <c r="L1387" t="s">
        <v>14</v>
      </c>
      <c r="M1387" t="s">
        <v>19</v>
      </c>
      <c r="N1387" t="s">
        <v>25</v>
      </c>
      <c r="O1387" t="s">
        <v>20</v>
      </c>
      <c r="P1387" t="s">
        <v>19</v>
      </c>
      <c r="Q1387" t="s">
        <v>18</v>
      </c>
    </row>
    <row r="1388" spans="1:17" x14ac:dyDescent="0.35">
      <c r="A1388">
        <v>1373</v>
      </c>
      <c r="B1388">
        <v>32</v>
      </c>
      <c r="C1388" t="s">
        <v>16</v>
      </c>
      <c r="D1388">
        <v>186</v>
      </c>
      <c r="E1388">
        <v>73</v>
      </c>
      <c r="F1388" s="3">
        <v>26.200272071209199</v>
      </c>
      <c r="G1388" s="3" t="str">
        <f t="shared" si="21"/>
        <v>Overweight</v>
      </c>
      <c r="H1388" t="s">
        <v>514</v>
      </c>
      <c r="I1388" t="s">
        <v>18</v>
      </c>
      <c r="J1388" t="s">
        <v>20</v>
      </c>
      <c r="K1388" t="s">
        <v>18</v>
      </c>
      <c r="L1388" t="s">
        <v>38</v>
      </c>
      <c r="M1388" t="s">
        <v>20</v>
      </c>
      <c r="N1388" t="s">
        <v>25</v>
      </c>
      <c r="O1388" t="s">
        <v>20</v>
      </c>
      <c r="P1388" t="s">
        <v>19</v>
      </c>
      <c r="Q1388" t="s">
        <v>22</v>
      </c>
    </row>
    <row r="1389" spans="1:17" x14ac:dyDescent="0.35">
      <c r="A1389">
        <v>1376</v>
      </c>
      <c r="B1389">
        <v>72</v>
      </c>
      <c r="C1389" t="s">
        <v>27</v>
      </c>
      <c r="D1389">
        <v>170</v>
      </c>
      <c r="E1389">
        <v>64</v>
      </c>
      <c r="F1389" s="3">
        <v>30.333493876271501</v>
      </c>
      <c r="G1389" s="3" t="str">
        <f t="shared" si="21"/>
        <v>Obese</v>
      </c>
      <c r="H1389" t="s">
        <v>85</v>
      </c>
      <c r="I1389" t="s">
        <v>31</v>
      </c>
      <c r="J1389" t="s">
        <v>20</v>
      </c>
      <c r="K1389" t="s">
        <v>40</v>
      </c>
      <c r="L1389" t="s">
        <v>14</v>
      </c>
      <c r="M1389" t="s">
        <v>20</v>
      </c>
      <c r="N1389" t="s">
        <v>21</v>
      </c>
      <c r="O1389" t="s">
        <v>19</v>
      </c>
      <c r="P1389" t="s">
        <v>19</v>
      </c>
      <c r="Q1389" t="s">
        <v>40</v>
      </c>
    </row>
    <row r="1390" spans="1:17" x14ac:dyDescent="0.35">
      <c r="A1390">
        <v>1381</v>
      </c>
      <c r="B1390">
        <v>22</v>
      </c>
      <c r="C1390" t="s">
        <v>27</v>
      </c>
      <c r="D1390">
        <v>186</v>
      </c>
      <c r="E1390">
        <v>58</v>
      </c>
      <c r="F1390" s="3">
        <v>21.2759035552901</v>
      </c>
      <c r="G1390" s="3" t="str">
        <f t="shared" si="21"/>
        <v>Normal Weight</v>
      </c>
      <c r="H1390" t="s">
        <v>59</v>
      </c>
      <c r="I1390" t="s">
        <v>31</v>
      </c>
      <c r="J1390" t="s">
        <v>19</v>
      </c>
      <c r="K1390" t="s">
        <v>18</v>
      </c>
      <c r="L1390" t="s">
        <v>29</v>
      </c>
      <c r="M1390" t="s">
        <v>20</v>
      </c>
      <c r="N1390" t="s">
        <v>25</v>
      </c>
      <c r="O1390" t="s">
        <v>19</v>
      </c>
      <c r="P1390" t="s">
        <v>20</v>
      </c>
      <c r="Q1390" t="s">
        <v>40</v>
      </c>
    </row>
    <row r="1391" spans="1:17" x14ac:dyDescent="0.35">
      <c r="A1391">
        <v>1156</v>
      </c>
      <c r="B1391">
        <v>38</v>
      </c>
      <c r="C1391" t="s">
        <v>27</v>
      </c>
      <c r="D1391">
        <v>181</v>
      </c>
      <c r="E1391">
        <v>55</v>
      </c>
      <c r="F1391" s="3">
        <v>24.708278933951899</v>
      </c>
      <c r="G1391" s="3" t="str">
        <f t="shared" si="21"/>
        <v>Normal Weight</v>
      </c>
      <c r="H1391" t="s">
        <v>898</v>
      </c>
      <c r="I1391" t="s">
        <v>31</v>
      </c>
      <c r="J1391" t="s">
        <v>20</v>
      </c>
      <c r="K1391" t="s">
        <v>22</v>
      </c>
      <c r="L1391" t="s">
        <v>32</v>
      </c>
      <c r="M1391" t="s">
        <v>19</v>
      </c>
      <c r="N1391" t="s">
        <v>21</v>
      </c>
      <c r="O1391" t="s">
        <v>20</v>
      </c>
      <c r="P1391" t="s">
        <v>19</v>
      </c>
      <c r="Q1391" t="s">
        <v>22</v>
      </c>
    </row>
    <row r="1392" spans="1:17" x14ac:dyDescent="0.35">
      <c r="A1392">
        <v>1385</v>
      </c>
      <c r="B1392">
        <v>67</v>
      </c>
      <c r="C1392" t="s">
        <v>27</v>
      </c>
      <c r="D1392">
        <v>183</v>
      </c>
      <c r="E1392">
        <v>65</v>
      </c>
      <c r="F1392" s="3">
        <v>22.583139190346898</v>
      </c>
      <c r="G1392" s="3" t="str">
        <f t="shared" si="21"/>
        <v>Normal Weight</v>
      </c>
      <c r="H1392" t="s">
        <v>519</v>
      </c>
      <c r="I1392" t="s">
        <v>31</v>
      </c>
      <c r="J1392" t="s">
        <v>20</v>
      </c>
      <c r="K1392" t="s">
        <v>18</v>
      </c>
      <c r="L1392" t="s">
        <v>14</v>
      </c>
      <c r="M1392" t="s">
        <v>20</v>
      </c>
      <c r="N1392" t="s">
        <v>25</v>
      </c>
      <c r="O1392" t="s">
        <v>19</v>
      </c>
      <c r="P1392" t="s">
        <v>20</v>
      </c>
      <c r="Q1392" t="s">
        <v>40</v>
      </c>
    </row>
    <row r="1393" spans="1:17" x14ac:dyDescent="0.35">
      <c r="A1393">
        <v>1387</v>
      </c>
      <c r="B1393">
        <v>70</v>
      </c>
      <c r="C1393" t="s">
        <v>27</v>
      </c>
      <c r="D1393">
        <v>160</v>
      </c>
      <c r="E1393">
        <v>84</v>
      </c>
      <c r="F1393" s="3">
        <v>29.241033796105899</v>
      </c>
      <c r="G1393" s="3" t="str">
        <f t="shared" si="21"/>
        <v>Overweight</v>
      </c>
      <c r="H1393" t="s">
        <v>164</v>
      </c>
      <c r="I1393" t="s">
        <v>31</v>
      </c>
      <c r="J1393" t="s">
        <v>19</v>
      </c>
      <c r="K1393" t="s">
        <v>40</v>
      </c>
      <c r="L1393" t="s">
        <v>32</v>
      </c>
      <c r="M1393" t="s">
        <v>19</v>
      </c>
      <c r="N1393" t="s">
        <v>21</v>
      </c>
      <c r="O1393" t="s">
        <v>20</v>
      </c>
      <c r="P1393" t="s">
        <v>19</v>
      </c>
      <c r="Q1393" t="s">
        <v>18</v>
      </c>
    </row>
    <row r="1394" spans="1:17" x14ac:dyDescent="0.35">
      <c r="A1394">
        <v>1408</v>
      </c>
      <c r="B1394">
        <v>38</v>
      </c>
      <c r="C1394" t="s">
        <v>16</v>
      </c>
      <c r="D1394">
        <v>170</v>
      </c>
      <c r="E1394">
        <v>79</v>
      </c>
      <c r="F1394" s="3">
        <v>26.251771303903201</v>
      </c>
      <c r="G1394" s="3" t="str">
        <f t="shared" si="21"/>
        <v>Overweight</v>
      </c>
      <c r="H1394" t="s">
        <v>1030</v>
      </c>
      <c r="I1394" t="s">
        <v>24</v>
      </c>
      <c r="J1394" t="s">
        <v>19</v>
      </c>
      <c r="K1394" t="s">
        <v>22</v>
      </c>
      <c r="L1394" t="s">
        <v>29</v>
      </c>
      <c r="M1394" t="s">
        <v>20</v>
      </c>
      <c r="N1394" t="s">
        <v>25</v>
      </c>
      <c r="O1394" t="s">
        <v>20</v>
      </c>
      <c r="P1394" t="s">
        <v>20</v>
      </c>
      <c r="Q1394" t="s">
        <v>22</v>
      </c>
    </row>
    <row r="1395" spans="1:17" x14ac:dyDescent="0.35">
      <c r="A1395">
        <v>1565</v>
      </c>
      <c r="B1395">
        <v>38</v>
      </c>
      <c r="C1395" t="s">
        <v>27</v>
      </c>
      <c r="D1395">
        <v>158</v>
      </c>
      <c r="E1395">
        <v>67</v>
      </c>
      <c r="F1395" s="3">
        <v>22.223465620358901</v>
      </c>
      <c r="G1395" s="3" t="str">
        <f t="shared" si="21"/>
        <v>Normal Weight</v>
      </c>
      <c r="H1395" t="s">
        <v>857</v>
      </c>
      <c r="I1395" t="s">
        <v>18</v>
      </c>
      <c r="J1395" t="s">
        <v>19</v>
      </c>
      <c r="K1395" t="s">
        <v>22</v>
      </c>
      <c r="L1395" t="s">
        <v>14</v>
      </c>
      <c r="M1395" t="s">
        <v>19</v>
      </c>
      <c r="N1395" t="s">
        <v>25</v>
      </c>
      <c r="O1395" t="s">
        <v>19</v>
      </c>
      <c r="P1395" t="s">
        <v>19</v>
      </c>
      <c r="Q1395" t="s">
        <v>22</v>
      </c>
    </row>
    <row r="1396" spans="1:17" x14ac:dyDescent="0.35">
      <c r="A1396">
        <v>1388</v>
      </c>
      <c r="B1396">
        <v>73</v>
      </c>
      <c r="C1396" t="s">
        <v>16</v>
      </c>
      <c r="D1396">
        <v>162</v>
      </c>
      <c r="E1396">
        <v>54</v>
      </c>
      <c r="F1396" s="3">
        <v>32.1045316516988</v>
      </c>
      <c r="G1396" s="3" t="str">
        <f t="shared" si="21"/>
        <v>Obese</v>
      </c>
      <c r="H1396" t="s">
        <v>1002</v>
      </c>
      <c r="I1396" t="s">
        <v>31</v>
      </c>
      <c r="J1396" t="s">
        <v>20</v>
      </c>
      <c r="K1396" t="s">
        <v>40</v>
      </c>
      <c r="L1396" t="s">
        <v>29</v>
      </c>
      <c r="M1396" t="s">
        <v>19</v>
      </c>
      <c r="N1396" t="s">
        <v>21</v>
      </c>
      <c r="O1396" t="s">
        <v>19</v>
      </c>
      <c r="P1396" t="s">
        <v>19</v>
      </c>
      <c r="Q1396" t="s">
        <v>22</v>
      </c>
    </row>
    <row r="1397" spans="1:17" x14ac:dyDescent="0.35">
      <c r="A1397">
        <v>1623</v>
      </c>
      <c r="B1397">
        <v>38</v>
      </c>
      <c r="C1397" t="s">
        <v>27</v>
      </c>
      <c r="D1397">
        <v>187</v>
      </c>
      <c r="E1397">
        <v>65</v>
      </c>
      <c r="F1397" s="3">
        <v>24.6131087114819</v>
      </c>
      <c r="G1397" s="3" t="str">
        <f t="shared" si="21"/>
        <v>Normal Weight</v>
      </c>
      <c r="H1397" t="s">
        <v>728</v>
      </c>
      <c r="I1397" t="s">
        <v>18</v>
      </c>
      <c r="J1397" t="s">
        <v>19</v>
      </c>
      <c r="K1397" t="s">
        <v>22</v>
      </c>
      <c r="L1397" t="s">
        <v>14</v>
      </c>
      <c r="M1397" t="s">
        <v>20</v>
      </c>
      <c r="N1397" t="s">
        <v>25</v>
      </c>
      <c r="O1397" t="s">
        <v>20</v>
      </c>
      <c r="P1397" t="s">
        <v>20</v>
      </c>
      <c r="Q1397" t="s">
        <v>40</v>
      </c>
    </row>
    <row r="1398" spans="1:17" x14ac:dyDescent="0.35">
      <c r="A1398">
        <v>1728</v>
      </c>
      <c r="B1398">
        <v>38</v>
      </c>
      <c r="C1398" t="s">
        <v>16</v>
      </c>
      <c r="D1398">
        <v>161</v>
      </c>
      <c r="E1398">
        <v>96</v>
      </c>
      <c r="F1398" s="3">
        <v>23.6045812743202</v>
      </c>
      <c r="G1398" s="3" t="str">
        <f t="shared" si="21"/>
        <v>Normal Weight</v>
      </c>
      <c r="H1398" t="s">
        <v>142</v>
      </c>
      <c r="I1398" t="s">
        <v>24</v>
      </c>
      <c r="J1398" t="s">
        <v>20</v>
      </c>
      <c r="K1398" t="s">
        <v>22</v>
      </c>
      <c r="L1398" t="s">
        <v>29</v>
      </c>
      <c r="M1398" t="s">
        <v>19</v>
      </c>
      <c r="N1398" t="s">
        <v>25</v>
      </c>
      <c r="O1398" t="s">
        <v>19</v>
      </c>
      <c r="P1398" t="s">
        <v>20</v>
      </c>
      <c r="Q1398" t="s">
        <v>18</v>
      </c>
    </row>
    <row r="1399" spans="1:17" x14ac:dyDescent="0.35">
      <c r="A1399">
        <v>1739</v>
      </c>
      <c r="B1399">
        <v>38</v>
      </c>
      <c r="C1399" t="s">
        <v>27</v>
      </c>
      <c r="D1399">
        <v>167</v>
      </c>
      <c r="E1399">
        <v>90</v>
      </c>
      <c r="F1399" s="3">
        <v>27.770969777984899</v>
      </c>
      <c r="G1399" s="3" t="str">
        <f t="shared" si="21"/>
        <v>Overweight</v>
      </c>
      <c r="H1399" t="s">
        <v>681</v>
      </c>
      <c r="I1399" t="s">
        <v>24</v>
      </c>
      <c r="J1399" t="s">
        <v>19</v>
      </c>
      <c r="K1399" t="s">
        <v>22</v>
      </c>
      <c r="L1399" t="s">
        <v>29</v>
      </c>
      <c r="M1399" t="s">
        <v>20</v>
      </c>
      <c r="N1399" t="s">
        <v>25</v>
      </c>
      <c r="O1399" t="s">
        <v>20</v>
      </c>
      <c r="P1399" t="s">
        <v>20</v>
      </c>
      <c r="Q1399" t="s">
        <v>18</v>
      </c>
    </row>
    <row r="1400" spans="1:17" x14ac:dyDescent="0.35">
      <c r="A1400">
        <v>1391</v>
      </c>
      <c r="B1400">
        <v>51</v>
      </c>
      <c r="C1400" t="s">
        <v>27</v>
      </c>
      <c r="D1400">
        <v>156</v>
      </c>
      <c r="E1400">
        <v>64</v>
      </c>
      <c r="F1400" s="3">
        <v>23.015495351203999</v>
      </c>
      <c r="G1400" s="3" t="str">
        <f t="shared" si="21"/>
        <v>Normal Weight</v>
      </c>
      <c r="H1400" t="s">
        <v>1022</v>
      </c>
      <c r="I1400" t="s">
        <v>18</v>
      </c>
      <c r="J1400" t="s">
        <v>19</v>
      </c>
      <c r="K1400" t="s">
        <v>18</v>
      </c>
      <c r="L1400" t="s">
        <v>38</v>
      </c>
      <c r="M1400" t="s">
        <v>20</v>
      </c>
      <c r="N1400" t="s">
        <v>25</v>
      </c>
      <c r="O1400" t="s">
        <v>20</v>
      </c>
      <c r="P1400" t="s">
        <v>20</v>
      </c>
      <c r="Q1400" t="s">
        <v>18</v>
      </c>
    </row>
    <row r="1401" spans="1:17" x14ac:dyDescent="0.35">
      <c r="A1401">
        <v>1826</v>
      </c>
      <c r="B1401">
        <v>38</v>
      </c>
      <c r="C1401" t="s">
        <v>27</v>
      </c>
      <c r="D1401">
        <v>186</v>
      </c>
      <c r="E1401">
        <v>64</v>
      </c>
      <c r="F1401" s="3">
        <v>26.451352757314599</v>
      </c>
      <c r="G1401" s="3" t="str">
        <f t="shared" si="21"/>
        <v>Overweight</v>
      </c>
      <c r="H1401" t="s">
        <v>1213</v>
      </c>
      <c r="I1401" t="s">
        <v>31</v>
      </c>
      <c r="J1401" t="s">
        <v>19</v>
      </c>
      <c r="K1401" t="s">
        <v>22</v>
      </c>
      <c r="L1401" t="s">
        <v>38</v>
      </c>
      <c r="M1401" t="s">
        <v>20</v>
      </c>
      <c r="N1401" t="s">
        <v>25</v>
      </c>
      <c r="O1401" t="s">
        <v>20</v>
      </c>
      <c r="P1401" t="s">
        <v>19</v>
      </c>
      <c r="Q1401" t="s">
        <v>22</v>
      </c>
    </row>
    <row r="1402" spans="1:17" x14ac:dyDescent="0.35">
      <c r="A1402">
        <v>1843</v>
      </c>
      <c r="B1402">
        <v>38</v>
      </c>
      <c r="C1402" t="s">
        <v>27</v>
      </c>
      <c r="D1402">
        <v>162</v>
      </c>
      <c r="E1402">
        <v>72</v>
      </c>
      <c r="F1402" s="3">
        <v>20.1177348788305</v>
      </c>
      <c r="G1402" s="3" t="str">
        <f t="shared" si="21"/>
        <v>Normal Weight</v>
      </c>
      <c r="H1402" t="s">
        <v>525</v>
      </c>
      <c r="I1402" t="s">
        <v>24</v>
      </c>
      <c r="J1402" t="s">
        <v>20</v>
      </c>
      <c r="K1402" t="s">
        <v>22</v>
      </c>
      <c r="L1402" t="s">
        <v>14</v>
      </c>
      <c r="M1402" t="s">
        <v>20</v>
      </c>
      <c r="N1402" t="s">
        <v>21</v>
      </c>
      <c r="O1402" t="s">
        <v>20</v>
      </c>
      <c r="P1402" t="s">
        <v>19</v>
      </c>
      <c r="Q1402" t="s">
        <v>22</v>
      </c>
    </row>
    <row r="1403" spans="1:17" x14ac:dyDescent="0.35">
      <c r="A1403">
        <v>1392</v>
      </c>
      <c r="B1403">
        <v>29</v>
      </c>
      <c r="C1403" t="s">
        <v>27</v>
      </c>
      <c r="D1403">
        <v>173</v>
      </c>
      <c r="E1403">
        <v>67</v>
      </c>
      <c r="F1403" s="3">
        <v>34.670090142747398</v>
      </c>
      <c r="G1403" s="3" t="str">
        <f t="shared" si="21"/>
        <v>Obese</v>
      </c>
      <c r="H1403" t="s">
        <v>1023</v>
      </c>
      <c r="I1403" t="s">
        <v>18</v>
      </c>
      <c r="J1403" t="s">
        <v>20</v>
      </c>
      <c r="K1403" t="s">
        <v>18</v>
      </c>
      <c r="L1403" t="s">
        <v>29</v>
      </c>
      <c r="M1403" t="s">
        <v>20</v>
      </c>
      <c r="N1403" t="s">
        <v>21</v>
      </c>
      <c r="O1403" t="s">
        <v>20</v>
      </c>
      <c r="P1403" t="s">
        <v>19</v>
      </c>
      <c r="Q1403" t="s">
        <v>22</v>
      </c>
    </row>
    <row r="1404" spans="1:17" x14ac:dyDescent="0.35">
      <c r="A1404">
        <v>1940</v>
      </c>
      <c r="B1404">
        <v>38</v>
      </c>
      <c r="C1404" t="s">
        <v>27</v>
      </c>
      <c r="D1404">
        <v>163</v>
      </c>
      <c r="E1404">
        <v>58</v>
      </c>
      <c r="F1404" s="3">
        <v>33.2878981109112</v>
      </c>
      <c r="G1404" s="3" t="str">
        <f t="shared" si="21"/>
        <v>Obese</v>
      </c>
      <c r="H1404" t="s">
        <v>1252</v>
      </c>
      <c r="I1404" t="s">
        <v>18</v>
      </c>
      <c r="J1404" t="s">
        <v>20</v>
      </c>
      <c r="K1404" t="s">
        <v>22</v>
      </c>
      <c r="L1404" t="s">
        <v>29</v>
      </c>
      <c r="M1404" t="s">
        <v>19</v>
      </c>
      <c r="N1404" t="s">
        <v>25</v>
      </c>
      <c r="O1404" t="s">
        <v>20</v>
      </c>
      <c r="P1404" t="s">
        <v>19</v>
      </c>
      <c r="Q1404" t="s">
        <v>40</v>
      </c>
    </row>
    <row r="1405" spans="1:17" x14ac:dyDescent="0.35">
      <c r="A1405">
        <v>1393</v>
      </c>
      <c r="B1405">
        <v>52</v>
      </c>
      <c r="C1405" t="s">
        <v>16</v>
      </c>
      <c r="D1405">
        <v>153</v>
      </c>
      <c r="E1405">
        <v>96</v>
      </c>
      <c r="F1405" s="3">
        <v>28.3382664913395</v>
      </c>
      <c r="G1405" s="3" t="str">
        <f t="shared" si="21"/>
        <v>Overweight</v>
      </c>
      <c r="H1405" t="s">
        <v>237</v>
      </c>
      <c r="I1405" t="s">
        <v>18</v>
      </c>
      <c r="J1405" t="s">
        <v>19</v>
      </c>
      <c r="K1405" t="s">
        <v>18</v>
      </c>
      <c r="L1405" t="s">
        <v>38</v>
      </c>
      <c r="M1405" t="s">
        <v>20</v>
      </c>
      <c r="N1405" t="s">
        <v>21</v>
      </c>
      <c r="O1405" t="s">
        <v>20</v>
      </c>
      <c r="P1405" t="s">
        <v>19</v>
      </c>
      <c r="Q1405" t="s">
        <v>18</v>
      </c>
    </row>
    <row r="1406" spans="1:17" x14ac:dyDescent="0.35">
      <c r="A1406">
        <v>1394</v>
      </c>
      <c r="B1406">
        <v>52</v>
      </c>
      <c r="C1406" t="s">
        <v>27</v>
      </c>
      <c r="D1406">
        <v>177</v>
      </c>
      <c r="E1406">
        <v>51</v>
      </c>
      <c r="F1406" s="3">
        <v>30.210661899216799</v>
      </c>
      <c r="G1406" s="3" t="str">
        <f t="shared" si="21"/>
        <v>Obese</v>
      </c>
      <c r="H1406" t="s">
        <v>663</v>
      </c>
      <c r="I1406" t="s">
        <v>24</v>
      </c>
      <c r="J1406" t="s">
        <v>20</v>
      </c>
      <c r="K1406" t="s">
        <v>18</v>
      </c>
      <c r="L1406" t="s">
        <v>14</v>
      </c>
      <c r="M1406" t="s">
        <v>19</v>
      </c>
      <c r="N1406" t="s">
        <v>21</v>
      </c>
      <c r="O1406" t="s">
        <v>19</v>
      </c>
      <c r="P1406" t="s">
        <v>19</v>
      </c>
      <c r="Q1406" t="s">
        <v>18</v>
      </c>
    </row>
    <row r="1407" spans="1:17" x14ac:dyDescent="0.35">
      <c r="A1407">
        <v>1396</v>
      </c>
      <c r="B1407">
        <v>57</v>
      </c>
      <c r="C1407" t="s">
        <v>27</v>
      </c>
      <c r="D1407">
        <v>150</v>
      </c>
      <c r="E1407">
        <v>62</v>
      </c>
      <c r="F1407" s="3">
        <v>27.050394581011499</v>
      </c>
      <c r="G1407" s="3" t="str">
        <f t="shared" si="21"/>
        <v>Overweight</v>
      </c>
      <c r="H1407" t="s">
        <v>594</v>
      </c>
      <c r="I1407" t="s">
        <v>31</v>
      </c>
      <c r="J1407" t="s">
        <v>19</v>
      </c>
      <c r="K1407" t="s">
        <v>18</v>
      </c>
      <c r="L1407" t="s">
        <v>38</v>
      </c>
      <c r="M1407" t="s">
        <v>20</v>
      </c>
      <c r="N1407" t="s">
        <v>21</v>
      </c>
      <c r="O1407" t="s">
        <v>20</v>
      </c>
      <c r="P1407" t="s">
        <v>19</v>
      </c>
      <c r="Q1407" t="s">
        <v>40</v>
      </c>
    </row>
    <row r="1408" spans="1:17" x14ac:dyDescent="0.35">
      <c r="A1408">
        <v>1399</v>
      </c>
      <c r="B1408">
        <v>46</v>
      </c>
      <c r="C1408" t="s">
        <v>27</v>
      </c>
      <c r="D1408">
        <v>187</v>
      </c>
      <c r="E1408">
        <v>94</v>
      </c>
      <c r="F1408" s="3">
        <v>33.692719018995199</v>
      </c>
      <c r="G1408" s="3" t="str">
        <f t="shared" si="21"/>
        <v>Obese</v>
      </c>
      <c r="H1408" t="s">
        <v>1026</v>
      </c>
      <c r="I1408" t="s">
        <v>18</v>
      </c>
      <c r="J1408" t="s">
        <v>20</v>
      </c>
      <c r="K1408" t="s">
        <v>18</v>
      </c>
      <c r="L1408" t="s">
        <v>38</v>
      </c>
      <c r="M1408" t="s">
        <v>19</v>
      </c>
      <c r="N1408" t="s">
        <v>21</v>
      </c>
      <c r="O1408" t="s">
        <v>19</v>
      </c>
      <c r="P1408" t="s">
        <v>19</v>
      </c>
      <c r="Q1408" t="s">
        <v>40</v>
      </c>
    </row>
    <row r="1409" spans="1:17" x14ac:dyDescent="0.35">
      <c r="A1409">
        <v>1401</v>
      </c>
      <c r="B1409">
        <v>28</v>
      </c>
      <c r="C1409" t="s">
        <v>16</v>
      </c>
      <c r="D1409">
        <v>187</v>
      </c>
      <c r="E1409">
        <v>80</v>
      </c>
      <c r="F1409" s="3">
        <v>27.4191191439172</v>
      </c>
      <c r="G1409" s="3" t="str">
        <f t="shared" si="21"/>
        <v>Overweight</v>
      </c>
      <c r="H1409" t="s">
        <v>133</v>
      </c>
      <c r="I1409" t="s">
        <v>18</v>
      </c>
      <c r="J1409" t="s">
        <v>19</v>
      </c>
      <c r="K1409" t="s">
        <v>18</v>
      </c>
      <c r="L1409" t="s">
        <v>32</v>
      </c>
      <c r="M1409" t="s">
        <v>20</v>
      </c>
      <c r="N1409" t="s">
        <v>25</v>
      </c>
      <c r="O1409" t="s">
        <v>20</v>
      </c>
      <c r="P1409" t="s">
        <v>20</v>
      </c>
      <c r="Q1409" t="s">
        <v>22</v>
      </c>
    </row>
    <row r="1410" spans="1:17" x14ac:dyDescent="0.35">
      <c r="A1410">
        <v>383</v>
      </c>
      <c r="B1410">
        <v>37</v>
      </c>
      <c r="C1410" t="s">
        <v>27</v>
      </c>
      <c r="D1410">
        <v>162</v>
      </c>
      <c r="E1410">
        <v>53</v>
      </c>
      <c r="F1410" s="3">
        <v>33.508323953330503</v>
      </c>
      <c r="G1410" s="3" t="str">
        <f t="shared" si="21"/>
        <v>Obese</v>
      </c>
      <c r="H1410" t="s">
        <v>380</v>
      </c>
      <c r="I1410" t="s">
        <v>18</v>
      </c>
      <c r="J1410" t="s">
        <v>19</v>
      </c>
      <c r="K1410" t="s">
        <v>22</v>
      </c>
      <c r="L1410" t="s">
        <v>38</v>
      </c>
      <c r="M1410" t="s">
        <v>20</v>
      </c>
      <c r="N1410" t="s">
        <v>25</v>
      </c>
      <c r="O1410" t="s">
        <v>19</v>
      </c>
      <c r="P1410" t="s">
        <v>20</v>
      </c>
      <c r="Q1410" t="s">
        <v>22</v>
      </c>
    </row>
    <row r="1411" spans="1:17" x14ac:dyDescent="0.35">
      <c r="A1411">
        <v>1402</v>
      </c>
      <c r="B1411">
        <v>58</v>
      </c>
      <c r="C1411" t="s">
        <v>27</v>
      </c>
      <c r="D1411">
        <v>187</v>
      </c>
      <c r="E1411">
        <v>90</v>
      </c>
      <c r="F1411" s="3">
        <v>26.060379286661501</v>
      </c>
      <c r="G1411" s="3" t="str">
        <f t="shared" ref="G1411:G1474" si="22">_xlfn.IFS(F1411&lt;18.5, "Underweight", F1411&lt;=24.9, "Normal Weight", F1411&lt;=29.9, "Overweight", TRUE, "Obese")</f>
        <v>Overweight</v>
      </c>
      <c r="H1411" t="s">
        <v>589</v>
      </c>
      <c r="I1411" t="s">
        <v>24</v>
      </c>
      <c r="J1411" t="s">
        <v>19</v>
      </c>
      <c r="K1411" t="s">
        <v>18</v>
      </c>
      <c r="L1411" t="s">
        <v>29</v>
      </c>
      <c r="M1411" t="s">
        <v>20</v>
      </c>
      <c r="N1411" t="s">
        <v>21</v>
      </c>
      <c r="O1411" t="s">
        <v>19</v>
      </c>
      <c r="P1411" t="s">
        <v>20</v>
      </c>
      <c r="Q1411" t="s">
        <v>18</v>
      </c>
    </row>
    <row r="1412" spans="1:17" x14ac:dyDescent="0.35">
      <c r="A1412">
        <v>1403</v>
      </c>
      <c r="B1412">
        <v>54</v>
      </c>
      <c r="C1412" t="s">
        <v>16</v>
      </c>
      <c r="D1412">
        <v>170</v>
      </c>
      <c r="E1412">
        <v>57</v>
      </c>
      <c r="F1412" s="3">
        <v>34.092782055100102</v>
      </c>
      <c r="G1412" s="3" t="str">
        <f t="shared" si="22"/>
        <v>Obese</v>
      </c>
      <c r="H1412" t="s">
        <v>1027</v>
      </c>
      <c r="I1412" t="s">
        <v>18</v>
      </c>
      <c r="J1412" t="s">
        <v>19</v>
      </c>
      <c r="K1412" t="s">
        <v>18</v>
      </c>
      <c r="L1412" t="s">
        <v>14</v>
      </c>
      <c r="M1412" t="s">
        <v>20</v>
      </c>
      <c r="N1412" t="s">
        <v>25</v>
      </c>
      <c r="O1412" t="s">
        <v>20</v>
      </c>
      <c r="P1412" t="s">
        <v>20</v>
      </c>
      <c r="Q1412" t="s">
        <v>22</v>
      </c>
    </row>
    <row r="1413" spans="1:17" x14ac:dyDescent="0.35">
      <c r="A1413">
        <v>1406</v>
      </c>
      <c r="B1413">
        <v>47</v>
      </c>
      <c r="C1413" t="s">
        <v>16</v>
      </c>
      <c r="D1413">
        <v>159</v>
      </c>
      <c r="E1413">
        <v>95</v>
      </c>
      <c r="F1413" s="3">
        <v>26.1844720315137</v>
      </c>
      <c r="G1413" s="3" t="str">
        <f t="shared" si="22"/>
        <v>Overweight</v>
      </c>
      <c r="H1413" t="s">
        <v>1029</v>
      </c>
      <c r="I1413" t="s">
        <v>24</v>
      </c>
      <c r="J1413" t="s">
        <v>20</v>
      </c>
      <c r="K1413" t="s">
        <v>18</v>
      </c>
      <c r="L1413" t="s">
        <v>29</v>
      </c>
      <c r="M1413" t="s">
        <v>20</v>
      </c>
      <c r="N1413" t="s">
        <v>21</v>
      </c>
      <c r="O1413" t="s">
        <v>20</v>
      </c>
      <c r="P1413" t="s">
        <v>19</v>
      </c>
      <c r="Q1413" t="s">
        <v>40</v>
      </c>
    </row>
    <row r="1414" spans="1:17" x14ac:dyDescent="0.35">
      <c r="A1414">
        <v>1412</v>
      </c>
      <c r="B1414">
        <v>76</v>
      </c>
      <c r="C1414" t="s">
        <v>27</v>
      </c>
      <c r="D1414">
        <v>168</v>
      </c>
      <c r="E1414">
        <v>91</v>
      </c>
      <c r="F1414" s="3">
        <v>21.2104624160228</v>
      </c>
      <c r="G1414" s="3" t="str">
        <f t="shared" si="22"/>
        <v>Normal Weight</v>
      </c>
      <c r="H1414" t="s">
        <v>1032</v>
      </c>
      <c r="I1414" t="s">
        <v>18</v>
      </c>
      <c r="J1414" t="s">
        <v>20</v>
      </c>
      <c r="K1414" t="s">
        <v>40</v>
      </c>
      <c r="L1414" t="s">
        <v>32</v>
      </c>
      <c r="M1414" t="s">
        <v>20</v>
      </c>
      <c r="N1414" t="s">
        <v>21</v>
      </c>
      <c r="O1414" t="s">
        <v>19</v>
      </c>
      <c r="P1414" t="s">
        <v>20</v>
      </c>
      <c r="Q1414" t="s">
        <v>22</v>
      </c>
    </row>
    <row r="1415" spans="1:17" x14ac:dyDescent="0.35">
      <c r="A1415">
        <v>774</v>
      </c>
      <c r="B1415">
        <v>37</v>
      </c>
      <c r="C1415" t="s">
        <v>16</v>
      </c>
      <c r="D1415">
        <v>187</v>
      </c>
      <c r="E1415">
        <v>58</v>
      </c>
      <c r="F1415" s="3">
        <v>33.7415680319668</v>
      </c>
      <c r="G1415" s="3" t="str">
        <f t="shared" si="22"/>
        <v>Obese</v>
      </c>
      <c r="H1415" t="s">
        <v>674</v>
      </c>
      <c r="I1415" t="s">
        <v>18</v>
      </c>
      <c r="J1415" t="s">
        <v>19</v>
      </c>
      <c r="K1415" t="s">
        <v>22</v>
      </c>
      <c r="L1415" t="s">
        <v>32</v>
      </c>
      <c r="M1415" t="s">
        <v>19</v>
      </c>
      <c r="N1415" t="s">
        <v>25</v>
      </c>
      <c r="O1415" t="s">
        <v>20</v>
      </c>
      <c r="P1415" t="s">
        <v>20</v>
      </c>
      <c r="Q1415" t="s">
        <v>22</v>
      </c>
    </row>
    <row r="1416" spans="1:17" x14ac:dyDescent="0.35">
      <c r="A1416">
        <v>884</v>
      </c>
      <c r="B1416">
        <v>37</v>
      </c>
      <c r="C1416" t="s">
        <v>27</v>
      </c>
      <c r="D1416">
        <v>175</v>
      </c>
      <c r="E1416">
        <v>74</v>
      </c>
      <c r="F1416" s="3">
        <v>28.895308230210599</v>
      </c>
      <c r="G1416" s="3" t="str">
        <f t="shared" si="22"/>
        <v>Overweight</v>
      </c>
      <c r="H1416" t="s">
        <v>738</v>
      </c>
      <c r="I1416" t="s">
        <v>18</v>
      </c>
      <c r="J1416" t="s">
        <v>19</v>
      </c>
      <c r="K1416" t="s">
        <v>22</v>
      </c>
      <c r="L1416" t="s">
        <v>32</v>
      </c>
      <c r="M1416" t="s">
        <v>19</v>
      </c>
      <c r="N1416" t="s">
        <v>25</v>
      </c>
      <c r="O1416" t="s">
        <v>19</v>
      </c>
      <c r="P1416" t="s">
        <v>20</v>
      </c>
      <c r="Q1416" t="s">
        <v>40</v>
      </c>
    </row>
    <row r="1417" spans="1:17" x14ac:dyDescent="0.35">
      <c r="A1417">
        <v>921</v>
      </c>
      <c r="B1417">
        <v>37</v>
      </c>
      <c r="C1417" t="s">
        <v>27</v>
      </c>
      <c r="D1417">
        <v>152</v>
      </c>
      <c r="E1417">
        <v>84</v>
      </c>
      <c r="F1417" s="3">
        <v>32.8056915140249</v>
      </c>
      <c r="G1417" s="3" t="str">
        <f t="shared" si="22"/>
        <v>Obese</v>
      </c>
      <c r="H1417" t="s">
        <v>480</v>
      </c>
      <c r="I1417" t="s">
        <v>24</v>
      </c>
      <c r="J1417" t="s">
        <v>20</v>
      </c>
      <c r="K1417" t="s">
        <v>22</v>
      </c>
      <c r="L1417" t="s">
        <v>32</v>
      </c>
      <c r="M1417" t="s">
        <v>20</v>
      </c>
      <c r="N1417" t="s">
        <v>21</v>
      </c>
      <c r="O1417" t="s">
        <v>19</v>
      </c>
      <c r="P1417" t="s">
        <v>20</v>
      </c>
      <c r="Q1417" t="s">
        <v>22</v>
      </c>
    </row>
    <row r="1418" spans="1:17" x14ac:dyDescent="0.35">
      <c r="A1418">
        <v>1415</v>
      </c>
      <c r="B1418">
        <v>79</v>
      </c>
      <c r="C1418" t="s">
        <v>16</v>
      </c>
      <c r="D1418">
        <v>154</v>
      </c>
      <c r="E1418">
        <v>62</v>
      </c>
      <c r="F1418" s="3">
        <v>29.456201763115399</v>
      </c>
      <c r="G1418" s="3" t="str">
        <f t="shared" si="22"/>
        <v>Overweight</v>
      </c>
      <c r="H1418" t="s">
        <v>503</v>
      </c>
      <c r="I1418" t="s">
        <v>18</v>
      </c>
      <c r="J1418" t="s">
        <v>19</v>
      </c>
      <c r="K1418" t="s">
        <v>40</v>
      </c>
      <c r="L1418" t="s">
        <v>38</v>
      </c>
      <c r="M1418" t="s">
        <v>19</v>
      </c>
      <c r="N1418" t="s">
        <v>25</v>
      </c>
      <c r="O1418" t="s">
        <v>19</v>
      </c>
      <c r="P1418" t="s">
        <v>20</v>
      </c>
      <c r="Q1418" t="s">
        <v>22</v>
      </c>
    </row>
    <row r="1419" spans="1:17" x14ac:dyDescent="0.35">
      <c r="A1419">
        <v>1419</v>
      </c>
      <c r="B1419">
        <v>59</v>
      </c>
      <c r="C1419" t="s">
        <v>16</v>
      </c>
      <c r="D1419">
        <v>176</v>
      </c>
      <c r="E1419">
        <v>58</v>
      </c>
      <c r="F1419" s="3">
        <v>21.954248589837601</v>
      </c>
      <c r="G1419" s="3" t="str">
        <f t="shared" si="22"/>
        <v>Normal Weight</v>
      </c>
      <c r="H1419" t="s">
        <v>837</v>
      </c>
      <c r="I1419" t="s">
        <v>18</v>
      </c>
      <c r="J1419" t="s">
        <v>20</v>
      </c>
      <c r="K1419" t="s">
        <v>18</v>
      </c>
      <c r="L1419" t="s">
        <v>38</v>
      </c>
      <c r="M1419" t="s">
        <v>19</v>
      </c>
      <c r="N1419" t="s">
        <v>25</v>
      </c>
      <c r="O1419" t="s">
        <v>19</v>
      </c>
      <c r="P1419" t="s">
        <v>20</v>
      </c>
      <c r="Q1419" t="s">
        <v>18</v>
      </c>
    </row>
    <row r="1420" spans="1:17" x14ac:dyDescent="0.35">
      <c r="A1420">
        <v>1246</v>
      </c>
      <c r="B1420">
        <v>37</v>
      </c>
      <c r="C1420" t="s">
        <v>16</v>
      </c>
      <c r="D1420">
        <v>154</v>
      </c>
      <c r="E1420">
        <v>84</v>
      </c>
      <c r="F1420" s="3">
        <v>25.141684865587301</v>
      </c>
      <c r="G1420" s="3" t="str">
        <f t="shared" si="22"/>
        <v>Overweight</v>
      </c>
      <c r="H1420" t="s">
        <v>825</v>
      </c>
      <c r="I1420" t="s">
        <v>18</v>
      </c>
      <c r="J1420" t="s">
        <v>19</v>
      </c>
      <c r="K1420" t="s">
        <v>22</v>
      </c>
      <c r="L1420" t="s">
        <v>32</v>
      </c>
      <c r="M1420" t="s">
        <v>20</v>
      </c>
      <c r="N1420" t="s">
        <v>21</v>
      </c>
      <c r="O1420" t="s">
        <v>19</v>
      </c>
      <c r="P1420" t="s">
        <v>20</v>
      </c>
      <c r="Q1420" t="s">
        <v>40</v>
      </c>
    </row>
    <row r="1421" spans="1:17" x14ac:dyDescent="0.35">
      <c r="A1421">
        <v>1422</v>
      </c>
      <c r="B1421">
        <v>57</v>
      </c>
      <c r="C1421" t="s">
        <v>16</v>
      </c>
      <c r="D1421">
        <v>170</v>
      </c>
      <c r="E1421">
        <v>72</v>
      </c>
      <c r="F1421" s="3">
        <v>32.155569312261001</v>
      </c>
      <c r="G1421" s="3" t="str">
        <f t="shared" si="22"/>
        <v>Obese</v>
      </c>
      <c r="H1421" t="s">
        <v>661</v>
      </c>
      <c r="I1421" t="s">
        <v>24</v>
      </c>
      <c r="J1421" t="s">
        <v>20</v>
      </c>
      <c r="K1421" t="s">
        <v>18</v>
      </c>
      <c r="L1421" t="s">
        <v>38</v>
      </c>
      <c r="M1421" t="s">
        <v>19</v>
      </c>
      <c r="N1421" t="s">
        <v>25</v>
      </c>
      <c r="O1421" t="s">
        <v>20</v>
      </c>
      <c r="P1421" t="s">
        <v>19</v>
      </c>
      <c r="Q1421" t="s">
        <v>18</v>
      </c>
    </row>
    <row r="1422" spans="1:17" x14ac:dyDescent="0.35">
      <c r="A1422">
        <v>1423</v>
      </c>
      <c r="B1422">
        <v>25</v>
      </c>
      <c r="C1422" t="s">
        <v>16</v>
      </c>
      <c r="D1422">
        <v>173</v>
      </c>
      <c r="E1422">
        <v>88</v>
      </c>
      <c r="F1422" s="3">
        <v>34.469765338197298</v>
      </c>
      <c r="G1422" s="3" t="str">
        <f t="shared" si="22"/>
        <v>Obese</v>
      </c>
      <c r="H1422" t="s">
        <v>730</v>
      </c>
      <c r="I1422" t="s">
        <v>24</v>
      </c>
      <c r="J1422" t="s">
        <v>19</v>
      </c>
      <c r="K1422" t="s">
        <v>18</v>
      </c>
      <c r="L1422" t="s">
        <v>32</v>
      </c>
      <c r="M1422" t="s">
        <v>19</v>
      </c>
      <c r="N1422" t="s">
        <v>21</v>
      </c>
      <c r="O1422" t="s">
        <v>19</v>
      </c>
      <c r="P1422" t="s">
        <v>19</v>
      </c>
      <c r="Q1422" t="s">
        <v>18</v>
      </c>
    </row>
    <row r="1423" spans="1:17" x14ac:dyDescent="0.35">
      <c r="A1423">
        <v>1338</v>
      </c>
      <c r="B1423">
        <v>37</v>
      </c>
      <c r="C1423" t="s">
        <v>27</v>
      </c>
      <c r="D1423">
        <v>169</v>
      </c>
      <c r="E1423">
        <v>74</v>
      </c>
      <c r="F1423" s="3">
        <v>23.775394014107501</v>
      </c>
      <c r="G1423" s="3" t="str">
        <f t="shared" si="22"/>
        <v>Normal Weight</v>
      </c>
      <c r="H1423" t="s">
        <v>999</v>
      </c>
      <c r="I1423" t="s">
        <v>31</v>
      </c>
      <c r="J1423" t="s">
        <v>20</v>
      </c>
      <c r="K1423" t="s">
        <v>22</v>
      </c>
      <c r="L1423" t="s">
        <v>32</v>
      </c>
      <c r="M1423" t="s">
        <v>19</v>
      </c>
      <c r="N1423" t="s">
        <v>25</v>
      </c>
      <c r="O1423" t="s">
        <v>20</v>
      </c>
      <c r="P1423" t="s">
        <v>19</v>
      </c>
      <c r="Q1423" t="s">
        <v>22</v>
      </c>
    </row>
    <row r="1424" spans="1:17" x14ac:dyDescent="0.35">
      <c r="A1424">
        <v>1425</v>
      </c>
      <c r="B1424">
        <v>57</v>
      </c>
      <c r="C1424" t="s">
        <v>27</v>
      </c>
      <c r="D1424">
        <v>181</v>
      </c>
      <c r="E1424">
        <v>88</v>
      </c>
      <c r="F1424" s="3">
        <v>28.408823675405799</v>
      </c>
      <c r="G1424" s="3" t="str">
        <f t="shared" si="22"/>
        <v>Overweight</v>
      </c>
      <c r="H1424" t="s">
        <v>862</v>
      </c>
      <c r="I1424" t="s">
        <v>24</v>
      </c>
      <c r="J1424" t="s">
        <v>19</v>
      </c>
      <c r="K1424" t="s">
        <v>18</v>
      </c>
      <c r="L1424" t="s">
        <v>38</v>
      </c>
      <c r="M1424" t="s">
        <v>19</v>
      </c>
      <c r="N1424" t="s">
        <v>25</v>
      </c>
      <c r="O1424" t="s">
        <v>19</v>
      </c>
      <c r="P1424" t="s">
        <v>19</v>
      </c>
      <c r="Q1424" t="s">
        <v>18</v>
      </c>
    </row>
    <row r="1425" spans="1:17" x14ac:dyDescent="0.35">
      <c r="A1425">
        <v>1426</v>
      </c>
      <c r="B1425">
        <v>31</v>
      </c>
      <c r="C1425" t="s">
        <v>16</v>
      </c>
      <c r="D1425">
        <v>181</v>
      </c>
      <c r="E1425">
        <v>70</v>
      </c>
      <c r="F1425" s="3">
        <v>27.245863597004199</v>
      </c>
      <c r="G1425" s="3" t="str">
        <f t="shared" si="22"/>
        <v>Overweight</v>
      </c>
      <c r="H1425" t="s">
        <v>844</v>
      </c>
      <c r="I1425" t="s">
        <v>31</v>
      </c>
      <c r="J1425" t="s">
        <v>20</v>
      </c>
      <c r="K1425" t="s">
        <v>18</v>
      </c>
      <c r="L1425" t="s">
        <v>32</v>
      </c>
      <c r="M1425" t="s">
        <v>20</v>
      </c>
      <c r="N1425" t="s">
        <v>25</v>
      </c>
      <c r="O1425" t="s">
        <v>20</v>
      </c>
      <c r="P1425" t="s">
        <v>19</v>
      </c>
      <c r="Q1425" t="s">
        <v>18</v>
      </c>
    </row>
    <row r="1426" spans="1:17" x14ac:dyDescent="0.35">
      <c r="A1426">
        <v>1627</v>
      </c>
      <c r="B1426">
        <v>37</v>
      </c>
      <c r="C1426" t="s">
        <v>16</v>
      </c>
      <c r="D1426">
        <v>179</v>
      </c>
      <c r="E1426">
        <v>88</v>
      </c>
      <c r="F1426" s="3">
        <v>30.702793593835899</v>
      </c>
      <c r="G1426" s="3" t="str">
        <f t="shared" si="22"/>
        <v>Obese</v>
      </c>
      <c r="H1426" t="s">
        <v>543</v>
      </c>
      <c r="I1426" t="s">
        <v>24</v>
      </c>
      <c r="J1426" t="s">
        <v>19</v>
      </c>
      <c r="K1426" t="s">
        <v>22</v>
      </c>
      <c r="L1426" t="s">
        <v>14</v>
      </c>
      <c r="M1426" t="s">
        <v>19</v>
      </c>
      <c r="N1426" t="s">
        <v>21</v>
      </c>
      <c r="O1426" t="s">
        <v>19</v>
      </c>
      <c r="P1426" t="s">
        <v>19</v>
      </c>
      <c r="Q1426" t="s">
        <v>22</v>
      </c>
    </row>
    <row r="1427" spans="1:17" x14ac:dyDescent="0.35">
      <c r="A1427">
        <v>1630</v>
      </c>
      <c r="B1427">
        <v>37</v>
      </c>
      <c r="C1427" t="s">
        <v>27</v>
      </c>
      <c r="D1427">
        <v>170</v>
      </c>
      <c r="E1427">
        <v>55</v>
      </c>
      <c r="F1427" s="3">
        <v>25.270011410898899</v>
      </c>
      <c r="G1427" s="3" t="str">
        <f t="shared" si="22"/>
        <v>Overweight</v>
      </c>
      <c r="H1427" t="s">
        <v>322</v>
      </c>
      <c r="I1427" t="s">
        <v>31</v>
      </c>
      <c r="J1427" t="s">
        <v>20</v>
      </c>
      <c r="K1427" t="s">
        <v>22</v>
      </c>
      <c r="L1427" t="s">
        <v>32</v>
      </c>
      <c r="M1427" t="s">
        <v>19</v>
      </c>
      <c r="N1427" t="s">
        <v>25</v>
      </c>
      <c r="O1427" t="s">
        <v>19</v>
      </c>
      <c r="P1427" t="s">
        <v>19</v>
      </c>
      <c r="Q1427" t="s">
        <v>18</v>
      </c>
    </row>
    <row r="1428" spans="1:17" x14ac:dyDescent="0.35">
      <c r="A1428">
        <v>1752</v>
      </c>
      <c r="B1428">
        <v>37</v>
      </c>
      <c r="C1428" t="s">
        <v>16</v>
      </c>
      <c r="D1428">
        <v>150</v>
      </c>
      <c r="E1428">
        <v>64</v>
      </c>
      <c r="F1428" s="3">
        <v>27.4938763121881</v>
      </c>
      <c r="G1428" s="3" t="str">
        <f t="shared" si="22"/>
        <v>Overweight</v>
      </c>
      <c r="H1428" t="s">
        <v>256</v>
      </c>
      <c r="I1428" t="s">
        <v>31</v>
      </c>
      <c r="J1428" t="s">
        <v>20</v>
      </c>
      <c r="K1428" t="s">
        <v>22</v>
      </c>
      <c r="L1428" t="s">
        <v>29</v>
      </c>
      <c r="M1428" t="s">
        <v>19</v>
      </c>
      <c r="N1428" t="s">
        <v>25</v>
      </c>
      <c r="O1428" t="s">
        <v>19</v>
      </c>
      <c r="P1428" t="s">
        <v>19</v>
      </c>
      <c r="Q1428" t="s">
        <v>18</v>
      </c>
    </row>
    <row r="1429" spans="1:17" x14ac:dyDescent="0.35">
      <c r="A1429">
        <v>1760</v>
      </c>
      <c r="B1429">
        <v>37</v>
      </c>
      <c r="C1429" t="s">
        <v>16</v>
      </c>
      <c r="D1429">
        <v>163</v>
      </c>
      <c r="E1429">
        <v>99</v>
      </c>
      <c r="F1429" s="3">
        <v>25.349268418106298</v>
      </c>
      <c r="G1429" s="3" t="str">
        <f t="shared" si="22"/>
        <v>Overweight</v>
      </c>
      <c r="H1429" t="s">
        <v>1183</v>
      </c>
      <c r="I1429" t="s">
        <v>24</v>
      </c>
      <c r="J1429" t="s">
        <v>20</v>
      </c>
      <c r="K1429" t="s">
        <v>22</v>
      </c>
      <c r="L1429" t="s">
        <v>32</v>
      </c>
      <c r="M1429" t="s">
        <v>20</v>
      </c>
      <c r="N1429" t="s">
        <v>21</v>
      </c>
      <c r="O1429" t="s">
        <v>19</v>
      </c>
      <c r="P1429" t="s">
        <v>19</v>
      </c>
      <c r="Q1429" t="s">
        <v>22</v>
      </c>
    </row>
    <row r="1430" spans="1:17" x14ac:dyDescent="0.35">
      <c r="A1430">
        <v>1882</v>
      </c>
      <c r="B1430">
        <v>37</v>
      </c>
      <c r="C1430" t="s">
        <v>16</v>
      </c>
      <c r="D1430">
        <v>164</v>
      </c>
      <c r="E1430">
        <v>66</v>
      </c>
      <c r="F1430" s="3">
        <v>28.715503100770398</v>
      </c>
      <c r="G1430" s="3" t="str">
        <f t="shared" si="22"/>
        <v>Overweight</v>
      </c>
      <c r="H1430" t="s">
        <v>1230</v>
      </c>
      <c r="I1430" t="s">
        <v>18</v>
      </c>
      <c r="J1430" t="s">
        <v>19</v>
      </c>
      <c r="K1430" t="s">
        <v>22</v>
      </c>
      <c r="L1430" t="s">
        <v>32</v>
      </c>
      <c r="M1430" t="s">
        <v>20</v>
      </c>
      <c r="N1430" t="s">
        <v>21</v>
      </c>
      <c r="O1430" t="s">
        <v>19</v>
      </c>
      <c r="P1430" t="s">
        <v>20</v>
      </c>
      <c r="Q1430" t="s">
        <v>22</v>
      </c>
    </row>
    <row r="1431" spans="1:17" x14ac:dyDescent="0.35">
      <c r="A1431">
        <v>1427</v>
      </c>
      <c r="B1431">
        <v>49</v>
      </c>
      <c r="C1431" t="s">
        <v>16</v>
      </c>
      <c r="D1431">
        <v>154</v>
      </c>
      <c r="E1431">
        <v>72</v>
      </c>
      <c r="F1431" s="3">
        <v>18.9593773458326</v>
      </c>
      <c r="G1431" s="3" t="str">
        <f t="shared" si="22"/>
        <v>Normal Weight</v>
      </c>
      <c r="H1431" t="s">
        <v>1038</v>
      </c>
      <c r="I1431" t="s">
        <v>31</v>
      </c>
      <c r="J1431" t="s">
        <v>19</v>
      </c>
      <c r="K1431" t="s">
        <v>18</v>
      </c>
      <c r="L1431" t="s">
        <v>38</v>
      </c>
      <c r="M1431" t="s">
        <v>20</v>
      </c>
      <c r="N1431" t="s">
        <v>21</v>
      </c>
      <c r="O1431" t="s">
        <v>20</v>
      </c>
      <c r="P1431" t="s">
        <v>20</v>
      </c>
      <c r="Q1431" t="s">
        <v>18</v>
      </c>
    </row>
    <row r="1432" spans="1:17" x14ac:dyDescent="0.35">
      <c r="A1432">
        <v>1430</v>
      </c>
      <c r="B1432">
        <v>55</v>
      </c>
      <c r="C1432" t="s">
        <v>27</v>
      </c>
      <c r="D1432">
        <v>165</v>
      </c>
      <c r="E1432">
        <v>75</v>
      </c>
      <c r="F1432" s="3">
        <v>28.870314351378799</v>
      </c>
      <c r="G1432" s="3" t="str">
        <f t="shared" si="22"/>
        <v>Overweight</v>
      </c>
      <c r="H1432" t="s">
        <v>1041</v>
      </c>
      <c r="I1432" t="s">
        <v>18</v>
      </c>
      <c r="J1432" t="s">
        <v>20</v>
      </c>
      <c r="K1432" t="s">
        <v>18</v>
      </c>
      <c r="L1432" t="s">
        <v>29</v>
      </c>
      <c r="M1432" t="s">
        <v>19</v>
      </c>
      <c r="N1432" t="s">
        <v>25</v>
      </c>
      <c r="O1432" t="s">
        <v>19</v>
      </c>
      <c r="P1432" t="s">
        <v>20</v>
      </c>
      <c r="Q1432" t="s">
        <v>22</v>
      </c>
    </row>
    <row r="1433" spans="1:17" x14ac:dyDescent="0.35">
      <c r="A1433">
        <v>1431</v>
      </c>
      <c r="B1433">
        <v>50</v>
      </c>
      <c r="C1433" t="s">
        <v>27</v>
      </c>
      <c r="D1433">
        <v>182</v>
      </c>
      <c r="E1433">
        <v>54</v>
      </c>
      <c r="F1433" s="3">
        <v>27.694655249753701</v>
      </c>
      <c r="G1433" s="3" t="str">
        <f t="shared" si="22"/>
        <v>Overweight</v>
      </c>
      <c r="H1433" t="s">
        <v>303</v>
      </c>
      <c r="I1433" t="s">
        <v>24</v>
      </c>
      <c r="J1433" t="s">
        <v>20</v>
      </c>
      <c r="K1433" t="s">
        <v>18</v>
      </c>
      <c r="L1433" t="s">
        <v>14</v>
      </c>
      <c r="M1433" t="s">
        <v>20</v>
      </c>
      <c r="N1433" t="s">
        <v>21</v>
      </c>
      <c r="O1433" t="s">
        <v>20</v>
      </c>
      <c r="P1433" t="s">
        <v>19</v>
      </c>
      <c r="Q1433" t="s">
        <v>40</v>
      </c>
    </row>
    <row r="1434" spans="1:17" x14ac:dyDescent="0.35">
      <c r="A1434">
        <v>1432</v>
      </c>
      <c r="B1434">
        <v>40</v>
      </c>
      <c r="C1434" t="s">
        <v>16</v>
      </c>
      <c r="D1434">
        <v>170</v>
      </c>
      <c r="E1434">
        <v>80</v>
      </c>
      <c r="F1434" s="3">
        <v>30.7534938297478</v>
      </c>
      <c r="G1434" s="3" t="str">
        <f t="shared" si="22"/>
        <v>Obese</v>
      </c>
      <c r="H1434" t="s">
        <v>1042</v>
      </c>
      <c r="I1434" t="s">
        <v>18</v>
      </c>
      <c r="J1434" t="s">
        <v>19</v>
      </c>
      <c r="K1434" t="s">
        <v>18</v>
      </c>
      <c r="L1434" t="s">
        <v>29</v>
      </c>
      <c r="M1434" t="s">
        <v>20</v>
      </c>
      <c r="N1434" t="s">
        <v>21</v>
      </c>
      <c r="O1434" t="s">
        <v>19</v>
      </c>
      <c r="P1434" t="s">
        <v>19</v>
      </c>
      <c r="Q1434" t="s">
        <v>18</v>
      </c>
    </row>
    <row r="1435" spans="1:17" x14ac:dyDescent="0.35">
      <c r="A1435">
        <v>1433</v>
      </c>
      <c r="B1435">
        <v>32</v>
      </c>
      <c r="C1435" t="s">
        <v>16</v>
      </c>
      <c r="D1435">
        <v>158</v>
      </c>
      <c r="E1435">
        <v>74</v>
      </c>
      <c r="F1435" s="3">
        <v>23.116154359636099</v>
      </c>
      <c r="G1435" s="3" t="str">
        <f t="shared" si="22"/>
        <v>Normal Weight</v>
      </c>
      <c r="H1435" t="s">
        <v>383</v>
      </c>
      <c r="I1435" t="s">
        <v>31</v>
      </c>
      <c r="J1435" t="s">
        <v>20</v>
      </c>
      <c r="K1435" t="s">
        <v>18</v>
      </c>
      <c r="L1435" t="s">
        <v>32</v>
      </c>
      <c r="M1435" t="s">
        <v>20</v>
      </c>
      <c r="N1435" t="s">
        <v>25</v>
      </c>
      <c r="O1435" t="s">
        <v>20</v>
      </c>
      <c r="P1435" t="s">
        <v>20</v>
      </c>
      <c r="Q1435" t="s">
        <v>22</v>
      </c>
    </row>
    <row r="1436" spans="1:17" x14ac:dyDescent="0.35">
      <c r="A1436">
        <v>456</v>
      </c>
      <c r="B1436">
        <v>36</v>
      </c>
      <c r="C1436" t="s">
        <v>16</v>
      </c>
      <c r="D1436">
        <v>154</v>
      </c>
      <c r="E1436">
        <v>75</v>
      </c>
      <c r="F1436" s="3">
        <v>23.012329503687099</v>
      </c>
      <c r="G1436" s="3" t="str">
        <f t="shared" si="22"/>
        <v>Normal Weight</v>
      </c>
      <c r="H1436" t="s">
        <v>432</v>
      </c>
      <c r="I1436" t="s">
        <v>31</v>
      </c>
      <c r="J1436" t="s">
        <v>19</v>
      </c>
      <c r="K1436" t="s">
        <v>22</v>
      </c>
      <c r="L1436" t="s">
        <v>38</v>
      </c>
      <c r="M1436" t="s">
        <v>20</v>
      </c>
      <c r="N1436" t="s">
        <v>25</v>
      </c>
      <c r="O1436" t="s">
        <v>20</v>
      </c>
      <c r="P1436" t="s">
        <v>20</v>
      </c>
      <c r="Q1436" t="s">
        <v>40</v>
      </c>
    </row>
    <row r="1437" spans="1:17" x14ac:dyDescent="0.35">
      <c r="A1437">
        <v>590</v>
      </c>
      <c r="B1437">
        <v>36</v>
      </c>
      <c r="C1437" t="s">
        <v>16</v>
      </c>
      <c r="D1437">
        <v>184</v>
      </c>
      <c r="E1437">
        <v>88</v>
      </c>
      <c r="F1437" s="3">
        <v>19.742098824752599</v>
      </c>
      <c r="G1437" s="3" t="str">
        <f t="shared" si="22"/>
        <v>Normal Weight</v>
      </c>
      <c r="H1437" t="s">
        <v>540</v>
      </c>
      <c r="I1437" t="s">
        <v>24</v>
      </c>
      <c r="J1437" t="s">
        <v>20</v>
      </c>
      <c r="K1437" t="s">
        <v>22</v>
      </c>
      <c r="L1437" t="s">
        <v>29</v>
      </c>
      <c r="M1437" t="s">
        <v>20</v>
      </c>
      <c r="N1437" t="s">
        <v>25</v>
      </c>
      <c r="O1437" t="s">
        <v>20</v>
      </c>
      <c r="P1437" t="s">
        <v>19</v>
      </c>
      <c r="Q1437" t="s">
        <v>18</v>
      </c>
    </row>
    <row r="1438" spans="1:17" x14ac:dyDescent="0.35">
      <c r="A1438">
        <v>593</v>
      </c>
      <c r="B1438">
        <v>36</v>
      </c>
      <c r="C1438" t="s">
        <v>27</v>
      </c>
      <c r="D1438">
        <v>184</v>
      </c>
      <c r="E1438">
        <v>73</v>
      </c>
      <c r="F1438" s="3">
        <v>22.748407072125701</v>
      </c>
      <c r="G1438" s="3" t="str">
        <f t="shared" si="22"/>
        <v>Normal Weight</v>
      </c>
      <c r="H1438" t="s">
        <v>542</v>
      </c>
      <c r="I1438" t="s">
        <v>31</v>
      </c>
      <c r="J1438" t="s">
        <v>19</v>
      </c>
      <c r="K1438" t="s">
        <v>22</v>
      </c>
      <c r="L1438" t="s">
        <v>29</v>
      </c>
      <c r="M1438" t="s">
        <v>20</v>
      </c>
      <c r="N1438" t="s">
        <v>25</v>
      </c>
      <c r="O1438" t="s">
        <v>20</v>
      </c>
      <c r="P1438" t="s">
        <v>20</v>
      </c>
      <c r="Q1438" t="s">
        <v>18</v>
      </c>
    </row>
    <row r="1439" spans="1:17" x14ac:dyDescent="0.35">
      <c r="A1439">
        <v>670</v>
      </c>
      <c r="B1439">
        <v>36</v>
      </c>
      <c r="C1439" t="s">
        <v>27</v>
      </c>
      <c r="D1439">
        <v>172</v>
      </c>
      <c r="E1439">
        <v>75</v>
      </c>
      <c r="F1439" s="3">
        <v>32.421525079719203</v>
      </c>
      <c r="G1439" s="3" t="str">
        <f t="shared" si="22"/>
        <v>Obese</v>
      </c>
      <c r="H1439" t="s">
        <v>603</v>
      </c>
      <c r="I1439" t="s">
        <v>24</v>
      </c>
      <c r="J1439" t="s">
        <v>20</v>
      </c>
      <c r="K1439" t="s">
        <v>22</v>
      </c>
      <c r="L1439" t="s">
        <v>32</v>
      </c>
      <c r="M1439" t="s">
        <v>19</v>
      </c>
      <c r="N1439" t="s">
        <v>21</v>
      </c>
      <c r="O1439" t="s">
        <v>20</v>
      </c>
      <c r="P1439" t="s">
        <v>20</v>
      </c>
      <c r="Q1439" t="s">
        <v>40</v>
      </c>
    </row>
    <row r="1440" spans="1:17" x14ac:dyDescent="0.35">
      <c r="A1440">
        <v>780</v>
      </c>
      <c r="B1440">
        <v>36</v>
      </c>
      <c r="C1440" t="s">
        <v>16</v>
      </c>
      <c r="D1440">
        <v>183</v>
      </c>
      <c r="E1440">
        <v>51</v>
      </c>
      <c r="F1440" s="3">
        <v>29.764074015635501</v>
      </c>
      <c r="G1440" s="3" t="str">
        <f t="shared" si="22"/>
        <v>Overweight</v>
      </c>
      <c r="H1440" t="s">
        <v>679</v>
      </c>
      <c r="I1440" t="s">
        <v>24</v>
      </c>
      <c r="J1440" t="s">
        <v>20</v>
      </c>
      <c r="K1440" t="s">
        <v>22</v>
      </c>
      <c r="L1440" t="s">
        <v>38</v>
      </c>
      <c r="M1440" t="s">
        <v>19</v>
      </c>
      <c r="N1440" t="s">
        <v>21</v>
      </c>
      <c r="O1440" t="s">
        <v>19</v>
      </c>
      <c r="P1440" t="s">
        <v>20</v>
      </c>
      <c r="Q1440" t="s">
        <v>22</v>
      </c>
    </row>
    <row r="1441" spans="1:17" x14ac:dyDescent="0.35">
      <c r="A1441">
        <v>786</v>
      </c>
      <c r="B1441">
        <v>36</v>
      </c>
      <c r="C1441" t="s">
        <v>27</v>
      </c>
      <c r="D1441">
        <v>167</v>
      </c>
      <c r="E1441">
        <v>50</v>
      </c>
      <c r="F1441" s="3">
        <v>27.8967047655565</v>
      </c>
      <c r="G1441" s="3" t="str">
        <f t="shared" si="22"/>
        <v>Overweight</v>
      </c>
      <c r="H1441" t="s">
        <v>682</v>
      </c>
      <c r="I1441" t="s">
        <v>31</v>
      </c>
      <c r="J1441" t="s">
        <v>19</v>
      </c>
      <c r="K1441" t="s">
        <v>22</v>
      </c>
      <c r="L1441" t="s">
        <v>29</v>
      </c>
      <c r="M1441" t="s">
        <v>19</v>
      </c>
      <c r="N1441" t="s">
        <v>25</v>
      </c>
      <c r="O1441" t="s">
        <v>20</v>
      </c>
      <c r="P1441" t="s">
        <v>19</v>
      </c>
      <c r="Q1441" t="s">
        <v>40</v>
      </c>
    </row>
    <row r="1442" spans="1:17" x14ac:dyDescent="0.35">
      <c r="A1442">
        <v>794</v>
      </c>
      <c r="B1442">
        <v>36</v>
      </c>
      <c r="C1442" t="s">
        <v>16</v>
      </c>
      <c r="D1442">
        <v>185</v>
      </c>
      <c r="E1442">
        <v>73</v>
      </c>
      <c r="F1442" s="3">
        <v>29.830197093448099</v>
      </c>
      <c r="G1442" s="3" t="str">
        <f t="shared" si="22"/>
        <v>Overweight</v>
      </c>
      <c r="H1442" t="s">
        <v>53</v>
      </c>
      <c r="I1442" t="s">
        <v>31</v>
      </c>
      <c r="J1442" t="s">
        <v>20</v>
      </c>
      <c r="K1442" t="s">
        <v>22</v>
      </c>
      <c r="L1442" t="s">
        <v>29</v>
      </c>
      <c r="M1442" t="s">
        <v>20</v>
      </c>
      <c r="N1442" t="s">
        <v>21</v>
      </c>
      <c r="O1442" t="s">
        <v>20</v>
      </c>
      <c r="P1442" t="s">
        <v>20</v>
      </c>
      <c r="Q1442" t="s">
        <v>22</v>
      </c>
    </row>
    <row r="1443" spans="1:17" x14ac:dyDescent="0.35">
      <c r="A1443">
        <v>850</v>
      </c>
      <c r="B1443">
        <v>36</v>
      </c>
      <c r="C1443" t="s">
        <v>27</v>
      </c>
      <c r="D1443">
        <v>160</v>
      </c>
      <c r="E1443">
        <v>77</v>
      </c>
      <c r="F1443" s="3">
        <v>19.958549957921502</v>
      </c>
      <c r="G1443" s="3" t="str">
        <f t="shared" si="22"/>
        <v>Normal Weight</v>
      </c>
      <c r="H1443" t="s">
        <v>393</v>
      </c>
      <c r="I1443" t="s">
        <v>18</v>
      </c>
      <c r="J1443" t="s">
        <v>20</v>
      </c>
      <c r="K1443" t="s">
        <v>22</v>
      </c>
      <c r="L1443" t="s">
        <v>14</v>
      </c>
      <c r="M1443" t="s">
        <v>19</v>
      </c>
      <c r="N1443" t="s">
        <v>21</v>
      </c>
      <c r="O1443" t="s">
        <v>20</v>
      </c>
      <c r="P1443" t="s">
        <v>20</v>
      </c>
      <c r="Q1443" t="s">
        <v>40</v>
      </c>
    </row>
    <row r="1444" spans="1:17" x14ac:dyDescent="0.35">
      <c r="A1444">
        <v>1435</v>
      </c>
      <c r="B1444">
        <v>42</v>
      </c>
      <c r="C1444" t="s">
        <v>16</v>
      </c>
      <c r="D1444">
        <v>184</v>
      </c>
      <c r="E1444">
        <v>99</v>
      </c>
      <c r="F1444" s="3">
        <v>19.954347015947999</v>
      </c>
      <c r="G1444" s="3" t="str">
        <f t="shared" si="22"/>
        <v>Normal Weight</v>
      </c>
      <c r="H1444" t="s">
        <v>1043</v>
      </c>
      <c r="I1444" t="s">
        <v>18</v>
      </c>
      <c r="J1444" t="s">
        <v>19</v>
      </c>
      <c r="K1444" t="s">
        <v>18</v>
      </c>
      <c r="L1444" t="s">
        <v>32</v>
      </c>
      <c r="M1444" t="s">
        <v>20</v>
      </c>
      <c r="N1444" t="s">
        <v>25</v>
      </c>
      <c r="O1444" t="s">
        <v>20</v>
      </c>
      <c r="P1444" t="s">
        <v>20</v>
      </c>
      <c r="Q1444" t="s">
        <v>18</v>
      </c>
    </row>
    <row r="1445" spans="1:17" x14ac:dyDescent="0.35">
      <c r="A1445">
        <v>874</v>
      </c>
      <c r="B1445">
        <v>36</v>
      </c>
      <c r="C1445" t="s">
        <v>16</v>
      </c>
      <c r="D1445">
        <v>181</v>
      </c>
      <c r="E1445">
        <v>77</v>
      </c>
      <c r="F1445" s="3">
        <v>27.324191193639599</v>
      </c>
      <c r="G1445" s="3" t="str">
        <f t="shared" si="22"/>
        <v>Overweight</v>
      </c>
      <c r="H1445" t="s">
        <v>526</v>
      </c>
      <c r="I1445" t="s">
        <v>18</v>
      </c>
      <c r="J1445" t="s">
        <v>20</v>
      </c>
      <c r="K1445" t="s">
        <v>22</v>
      </c>
      <c r="L1445" t="s">
        <v>14</v>
      </c>
      <c r="M1445" t="s">
        <v>20</v>
      </c>
      <c r="N1445" t="s">
        <v>21</v>
      </c>
      <c r="O1445" t="s">
        <v>20</v>
      </c>
      <c r="P1445" t="s">
        <v>20</v>
      </c>
      <c r="Q1445" t="s">
        <v>22</v>
      </c>
    </row>
    <row r="1446" spans="1:17" x14ac:dyDescent="0.35">
      <c r="A1446">
        <v>1437</v>
      </c>
      <c r="B1446">
        <v>50</v>
      </c>
      <c r="C1446" t="s">
        <v>27</v>
      </c>
      <c r="D1446">
        <v>171</v>
      </c>
      <c r="E1446">
        <v>93</v>
      </c>
      <c r="F1446" s="3">
        <v>30.877653743750901</v>
      </c>
      <c r="G1446" s="3" t="str">
        <f t="shared" si="22"/>
        <v>Obese</v>
      </c>
      <c r="H1446" t="s">
        <v>937</v>
      </c>
      <c r="I1446" t="s">
        <v>31</v>
      </c>
      <c r="J1446" t="s">
        <v>20</v>
      </c>
      <c r="K1446" t="s">
        <v>18</v>
      </c>
      <c r="L1446" t="s">
        <v>14</v>
      </c>
      <c r="M1446" t="s">
        <v>19</v>
      </c>
      <c r="N1446" t="s">
        <v>21</v>
      </c>
      <c r="O1446" t="s">
        <v>19</v>
      </c>
      <c r="P1446" t="s">
        <v>20</v>
      </c>
      <c r="Q1446" t="s">
        <v>22</v>
      </c>
    </row>
    <row r="1447" spans="1:17" x14ac:dyDescent="0.35">
      <c r="A1447">
        <v>1440</v>
      </c>
      <c r="B1447">
        <v>19</v>
      </c>
      <c r="C1447" t="s">
        <v>16</v>
      </c>
      <c r="D1447">
        <v>166</v>
      </c>
      <c r="E1447">
        <v>51</v>
      </c>
      <c r="F1447" s="3">
        <v>23.085203578797898</v>
      </c>
      <c r="G1447" s="3" t="str">
        <f t="shared" si="22"/>
        <v>Normal Weight</v>
      </c>
      <c r="H1447" t="s">
        <v>1046</v>
      </c>
      <c r="I1447" t="s">
        <v>31</v>
      </c>
      <c r="J1447" t="s">
        <v>20</v>
      </c>
      <c r="K1447" t="s">
        <v>18</v>
      </c>
      <c r="L1447" t="s">
        <v>32</v>
      </c>
      <c r="M1447" t="s">
        <v>20</v>
      </c>
      <c r="N1447" t="s">
        <v>25</v>
      </c>
      <c r="O1447" t="s">
        <v>19</v>
      </c>
      <c r="P1447" t="s">
        <v>20</v>
      </c>
      <c r="Q1447" t="s">
        <v>18</v>
      </c>
    </row>
    <row r="1448" spans="1:17" x14ac:dyDescent="0.35">
      <c r="A1448">
        <v>1444</v>
      </c>
      <c r="B1448">
        <v>57</v>
      </c>
      <c r="C1448" t="s">
        <v>16</v>
      </c>
      <c r="D1448">
        <v>152</v>
      </c>
      <c r="E1448">
        <v>77</v>
      </c>
      <c r="F1448" s="3">
        <v>32.639677142844903</v>
      </c>
      <c r="G1448" s="3" t="str">
        <f t="shared" si="22"/>
        <v>Obese</v>
      </c>
      <c r="H1448" t="s">
        <v>734</v>
      </c>
      <c r="I1448" t="s">
        <v>18</v>
      </c>
      <c r="J1448" t="s">
        <v>19</v>
      </c>
      <c r="K1448" t="s">
        <v>18</v>
      </c>
      <c r="L1448" t="s">
        <v>29</v>
      </c>
      <c r="M1448" t="s">
        <v>20</v>
      </c>
      <c r="N1448" t="s">
        <v>21</v>
      </c>
      <c r="O1448" t="s">
        <v>20</v>
      </c>
      <c r="P1448" t="s">
        <v>20</v>
      </c>
      <c r="Q1448" t="s">
        <v>22</v>
      </c>
    </row>
    <row r="1449" spans="1:17" x14ac:dyDescent="0.35">
      <c r="A1449">
        <v>1447</v>
      </c>
      <c r="B1449">
        <v>68</v>
      </c>
      <c r="C1449" t="s">
        <v>16</v>
      </c>
      <c r="D1449">
        <v>158</v>
      </c>
      <c r="E1449">
        <v>52</v>
      </c>
      <c r="F1449" s="3">
        <v>21.857933287476101</v>
      </c>
      <c r="G1449" s="3" t="str">
        <f t="shared" si="22"/>
        <v>Normal Weight</v>
      </c>
      <c r="H1449" t="s">
        <v>124</v>
      </c>
      <c r="I1449" t="s">
        <v>24</v>
      </c>
      <c r="J1449" t="s">
        <v>19</v>
      </c>
      <c r="K1449" t="s">
        <v>18</v>
      </c>
      <c r="L1449" t="s">
        <v>29</v>
      </c>
      <c r="M1449" t="s">
        <v>20</v>
      </c>
      <c r="N1449" t="s">
        <v>25</v>
      </c>
      <c r="O1449" t="s">
        <v>20</v>
      </c>
      <c r="P1449" t="s">
        <v>20</v>
      </c>
      <c r="Q1449" t="s">
        <v>22</v>
      </c>
    </row>
    <row r="1450" spans="1:17" x14ac:dyDescent="0.35">
      <c r="A1450">
        <v>1448</v>
      </c>
      <c r="B1450">
        <v>23</v>
      </c>
      <c r="C1450" t="s">
        <v>16</v>
      </c>
      <c r="D1450">
        <v>178</v>
      </c>
      <c r="E1450">
        <v>84</v>
      </c>
      <c r="F1450" s="3">
        <v>32.9104584443837</v>
      </c>
      <c r="G1450" s="3" t="str">
        <f t="shared" si="22"/>
        <v>Obese</v>
      </c>
      <c r="H1450" t="s">
        <v>565</v>
      </c>
      <c r="I1450" t="s">
        <v>24</v>
      </c>
      <c r="J1450" t="s">
        <v>20</v>
      </c>
      <c r="K1450" t="s">
        <v>18</v>
      </c>
      <c r="L1450" t="s">
        <v>29</v>
      </c>
      <c r="M1450" t="s">
        <v>20</v>
      </c>
      <c r="N1450" t="s">
        <v>25</v>
      </c>
      <c r="O1450" t="s">
        <v>19</v>
      </c>
      <c r="P1450" t="s">
        <v>20</v>
      </c>
      <c r="Q1450" t="s">
        <v>40</v>
      </c>
    </row>
    <row r="1451" spans="1:17" x14ac:dyDescent="0.35">
      <c r="A1451">
        <v>1411</v>
      </c>
      <c r="B1451">
        <v>36</v>
      </c>
      <c r="C1451" t="s">
        <v>27</v>
      </c>
      <c r="D1451">
        <v>169</v>
      </c>
      <c r="E1451">
        <v>86</v>
      </c>
      <c r="F1451" s="3">
        <v>24.386713090762601</v>
      </c>
      <c r="G1451" s="3" t="str">
        <f t="shared" si="22"/>
        <v>Normal Weight</v>
      </c>
      <c r="H1451" t="s">
        <v>1031</v>
      </c>
      <c r="I1451" t="s">
        <v>24</v>
      </c>
      <c r="J1451" t="s">
        <v>20</v>
      </c>
      <c r="K1451" t="s">
        <v>22</v>
      </c>
      <c r="L1451" t="s">
        <v>38</v>
      </c>
      <c r="M1451" t="s">
        <v>20</v>
      </c>
      <c r="N1451" t="s">
        <v>21</v>
      </c>
      <c r="O1451" t="s">
        <v>20</v>
      </c>
      <c r="P1451" t="s">
        <v>20</v>
      </c>
      <c r="Q1451" t="s">
        <v>18</v>
      </c>
    </row>
    <row r="1452" spans="1:17" x14ac:dyDescent="0.35">
      <c r="A1452">
        <v>1646</v>
      </c>
      <c r="B1452">
        <v>36</v>
      </c>
      <c r="C1452" t="s">
        <v>16</v>
      </c>
      <c r="D1452">
        <v>186</v>
      </c>
      <c r="E1452">
        <v>92</v>
      </c>
      <c r="F1452" s="3">
        <v>28.340494394925599</v>
      </c>
      <c r="G1452" s="3" t="str">
        <f t="shared" si="22"/>
        <v>Overweight</v>
      </c>
      <c r="H1452" t="s">
        <v>815</v>
      </c>
      <c r="I1452" t="s">
        <v>18</v>
      </c>
      <c r="J1452" t="s">
        <v>20</v>
      </c>
      <c r="K1452" t="s">
        <v>22</v>
      </c>
      <c r="L1452" t="s">
        <v>38</v>
      </c>
      <c r="M1452" t="s">
        <v>20</v>
      </c>
      <c r="N1452" t="s">
        <v>21</v>
      </c>
      <c r="O1452" t="s">
        <v>19</v>
      </c>
      <c r="P1452" t="s">
        <v>19</v>
      </c>
      <c r="Q1452" t="s">
        <v>40</v>
      </c>
    </row>
    <row r="1453" spans="1:17" x14ac:dyDescent="0.35">
      <c r="A1453">
        <v>1451</v>
      </c>
      <c r="B1453">
        <v>24</v>
      </c>
      <c r="C1453" t="s">
        <v>16</v>
      </c>
      <c r="D1453">
        <v>162</v>
      </c>
      <c r="E1453">
        <v>69</v>
      </c>
      <c r="F1453" s="3">
        <v>23.929717361102</v>
      </c>
      <c r="G1453" s="3" t="str">
        <f t="shared" si="22"/>
        <v>Normal Weight</v>
      </c>
      <c r="H1453" t="s">
        <v>886</v>
      </c>
      <c r="I1453" t="s">
        <v>18</v>
      </c>
      <c r="J1453" t="s">
        <v>20</v>
      </c>
      <c r="K1453" t="s">
        <v>18</v>
      </c>
      <c r="L1453" t="s">
        <v>32</v>
      </c>
      <c r="M1453" t="s">
        <v>19</v>
      </c>
      <c r="N1453" t="s">
        <v>25</v>
      </c>
      <c r="O1453" t="s">
        <v>19</v>
      </c>
      <c r="P1453" t="s">
        <v>19</v>
      </c>
      <c r="Q1453" t="s">
        <v>40</v>
      </c>
    </row>
    <row r="1454" spans="1:17" x14ac:dyDescent="0.35">
      <c r="A1454">
        <v>1452</v>
      </c>
      <c r="B1454">
        <v>68</v>
      </c>
      <c r="C1454" t="s">
        <v>16</v>
      </c>
      <c r="D1454">
        <v>181</v>
      </c>
      <c r="E1454">
        <v>54</v>
      </c>
      <c r="F1454" s="3">
        <v>23.690695951332</v>
      </c>
      <c r="G1454" s="3" t="str">
        <f t="shared" si="22"/>
        <v>Normal Weight</v>
      </c>
      <c r="H1454" t="s">
        <v>447</v>
      </c>
      <c r="I1454" t="s">
        <v>18</v>
      </c>
      <c r="J1454" t="s">
        <v>19</v>
      </c>
      <c r="K1454" t="s">
        <v>18</v>
      </c>
      <c r="L1454" t="s">
        <v>32</v>
      </c>
      <c r="M1454" t="s">
        <v>20</v>
      </c>
      <c r="N1454" t="s">
        <v>21</v>
      </c>
      <c r="O1454" t="s">
        <v>19</v>
      </c>
      <c r="P1454" t="s">
        <v>19</v>
      </c>
      <c r="Q1454" t="s">
        <v>18</v>
      </c>
    </row>
    <row r="1455" spans="1:17" x14ac:dyDescent="0.35">
      <c r="A1455">
        <v>1740</v>
      </c>
      <c r="B1455">
        <v>36</v>
      </c>
      <c r="C1455" t="s">
        <v>16</v>
      </c>
      <c r="D1455">
        <v>172</v>
      </c>
      <c r="E1455">
        <v>91</v>
      </c>
      <c r="F1455" s="3">
        <v>30.724572910912698</v>
      </c>
      <c r="G1455" s="3" t="str">
        <f t="shared" si="22"/>
        <v>Obese</v>
      </c>
      <c r="H1455" t="s">
        <v>1176</v>
      </c>
      <c r="I1455" t="s">
        <v>31</v>
      </c>
      <c r="J1455" t="s">
        <v>19</v>
      </c>
      <c r="K1455" t="s">
        <v>22</v>
      </c>
      <c r="L1455" t="s">
        <v>32</v>
      </c>
      <c r="M1455" t="s">
        <v>19</v>
      </c>
      <c r="N1455" t="s">
        <v>21</v>
      </c>
      <c r="O1455" t="s">
        <v>20</v>
      </c>
      <c r="P1455" t="s">
        <v>20</v>
      </c>
      <c r="Q1455" t="s">
        <v>18</v>
      </c>
    </row>
    <row r="1456" spans="1:17" x14ac:dyDescent="0.35">
      <c r="A1456">
        <v>1455</v>
      </c>
      <c r="B1456">
        <v>69</v>
      </c>
      <c r="C1456" t="s">
        <v>27</v>
      </c>
      <c r="D1456">
        <v>189</v>
      </c>
      <c r="E1456">
        <v>68</v>
      </c>
      <c r="F1456" s="3">
        <v>19.2883925172431</v>
      </c>
      <c r="G1456" s="3" t="str">
        <f t="shared" si="22"/>
        <v>Normal Weight</v>
      </c>
      <c r="H1456" t="s">
        <v>1052</v>
      </c>
      <c r="I1456" t="s">
        <v>24</v>
      </c>
      <c r="J1456" t="s">
        <v>20</v>
      </c>
      <c r="K1456" t="s">
        <v>18</v>
      </c>
      <c r="L1456" t="s">
        <v>38</v>
      </c>
      <c r="M1456" t="s">
        <v>20</v>
      </c>
      <c r="N1456" t="s">
        <v>21</v>
      </c>
      <c r="O1456" t="s">
        <v>20</v>
      </c>
      <c r="P1456" t="s">
        <v>20</v>
      </c>
      <c r="Q1456" t="s">
        <v>18</v>
      </c>
    </row>
    <row r="1457" spans="1:17" x14ac:dyDescent="0.35">
      <c r="A1457">
        <v>1883</v>
      </c>
      <c r="B1457">
        <v>36</v>
      </c>
      <c r="C1457" t="s">
        <v>16</v>
      </c>
      <c r="D1457">
        <v>164</v>
      </c>
      <c r="E1457">
        <v>95</v>
      </c>
      <c r="F1457" s="3">
        <v>21.1300155987281</v>
      </c>
      <c r="G1457" s="3" t="str">
        <f t="shared" si="22"/>
        <v>Normal Weight</v>
      </c>
      <c r="H1457" t="s">
        <v>174</v>
      </c>
      <c r="I1457" t="s">
        <v>31</v>
      </c>
      <c r="J1457" t="s">
        <v>19</v>
      </c>
      <c r="K1457" t="s">
        <v>22</v>
      </c>
      <c r="L1457" t="s">
        <v>29</v>
      </c>
      <c r="M1457" t="s">
        <v>19</v>
      </c>
      <c r="N1457" t="s">
        <v>21</v>
      </c>
      <c r="O1457" t="s">
        <v>20</v>
      </c>
      <c r="P1457" t="s">
        <v>20</v>
      </c>
      <c r="Q1457" t="s">
        <v>22</v>
      </c>
    </row>
    <row r="1458" spans="1:17" x14ac:dyDescent="0.35">
      <c r="A1458">
        <v>1456</v>
      </c>
      <c r="B1458">
        <v>32</v>
      </c>
      <c r="C1458" t="s">
        <v>16</v>
      </c>
      <c r="D1458">
        <v>170</v>
      </c>
      <c r="E1458">
        <v>96</v>
      </c>
      <c r="F1458" s="3">
        <v>24.311811088667199</v>
      </c>
      <c r="G1458" s="3" t="str">
        <f t="shared" si="22"/>
        <v>Normal Weight</v>
      </c>
      <c r="H1458" t="s">
        <v>352</v>
      </c>
      <c r="I1458" t="s">
        <v>24</v>
      </c>
      <c r="J1458" t="s">
        <v>20</v>
      </c>
      <c r="K1458" t="s">
        <v>18</v>
      </c>
      <c r="L1458" t="s">
        <v>14</v>
      </c>
      <c r="M1458" t="s">
        <v>20</v>
      </c>
      <c r="N1458" t="s">
        <v>21</v>
      </c>
      <c r="O1458" t="s">
        <v>19</v>
      </c>
      <c r="P1458" t="s">
        <v>19</v>
      </c>
      <c r="Q1458" t="s">
        <v>22</v>
      </c>
    </row>
    <row r="1459" spans="1:17" x14ac:dyDescent="0.35">
      <c r="A1459">
        <v>1459</v>
      </c>
      <c r="B1459">
        <v>50</v>
      </c>
      <c r="C1459" t="s">
        <v>27</v>
      </c>
      <c r="D1459">
        <v>155</v>
      </c>
      <c r="E1459">
        <v>90</v>
      </c>
      <c r="F1459" s="3">
        <v>21.7860888103516</v>
      </c>
      <c r="G1459" s="3" t="str">
        <f t="shared" si="22"/>
        <v>Normal Weight</v>
      </c>
      <c r="H1459" t="s">
        <v>1054</v>
      </c>
      <c r="I1459" t="s">
        <v>31</v>
      </c>
      <c r="J1459" t="s">
        <v>19</v>
      </c>
      <c r="K1459" t="s">
        <v>18</v>
      </c>
      <c r="L1459" t="s">
        <v>38</v>
      </c>
      <c r="M1459" t="s">
        <v>20</v>
      </c>
      <c r="N1459" t="s">
        <v>25</v>
      </c>
      <c r="O1459" t="s">
        <v>20</v>
      </c>
      <c r="P1459" t="s">
        <v>19</v>
      </c>
      <c r="Q1459" t="s">
        <v>40</v>
      </c>
    </row>
    <row r="1460" spans="1:17" x14ac:dyDescent="0.35">
      <c r="A1460">
        <v>62</v>
      </c>
      <c r="B1460">
        <v>35</v>
      </c>
      <c r="C1460" t="s">
        <v>16</v>
      </c>
      <c r="D1460">
        <v>172</v>
      </c>
      <c r="E1460">
        <v>51</v>
      </c>
      <c r="F1460" s="3">
        <v>23.814114330729499</v>
      </c>
      <c r="G1460" s="3" t="str">
        <f t="shared" si="22"/>
        <v>Normal Weight</v>
      </c>
      <c r="H1460" t="s">
        <v>91</v>
      </c>
      <c r="I1460" t="s">
        <v>31</v>
      </c>
      <c r="J1460" t="s">
        <v>19</v>
      </c>
      <c r="K1460" t="s">
        <v>22</v>
      </c>
      <c r="L1460" t="s">
        <v>29</v>
      </c>
      <c r="M1460" t="s">
        <v>19</v>
      </c>
      <c r="N1460" t="s">
        <v>21</v>
      </c>
      <c r="O1460" t="s">
        <v>19</v>
      </c>
      <c r="P1460" t="s">
        <v>20</v>
      </c>
      <c r="Q1460" t="s">
        <v>18</v>
      </c>
    </row>
    <row r="1461" spans="1:17" x14ac:dyDescent="0.35">
      <c r="A1461">
        <v>1464</v>
      </c>
      <c r="B1461">
        <v>53</v>
      </c>
      <c r="C1461" t="s">
        <v>27</v>
      </c>
      <c r="D1461">
        <v>179</v>
      </c>
      <c r="E1461">
        <v>84</v>
      </c>
      <c r="F1461" s="3">
        <v>26.834406669776101</v>
      </c>
      <c r="G1461" s="3" t="str">
        <f t="shared" si="22"/>
        <v>Overweight</v>
      </c>
      <c r="H1461" t="s">
        <v>1058</v>
      </c>
      <c r="I1461" t="s">
        <v>31</v>
      </c>
      <c r="J1461" t="s">
        <v>20</v>
      </c>
      <c r="K1461" t="s">
        <v>18</v>
      </c>
      <c r="L1461" t="s">
        <v>14</v>
      </c>
      <c r="M1461" t="s">
        <v>20</v>
      </c>
      <c r="N1461" t="s">
        <v>25</v>
      </c>
      <c r="O1461" t="s">
        <v>19</v>
      </c>
      <c r="P1461" t="s">
        <v>20</v>
      </c>
      <c r="Q1461" t="s">
        <v>22</v>
      </c>
    </row>
    <row r="1462" spans="1:17" x14ac:dyDescent="0.35">
      <c r="A1462">
        <v>1465</v>
      </c>
      <c r="B1462">
        <v>46</v>
      </c>
      <c r="C1462" t="s">
        <v>27</v>
      </c>
      <c r="D1462">
        <v>166</v>
      </c>
      <c r="E1462">
        <v>63</v>
      </c>
      <c r="F1462" s="3">
        <v>34.808114350905903</v>
      </c>
      <c r="G1462" s="3" t="str">
        <f t="shared" si="22"/>
        <v>Obese</v>
      </c>
      <c r="H1462" t="s">
        <v>671</v>
      </c>
      <c r="I1462" t="s">
        <v>24</v>
      </c>
      <c r="J1462" t="s">
        <v>20</v>
      </c>
      <c r="K1462" t="s">
        <v>18</v>
      </c>
      <c r="L1462" t="s">
        <v>29</v>
      </c>
      <c r="M1462" t="s">
        <v>20</v>
      </c>
      <c r="N1462" t="s">
        <v>25</v>
      </c>
      <c r="O1462" t="s">
        <v>19</v>
      </c>
      <c r="P1462" t="s">
        <v>19</v>
      </c>
      <c r="Q1462" t="s">
        <v>40</v>
      </c>
    </row>
    <row r="1463" spans="1:17" x14ac:dyDescent="0.35">
      <c r="A1463">
        <v>344</v>
      </c>
      <c r="B1463">
        <v>35</v>
      </c>
      <c r="C1463" t="s">
        <v>27</v>
      </c>
      <c r="D1463">
        <v>168</v>
      </c>
      <c r="E1463">
        <v>79</v>
      </c>
      <c r="F1463" s="3">
        <v>18.947259763547802</v>
      </c>
      <c r="G1463" s="3" t="str">
        <f t="shared" si="22"/>
        <v>Normal Weight</v>
      </c>
      <c r="H1463" t="s">
        <v>346</v>
      </c>
      <c r="I1463" t="s">
        <v>18</v>
      </c>
      <c r="J1463" t="s">
        <v>20</v>
      </c>
      <c r="K1463" t="s">
        <v>22</v>
      </c>
      <c r="L1463" t="s">
        <v>38</v>
      </c>
      <c r="M1463" t="s">
        <v>20</v>
      </c>
      <c r="N1463" t="s">
        <v>21</v>
      </c>
      <c r="O1463" t="s">
        <v>20</v>
      </c>
      <c r="P1463" t="s">
        <v>20</v>
      </c>
      <c r="Q1463" t="s">
        <v>18</v>
      </c>
    </row>
    <row r="1464" spans="1:17" x14ac:dyDescent="0.35">
      <c r="A1464">
        <v>405</v>
      </c>
      <c r="B1464">
        <v>35</v>
      </c>
      <c r="C1464" t="s">
        <v>27</v>
      </c>
      <c r="D1464">
        <v>150</v>
      </c>
      <c r="E1464">
        <v>63</v>
      </c>
      <c r="F1464" s="3">
        <v>28.453549474286401</v>
      </c>
      <c r="G1464" s="3" t="str">
        <f t="shared" si="22"/>
        <v>Overweight</v>
      </c>
      <c r="H1464" t="s">
        <v>115</v>
      </c>
      <c r="I1464" t="s">
        <v>18</v>
      </c>
      <c r="J1464" t="s">
        <v>19</v>
      </c>
      <c r="K1464" t="s">
        <v>22</v>
      </c>
      <c r="L1464" t="s">
        <v>38</v>
      </c>
      <c r="M1464" t="s">
        <v>20</v>
      </c>
      <c r="N1464" t="s">
        <v>25</v>
      </c>
      <c r="O1464" t="s">
        <v>20</v>
      </c>
      <c r="P1464" t="s">
        <v>19</v>
      </c>
      <c r="Q1464" t="s">
        <v>40</v>
      </c>
    </row>
    <row r="1465" spans="1:17" x14ac:dyDescent="0.35">
      <c r="A1465">
        <v>1470</v>
      </c>
      <c r="B1465">
        <v>54</v>
      </c>
      <c r="C1465" t="s">
        <v>27</v>
      </c>
      <c r="D1465">
        <v>183</v>
      </c>
      <c r="E1465">
        <v>56</v>
      </c>
      <c r="F1465" s="3">
        <v>21.088893298410898</v>
      </c>
      <c r="G1465" s="3" t="str">
        <f t="shared" si="22"/>
        <v>Normal Weight</v>
      </c>
      <c r="H1465" t="s">
        <v>788</v>
      </c>
      <c r="I1465" t="s">
        <v>24</v>
      </c>
      <c r="J1465" t="s">
        <v>20</v>
      </c>
      <c r="K1465" t="s">
        <v>18</v>
      </c>
      <c r="L1465" t="s">
        <v>32</v>
      </c>
      <c r="M1465" t="s">
        <v>20</v>
      </c>
      <c r="N1465" t="s">
        <v>25</v>
      </c>
      <c r="O1465" t="s">
        <v>20</v>
      </c>
      <c r="P1465" t="s">
        <v>20</v>
      </c>
      <c r="Q1465" t="s">
        <v>18</v>
      </c>
    </row>
    <row r="1466" spans="1:17" x14ac:dyDescent="0.35">
      <c r="A1466">
        <v>1473</v>
      </c>
      <c r="B1466">
        <v>50</v>
      </c>
      <c r="C1466" t="s">
        <v>27</v>
      </c>
      <c r="D1466">
        <v>160</v>
      </c>
      <c r="E1466">
        <v>98</v>
      </c>
      <c r="F1466" s="3">
        <v>22.9267388070582</v>
      </c>
      <c r="G1466" s="3" t="str">
        <f t="shared" si="22"/>
        <v>Normal Weight</v>
      </c>
      <c r="H1466" t="s">
        <v>1060</v>
      </c>
      <c r="I1466" t="s">
        <v>18</v>
      </c>
      <c r="J1466" t="s">
        <v>20</v>
      </c>
      <c r="K1466" t="s">
        <v>18</v>
      </c>
      <c r="L1466" t="s">
        <v>38</v>
      </c>
      <c r="M1466" t="s">
        <v>19</v>
      </c>
      <c r="N1466" t="s">
        <v>25</v>
      </c>
      <c r="O1466" t="s">
        <v>19</v>
      </c>
      <c r="P1466" t="s">
        <v>20</v>
      </c>
      <c r="Q1466" t="s">
        <v>18</v>
      </c>
    </row>
    <row r="1467" spans="1:17" x14ac:dyDescent="0.35">
      <c r="A1467">
        <v>753</v>
      </c>
      <c r="B1467">
        <v>35</v>
      </c>
      <c r="C1467" t="s">
        <v>16</v>
      </c>
      <c r="D1467">
        <v>161</v>
      </c>
      <c r="E1467">
        <v>94</v>
      </c>
      <c r="F1467" s="3">
        <v>29.3332845895942</v>
      </c>
      <c r="G1467" s="3" t="str">
        <f t="shared" si="22"/>
        <v>Overweight</v>
      </c>
      <c r="H1467" t="s">
        <v>619</v>
      </c>
      <c r="I1467" t="s">
        <v>18</v>
      </c>
      <c r="J1467" t="s">
        <v>20</v>
      </c>
      <c r="K1467" t="s">
        <v>22</v>
      </c>
      <c r="L1467" t="s">
        <v>38</v>
      </c>
      <c r="M1467" t="s">
        <v>20</v>
      </c>
      <c r="N1467" t="s">
        <v>25</v>
      </c>
      <c r="O1467" t="s">
        <v>19</v>
      </c>
      <c r="P1467" t="s">
        <v>19</v>
      </c>
      <c r="Q1467" t="s">
        <v>18</v>
      </c>
    </row>
    <row r="1468" spans="1:17" x14ac:dyDescent="0.35">
      <c r="A1468">
        <v>826</v>
      </c>
      <c r="B1468">
        <v>35</v>
      </c>
      <c r="C1468" t="s">
        <v>16</v>
      </c>
      <c r="D1468">
        <v>166</v>
      </c>
      <c r="E1468">
        <v>53</v>
      </c>
      <c r="F1468" s="3">
        <v>25.1857528524929</v>
      </c>
      <c r="G1468" s="3" t="str">
        <f t="shared" si="22"/>
        <v>Overweight</v>
      </c>
      <c r="H1468" t="s">
        <v>705</v>
      </c>
      <c r="I1468" t="s">
        <v>24</v>
      </c>
      <c r="J1468" t="s">
        <v>20</v>
      </c>
      <c r="K1468" t="s">
        <v>22</v>
      </c>
      <c r="L1468" t="s">
        <v>38</v>
      </c>
      <c r="M1468" t="s">
        <v>20</v>
      </c>
      <c r="N1468" t="s">
        <v>25</v>
      </c>
      <c r="O1468" t="s">
        <v>20</v>
      </c>
      <c r="P1468" t="s">
        <v>19</v>
      </c>
      <c r="Q1468" t="s">
        <v>40</v>
      </c>
    </row>
    <row r="1469" spans="1:17" x14ac:dyDescent="0.35">
      <c r="A1469">
        <v>923</v>
      </c>
      <c r="B1469">
        <v>35</v>
      </c>
      <c r="C1469" t="s">
        <v>27</v>
      </c>
      <c r="D1469">
        <v>155</v>
      </c>
      <c r="E1469">
        <v>77</v>
      </c>
      <c r="F1469" s="3">
        <v>25.893410540170699</v>
      </c>
      <c r="G1469" s="3" t="str">
        <f t="shared" si="22"/>
        <v>Overweight</v>
      </c>
      <c r="H1469" t="s">
        <v>755</v>
      </c>
      <c r="I1469" t="s">
        <v>31</v>
      </c>
      <c r="J1469" t="s">
        <v>20</v>
      </c>
      <c r="K1469" t="s">
        <v>22</v>
      </c>
      <c r="L1469" t="s">
        <v>29</v>
      </c>
      <c r="M1469" t="s">
        <v>20</v>
      </c>
      <c r="N1469" t="s">
        <v>25</v>
      </c>
      <c r="O1469" t="s">
        <v>19</v>
      </c>
      <c r="P1469" t="s">
        <v>20</v>
      </c>
      <c r="Q1469" t="s">
        <v>40</v>
      </c>
    </row>
    <row r="1470" spans="1:17" x14ac:dyDescent="0.35">
      <c r="A1470">
        <v>1474</v>
      </c>
      <c r="B1470">
        <v>79</v>
      </c>
      <c r="C1470" t="s">
        <v>16</v>
      </c>
      <c r="D1470">
        <v>163</v>
      </c>
      <c r="E1470">
        <v>74</v>
      </c>
      <c r="F1470" s="3">
        <v>28.2482748030456</v>
      </c>
      <c r="G1470" s="3" t="str">
        <f t="shared" si="22"/>
        <v>Overweight</v>
      </c>
      <c r="H1470" t="s">
        <v>660</v>
      </c>
      <c r="I1470" t="s">
        <v>24</v>
      </c>
      <c r="J1470" t="s">
        <v>20</v>
      </c>
      <c r="K1470" t="s">
        <v>40</v>
      </c>
      <c r="L1470" t="s">
        <v>14</v>
      </c>
      <c r="M1470" t="s">
        <v>19</v>
      </c>
      <c r="N1470" t="s">
        <v>21</v>
      </c>
      <c r="O1470" t="s">
        <v>19</v>
      </c>
      <c r="P1470" t="s">
        <v>20</v>
      </c>
      <c r="Q1470" t="s">
        <v>22</v>
      </c>
    </row>
    <row r="1471" spans="1:17" x14ac:dyDescent="0.35">
      <c r="A1471">
        <v>1476</v>
      </c>
      <c r="B1471">
        <v>39</v>
      </c>
      <c r="C1471" t="s">
        <v>16</v>
      </c>
      <c r="D1471">
        <v>168</v>
      </c>
      <c r="E1471">
        <v>96</v>
      </c>
      <c r="F1471" s="3">
        <v>34.031102326962099</v>
      </c>
      <c r="G1471" s="3" t="str">
        <f t="shared" si="22"/>
        <v>Obese</v>
      </c>
      <c r="H1471" t="s">
        <v>601</v>
      </c>
      <c r="I1471" t="s">
        <v>24</v>
      </c>
      <c r="J1471" t="s">
        <v>19</v>
      </c>
      <c r="K1471" t="s">
        <v>18</v>
      </c>
      <c r="L1471" t="s">
        <v>14</v>
      </c>
      <c r="M1471" t="s">
        <v>19</v>
      </c>
      <c r="N1471" t="s">
        <v>25</v>
      </c>
      <c r="O1471" t="s">
        <v>19</v>
      </c>
      <c r="P1471" t="s">
        <v>20</v>
      </c>
      <c r="Q1471" t="s">
        <v>22</v>
      </c>
    </row>
    <row r="1472" spans="1:17" x14ac:dyDescent="0.35">
      <c r="A1472">
        <v>1089</v>
      </c>
      <c r="B1472">
        <v>35</v>
      </c>
      <c r="C1472" t="s">
        <v>16</v>
      </c>
      <c r="D1472">
        <v>161</v>
      </c>
      <c r="E1472">
        <v>64</v>
      </c>
      <c r="F1472" s="3">
        <v>30.055740166298399</v>
      </c>
      <c r="G1472" s="3" t="str">
        <f t="shared" si="22"/>
        <v>Obese</v>
      </c>
      <c r="H1472" t="s">
        <v>562</v>
      </c>
      <c r="I1472" t="s">
        <v>18</v>
      </c>
      <c r="J1472" t="s">
        <v>19</v>
      </c>
      <c r="K1472" t="s">
        <v>22</v>
      </c>
      <c r="L1472" t="s">
        <v>29</v>
      </c>
      <c r="M1472" t="s">
        <v>20</v>
      </c>
      <c r="N1472" t="s">
        <v>25</v>
      </c>
      <c r="O1472" t="s">
        <v>20</v>
      </c>
      <c r="P1472" t="s">
        <v>19</v>
      </c>
      <c r="Q1472" t="s">
        <v>40</v>
      </c>
    </row>
    <row r="1473" spans="1:17" x14ac:dyDescent="0.35">
      <c r="A1473">
        <v>1158</v>
      </c>
      <c r="B1473">
        <v>35</v>
      </c>
      <c r="C1473" t="s">
        <v>16</v>
      </c>
      <c r="D1473">
        <v>167</v>
      </c>
      <c r="E1473">
        <v>54</v>
      </c>
      <c r="F1473" s="3">
        <v>27.489607148611601</v>
      </c>
      <c r="G1473" s="3" t="str">
        <f t="shared" si="22"/>
        <v>Overweight</v>
      </c>
      <c r="H1473" t="s">
        <v>899</v>
      </c>
      <c r="I1473" t="s">
        <v>24</v>
      </c>
      <c r="J1473" t="s">
        <v>20</v>
      </c>
      <c r="K1473" t="s">
        <v>22</v>
      </c>
      <c r="L1473" t="s">
        <v>32</v>
      </c>
      <c r="M1473" t="s">
        <v>20</v>
      </c>
      <c r="N1473" t="s">
        <v>25</v>
      </c>
      <c r="O1473" t="s">
        <v>20</v>
      </c>
      <c r="P1473" t="s">
        <v>19</v>
      </c>
      <c r="Q1473" t="s">
        <v>40</v>
      </c>
    </row>
    <row r="1474" spans="1:17" x14ac:dyDescent="0.35">
      <c r="A1474">
        <v>1477</v>
      </c>
      <c r="B1474">
        <v>19</v>
      </c>
      <c r="C1474" t="s">
        <v>16</v>
      </c>
      <c r="D1474">
        <v>164</v>
      </c>
      <c r="E1474">
        <v>89</v>
      </c>
      <c r="F1474" s="3">
        <v>33.046983261394203</v>
      </c>
      <c r="G1474" s="3" t="str">
        <f t="shared" si="22"/>
        <v>Obese</v>
      </c>
      <c r="H1474" t="s">
        <v>1061</v>
      </c>
      <c r="I1474" t="s">
        <v>18</v>
      </c>
      <c r="J1474" t="s">
        <v>19</v>
      </c>
      <c r="K1474" t="s">
        <v>18</v>
      </c>
      <c r="L1474" t="s">
        <v>38</v>
      </c>
      <c r="M1474" t="s">
        <v>20</v>
      </c>
      <c r="N1474" t="s">
        <v>25</v>
      </c>
      <c r="O1474" t="s">
        <v>20</v>
      </c>
      <c r="P1474" t="s">
        <v>20</v>
      </c>
      <c r="Q1474" t="s">
        <v>18</v>
      </c>
    </row>
    <row r="1475" spans="1:17" x14ac:dyDescent="0.35">
      <c r="A1475">
        <v>1253</v>
      </c>
      <c r="B1475">
        <v>35</v>
      </c>
      <c r="C1475" t="s">
        <v>27</v>
      </c>
      <c r="D1475">
        <v>161</v>
      </c>
      <c r="E1475">
        <v>75</v>
      </c>
      <c r="F1475" s="3">
        <v>25.1372968257784</v>
      </c>
      <c r="G1475" s="3" t="str">
        <f t="shared" ref="G1475:G1538" si="23">_xlfn.IFS(F1475&lt;18.5, "Underweight", F1475&lt;=24.9, "Normal Weight", F1475&lt;=29.9, "Overweight", TRUE, "Obese")</f>
        <v>Overweight</v>
      </c>
      <c r="H1475" t="s">
        <v>708</v>
      </c>
      <c r="I1475" t="s">
        <v>31</v>
      </c>
      <c r="J1475" t="s">
        <v>20</v>
      </c>
      <c r="K1475" t="s">
        <v>22</v>
      </c>
      <c r="L1475" t="s">
        <v>14</v>
      </c>
      <c r="M1475" t="s">
        <v>20</v>
      </c>
      <c r="N1475" t="s">
        <v>21</v>
      </c>
      <c r="O1475" t="s">
        <v>20</v>
      </c>
      <c r="P1475" t="s">
        <v>20</v>
      </c>
      <c r="Q1475" t="s">
        <v>22</v>
      </c>
    </row>
    <row r="1476" spans="1:17" x14ac:dyDescent="0.35">
      <c r="A1476">
        <v>1421</v>
      </c>
      <c r="B1476">
        <v>35</v>
      </c>
      <c r="C1476" t="s">
        <v>27</v>
      </c>
      <c r="D1476">
        <v>174</v>
      </c>
      <c r="E1476">
        <v>51</v>
      </c>
      <c r="F1476" s="3">
        <v>30.731593687787498</v>
      </c>
      <c r="G1476" s="3" t="str">
        <f t="shared" si="23"/>
        <v>Obese</v>
      </c>
      <c r="H1476" t="s">
        <v>214</v>
      </c>
      <c r="I1476" t="s">
        <v>18</v>
      </c>
      <c r="J1476" t="s">
        <v>20</v>
      </c>
      <c r="K1476" t="s">
        <v>22</v>
      </c>
      <c r="L1476" t="s">
        <v>38</v>
      </c>
      <c r="M1476" t="s">
        <v>20</v>
      </c>
      <c r="N1476" t="s">
        <v>21</v>
      </c>
      <c r="O1476" t="s">
        <v>19</v>
      </c>
      <c r="P1476" t="s">
        <v>19</v>
      </c>
      <c r="Q1476" t="s">
        <v>22</v>
      </c>
    </row>
    <row r="1477" spans="1:17" x14ac:dyDescent="0.35">
      <c r="A1477">
        <v>1480</v>
      </c>
      <c r="B1477">
        <v>76</v>
      </c>
      <c r="C1477" t="s">
        <v>16</v>
      </c>
      <c r="D1477">
        <v>157</v>
      </c>
      <c r="E1477">
        <v>77</v>
      </c>
      <c r="F1477" s="3">
        <v>27.775388438155101</v>
      </c>
      <c r="G1477" s="3" t="str">
        <f t="shared" si="23"/>
        <v>Overweight</v>
      </c>
      <c r="H1477" t="s">
        <v>787</v>
      </c>
      <c r="I1477" t="s">
        <v>18</v>
      </c>
      <c r="J1477" t="s">
        <v>20</v>
      </c>
      <c r="K1477" t="s">
        <v>40</v>
      </c>
      <c r="L1477" t="s">
        <v>38</v>
      </c>
      <c r="M1477" t="s">
        <v>20</v>
      </c>
      <c r="N1477" t="s">
        <v>21</v>
      </c>
      <c r="O1477" t="s">
        <v>20</v>
      </c>
      <c r="P1477" t="s">
        <v>20</v>
      </c>
      <c r="Q1477" t="s">
        <v>18</v>
      </c>
    </row>
    <row r="1478" spans="1:17" x14ac:dyDescent="0.35">
      <c r="A1478">
        <v>1597</v>
      </c>
      <c r="B1478">
        <v>35</v>
      </c>
      <c r="C1478" t="s">
        <v>27</v>
      </c>
      <c r="D1478">
        <v>171</v>
      </c>
      <c r="E1478">
        <v>67</v>
      </c>
      <c r="F1478" s="3">
        <v>28.1632965345751</v>
      </c>
      <c r="G1478" s="3" t="str">
        <f t="shared" si="23"/>
        <v>Overweight</v>
      </c>
      <c r="H1478" t="s">
        <v>970</v>
      </c>
      <c r="I1478" t="s">
        <v>24</v>
      </c>
      <c r="J1478" t="s">
        <v>19</v>
      </c>
      <c r="K1478" t="s">
        <v>22</v>
      </c>
      <c r="L1478" t="s">
        <v>32</v>
      </c>
      <c r="M1478" t="s">
        <v>20</v>
      </c>
      <c r="N1478" t="s">
        <v>21</v>
      </c>
      <c r="O1478" t="s">
        <v>20</v>
      </c>
      <c r="P1478" t="s">
        <v>20</v>
      </c>
      <c r="Q1478" t="s">
        <v>18</v>
      </c>
    </row>
    <row r="1479" spans="1:17" x14ac:dyDescent="0.35">
      <c r="A1479">
        <v>1482</v>
      </c>
      <c r="B1479">
        <v>50</v>
      </c>
      <c r="C1479" t="s">
        <v>16</v>
      </c>
      <c r="D1479">
        <v>182</v>
      </c>
      <c r="E1479">
        <v>68</v>
      </c>
      <c r="F1479" s="3">
        <v>20.393242312580099</v>
      </c>
      <c r="G1479" s="3" t="str">
        <f t="shared" si="23"/>
        <v>Normal Weight</v>
      </c>
      <c r="H1479" t="s">
        <v>1063</v>
      </c>
      <c r="I1479" t="s">
        <v>24</v>
      </c>
      <c r="J1479" t="s">
        <v>19</v>
      </c>
      <c r="K1479" t="s">
        <v>18</v>
      </c>
      <c r="L1479" t="s">
        <v>32</v>
      </c>
      <c r="M1479" t="s">
        <v>20</v>
      </c>
      <c r="N1479" t="s">
        <v>21</v>
      </c>
      <c r="O1479" t="s">
        <v>20</v>
      </c>
      <c r="P1479" t="s">
        <v>20</v>
      </c>
      <c r="Q1479" t="s">
        <v>40</v>
      </c>
    </row>
    <row r="1480" spans="1:17" x14ac:dyDescent="0.35">
      <c r="A1480">
        <v>1733</v>
      </c>
      <c r="B1480">
        <v>35</v>
      </c>
      <c r="C1480" t="s">
        <v>27</v>
      </c>
      <c r="D1480">
        <v>163</v>
      </c>
      <c r="E1480">
        <v>79</v>
      </c>
      <c r="F1480" s="3">
        <v>27.4674930716197</v>
      </c>
      <c r="G1480" s="3" t="str">
        <f t="shared" si="23"/>
        <v>Overweight</v>
      </c>
      <c r="H1480" t="s">
        <v>598</v>
      </c>
      <c r="I1480" t="s">
        <v>31</v>
      </c>
      <c r="J1480" t="s">
        <v>19</v>
      </c>
      <c r="K1480" t="s">
        <v>22</v>
      </c>
      <c r="L1480" t="s">
        <v>38</v>
      </c>
      <c r="M1480" t="s">
        <v>20</v>
      </c>
      <c r="N1480" t="s">
        <v>25</v>
      </c>
      <c r="O1480" t="s">
        <v>20</v>
      </c>
      <c r="P1480" t="s">
        <v>19</v>
      </c>
      <c r="Q1480" t="s">
        <v>22</v>
      </c>
    </row>
    <row r="1481" spans="1:17" x14ac:dyDescent="0.35">
      <c r="A1481">
        <v>1483</v>
      </c>
      <c r="B1481">
        <v>71</v>
      </c>
      <c r="C1481" t="s">
        <v>16</v>
      </c>
      <c r="D1481">
        <v>182</v>
      </c>
      <c r="E1481">
        <v>91</v>
      </c>
      <c r="F1481" s="3">
        <v>20.581271357266498</v>
      </c>
      <c r="G1481" s="3" t="str">
        <f t="shared" si="23"/>
        <v>Normal Weight</v>
      </c>
      <c r="H1481" t="s">
        <v>628</v>
      </c>
      <c r="I1481" t="s">
        <v>31</v>
      </c>
      <c r="J1481" t="s">
        <v>19</v>
      </c>
      <c r="K1481" t="s">
        <v>40</v>
      </c>
      <c r="L1481" t="s">
        <v>38</v>
      </c>
      <c r="M1481" t="s">
        <v>19</v>
      </c>
      <c r="N1481" t="s">
        <v>21</v>
      </c>
      <c r="O1481" t="s">
        <v>20</v>
      </c>
      <c r="P1481" t="s">
        <v>19</v>
      </c>
      <c r="Q1481" t="s">
        <v>18</v>
      </c>
    </row>
    <row r="1482" spans="1:17" x14ac:dyDescent="0.35">
      <c r="A1482">
        <v>1484</v>
      </c>
      <c r="B1482">
        <v>55</v>
      </c>
      <c r="C1482" t="s">
        <v>16</v>
      </c>
      <c r="D1482">
        <v>168</v>
      </c>
      <c r="E1482">
        <v>66</v>
      </c>
      <c r="F1482" s="3">
        <v>27.237304647870499</v>
      </c>
      <c r="G1482" s="3" t="str">
        <f t="shared" si="23"/>
        <v>Overweight</v>
      </c>
      <c r="H1482" t="s">
        <v>54</v>
      </c>
      <c r="I1482" t="s">
        <v>31</v>
      </c>
      <c r="J1482" t="s">
        <v>20</v>
      </c>
      <c r="K1482" t="s">
        <v>18</v>
      </c>
      <c r="L1482" t="s">
        <v>29</v>
      </c>
      <c r="M1482" t="s">
        <v>19</v>
      </c>
      <c r="N1482" t="s">
        <v>21</v>
      </c>
      <c r="O1482" t="s">
        <v>19</v>
      </c>
      <c r="P1482" t="s">
        <v>20</v>
      </c>
      <c r="Q1482" t="s">
        <v>22</v>
      </c>
    </row>
    <row r="1483" spans="1:17" x14ac:dyDescent="0.35">
      <c r="A1483">
        <v>1487</v>
      </c>
      <c r="B1483">
        <v>64</v>
      </c>
      <c r="C1483" t="s">
        <v>27</v>
      </c>
      <c r="D1483">
        <v>189</v>
      </c>
      <c r="E1483">
        <v>56</v>
      </c>
      <c r="F1483" s="3">
        <v>30.4268468643535</v>
      </c>
      <c r="G1483" s="3" t="str">
        <f t="shared" si="23"/>
        <v>Obese</v>
      </c>
      <c r="H1483" t="s">
        <v>294</v>
      </c>
      <c r="I1483" t="s">
        <v>31</v>
      </c>
      <c r="J1483" t="s">
        <v>20</v>
      </c>
      <c r="K1483" t="s">
        <v>18</v>
      </c>
      <c r="L1483" t="s">
        <v>32</v>
      </c>
      <c r="M1483" t="s">
        <v>19</v>
      </c>
      <c r="N1483" t="s">
        <v>21</v>
      </c>
      <c r="O1483" t="s">
        <v>19</v>
      </c>
      <c r="P1483" t="s">
        <v>20</v>
      </c>
      <c r="Q1483" t="s">
        <v>22</v>
      </c>
    </row>
    <row r="1484" spans="1:17" x14ac:dyDescent="0.35">
      <c r="A1484">
        <v>1488</v>
      </c>
      <c r="B1484">
        <v>53</v>
      </c>
      <c r="C1484" t="s">
        <v>16</v>
      </c>
      <c r="D1484">
        <v>150</v>
      </c>
      <c r="E1484">
        <v>76</v>
      </c>
      <c r="F1484" s="3">
        <v>19.036028845387701</v>
      </c>
      <c r="G1484" s="3" t="str">
        <f t="shared" si="23"/>
        <v>Normal Weight</v>
      </c>
      <c r="H1484" t="s">
        <v>1065</v>
      </c>
      <c r="I1484" t="s">
        <v>18</v>
      </c>
      <c r="J1484" t="s">
        <v>20</v>
      </c>
      <c r="K1484" t="s">
        <v>18</v>
      </c>
      <c r="L1484" t="s">
        <v>14</v>
      </c>
      <c r="M1484" t="s">
        <v>20</v>
      </c>
      <c r="N1484" t="s">
        <v>21</v>
      </c>
      <c r="O1484" t="s">
        <v>20</v>
      </c>
      <c r="P1484" t="s">
        <v>20</v>
      </c>
      <c r="Q1484" t="s">
        <v>18</v>
      </c>
    </row>
    <row r="1485" spans="1:17" x14ac:dyDescent="0.35">
      <c r="A1485">
        <v>1490</v>
      </c>
      <c r="B1485">
        <v>41</v>
      </c>
      <c r="C1485" t="s">
        <v>27</v>
      </c>
      <c r="D1485">
        <v>183</v>
      </c>
      <c r="E1485">
        <v>83</v>
      </c>
      <c r="F1485" s="3">
        <v>27.396697603100598</v>
      </c>
      <c r="G1485" s="3" t="str">
        <f t="shared" si="23"/>
        <v>Overweight</v>
      </c>
      <c r="H1485" t="s">
        <v>174</v>
      </c>
      <c r="I1485" t="s">
        <v>24</v>
      </c>
      <c r="J1485" t="s">
        <v>19</v>
      </c>
      <c r="K1485" t="s">
        <v>18</v>
      </c>
      <c r="L1485" t="s">
        <v>38</v>
      </c>
      <c r="M1485" t="s">
        <v>19</v>
      </c>
      <c r="N1485" t="s">
        <v>21</v>
      </c>
      <c r="O1485" t="s">
        <v>20</v>
      </c>
      <c r="P1485" t="s">
        <v>19</v>
      </c>
      <c r="Q1485" t="s">
        <v>18</v>
      </c>
    </row>
    <row r="1486" spans="1:17" x14ac:dyDescent="0.35">
      <c r="A1486">
        <v>84</v>
      </c>
      <c r="B1486">
        <v>34</v>
      </c>
      <c r="C1486" t="s">
        <v>16</v>
      </c>
      <c r="D1486">
        <v>156</v>
      </c>
      <c r="E1486">
        <v>67</v>
      </c>
      <c r="F1486" s="3">
        <v>33.722961992050301</v>
      </c>
      <c r="G1486" s="3" t="str">
        <f t="shared" si="23"/>
        <v>Obese</v>
      </c>
      <c r="H1486" t="s">
        <v>112</v>
      </c>
      <c r="I1486" t="s">
        <v>31</v>
      </c>
      <c r="J1486" t="s">
        <v>19</v>
      </c>
      <c r="K1486" t="s">
        <v>22</v>
      </c>
      <c r="L1486" t="s">
        <v>32</v>
      </c>
      <c r="M1486" t="s">
        <v>20</v>
      </c>
      <c r="N1486" t="s">
        <v>21</v>
      </c>
      <c r="O1486" t="s">
        <v>19</v>
      </c>
      <c r="P1486" t="s">
        <v>20</v>
      </c>
      <c r="Q1486" t="s">
        <v>18</v>
      </c>
    </row>
    <row r="1487" spans="1:17" x14ac:dyDescent="0.35">
      <c r="A1487">
        <v>143</v>
      </c>
      <c r="B1487">
        <v>34</v>
      </c>
      <c r="C1487" t="s">
        <v>16</v>
      </c>
      <c r="D1487">
        <v>177</v>
      </c>
      <c r="E1487">
        <v>51</v>
      </c>
      <c r="F1487" s="3">
        <v>25.458258189177599</v>
      </c>
      <c r="G1487" s="3" t="str">
        <f t="shared" si="23"/>
        <v>Overweight</v>
      </c>
      <c r="H1487" t="s">
        <v>167</v>
      </c>
      <c r="I1487" t="s">
        <v>24</v>
      </c>
      <c r="J1487" t="s">
        <v>19</v>
      </c>
      <c r="K1487" t="s">
        <v>22</v>
      </c>
      <c r="L1487" t="s">
        <v>14</v>
      </c>
      <c r="M1487" t="s">
        <v>20</v>
      </c>
      <c r="N1487" t="s">
        <v>25</v>
      </c>
      <c r="O1487" t="s">
        <v>19</v>
      </c>
      <c r="P1487" t="s">
        <v>19</v>
      </c>
      <c r="Q1487" t="s">
        <v>22</v>
      </c>
    </row>
    <row r="1488" spans="1:17" x14ac:dyDescent="0.35">
      <c r="A1488">
        <v>282</v>
      </c>
      <c r="B1488">
        <v>34</v>
      </c>
      <c r="C1488" t="s">
        <v>27</v>
      </c>
      <c r="D1488">
        <v>170</v>
      </c>
      <c r="E1488">
        <v>64</v>
      </c>
      <c r="F1488" s="3">
        <v>29.412154202587899</v>
      </c>
      <c r="G1488" s="3" t="str">
        <f t="shared" si="23"/>
        <v>Overweight</v>
      </c>
      <c r="H1488" t="s">
        <v>291</v>
      </c>
      <c r="I1488" t="s">
        <v>24</v>
      </c>
      <c r="J1488" t="s">
        <v>19</v>
      </c>
      <c r="K1488" t="s">
        <v>22</v>
      </c>
      <c r="L1488" t="s">
        <v>14</v>
      </c>
      <c r="M1488" t="s">
        <v>20</v>
      </c>
      <c r="N1488" t="s">
        <v>21</v>
      </c>
      <c r="O1488" t="s">
        <v>20</v>
      </c>
      <c r="P1488" t="s">
        <v>19</v>
      </c>
      <c r="Q1488" t="s">
        <v>40</v>
      </c>
    </row>
    <row r="1489" spans="1:17" x14ac:dyDescent="0.35">
      <c r="A1489">
        <v>309</v>
      </c>
      <c r="B1489">
        <v>34</v>
      </c>
      <c r="C1489" t="s">
        <v>27</v>
      </c>
      <c r="D1489">
        <v>155</v>
      </c>
      <c r="E1489">
        <v>63</v>
      </c>
      <c r="F1489" s="3">
        <v>34.535447471870498</v>
      </c>
      <c r="G1489" s="3" t="str">
        <f t="shared" si="23"/>
        <v>Obese</v>
      </c>
      <c r="H1489" t="s">
        <v>315</v>
      </c>
      <c r="I1489" t="s">
        <v>24</v>
      </c>
      <c r="J1489" t="s">
        <v>20</v>
      </c>
      <c r="K1489" t="s">
        <v>22</v>
      </c>
      <c r="L1489" t="s">
        <v>14</v>
      </c>
      <c r="M1489" t="s">
        <v>19</v>
      </c>
      <c r="N1489" t="s">
        <v>25</v>
      </c>
      <c r="O1489" t="s">
        <v>20</v>
      </c>
      <c r="P1489" t="s">
        <v>20</v>
      </c>
      <c r="Q1489" t="s">
        <v>18</v>
      </c>
    </row>
    <row r="1490" spans="1:17" x14ac:dyDescent="0.35">
      <c r="A1490">
        <v>426</v>
      </c>
      <c r="B1490">
        <v>34</v>
      </c>
      <c r="C1490" t="s">
        <v>16</v>
      </c>
      <c r="D1490">
        <v>152</v>
      </c>
      <c r="E1490">
        <v>59</v>
      </c>
      <c r="F1490" s="3">
        <v>26.8242982469047</v>
      </c>
      <c r="G1490" s="3" t="str">
        <f t="shared" si="23"/>
        <v>Overweight</v>
      </c>
      <c r="H1490" t="s">
        <v>407</v>
      </c>
      <c r="I1490" t="s">
        <v>31</v>
      </c>
      <c r="J1490" t="s">
        <v>19</v>
      </c>
      <c r="K1490" t="s">
        <v>22</v>
      </c>
      <c r="L1490" t="s">
        <v>14</v>
      </c>
      <c r="M1490" t="s">
        <v>20</v>
      </c>
      <c r="N1490" t="s">
        <v>21</v>
      </c>
      <c r="O1490" t="s">
        <v>20</v>
      </c>
      <c r="P1490" t="s">
        <v>20</v>
      </c>
      <c r="Q1490" t="s">
        <v>22</v>
      </c>
    </row>
    <row r="1491" spans="1:17" x14ac:dyDescent="0.35">
      <c r="A1491">
        <v>1491</v>
      </c>
      <c r="B1491">
        <v>69</v>
      </c>
      <c r="C1491" t="s">
        <v>27</v>
      </c>
      <c r="D1491">
        <v>162</v>
      </c>
      <c r="E1491">
        <v>85</v>
      </c>
      <c r="F1491" s="3">
        <v>34.485442394533699</v>
      </c>
      <c r="G1491" s="3" t="str">
        <f t="shared" si="23"/>
        <v>Obese</v>
      </c>
      <c r="H1491" t="s">
        <v>607</v>
      </c>
      <c r="I1491" t="s">
        <v>18</v>
      </c>
      <c r="J1491" t="s">
        <v>20</v>
      </c>
      <c r="K1491" t="s">
        <v>18</v>
      </c>
      <c r="L1491" t="s">
        <v>29</v>
      </c>
      <c r="M1491" t="s">
        <v>20</v>
      </c>
      <c r="N1491" t="s">
        <v>25</v>
      </c>
      <c r="O1491" t="s">
        <v>20</v>
      </c>
      <c r="P1491" t="s">
        <v>19</v>
      </c>
      <c r="Q1491" t="s">
        <v>18</v>
      </c>
    </row>
    <row r="1492" spans="1:17" x14ac:dyDescent="0.35">
      <c r="A1492">
        <v>508</v>
      </c>
      <c r="B1492">
        <v>34</v>
      </c>
      <c r="C1492" t="s">
        <v>16</v>
      </c>
      <c r="D1492">
        <v>184</v>
      </c>
      <c r="E1492">
        <v>96</v>
      </c>
      <c r="F1492" s="3">
        <v>23.728918272390299</v>
      </c>
      <c r="G1492" s="3" t="str">
        <f t="shared" si="23"/>
        <v>Normal Weight</v>
      </c>
      <c r="H1492" t="s">
        <v>146</v>
      </c>
      <c r="I1492" t="s">
        <v>31</v>
      </c>
      <c r="J1492" t="s">
        <v>20</v>
      </c>
      <c r="K1492" t="s">
        <v>22</v>
      </c>
      <c r="L1492" t="s">
        <v>29</v>
      </c>
      <c r="M1492" t="s">
        <v>20</v>
      </c>
      <c r="N1492" t="s">
        <v>21</v>
      </c>
      <c r="O1492" t="s">
        <v>19</v>
      </c>
      <c r="P1492" t="s">
        <v>20</v>
      </c>
      <c r="Q1492" t="s">
        <v>40</v>
      </c>
    </row>
    <row r="1493" spans="1:17" x14ac:dyDescent="0.35">
      <c r="A1493">
        <v>1496</v>
      </c>
      <c r="B1493">
        <v>22</v>
      </c>
      <c r="C1493" t="s">
        <v>16</v>
      </c>
      <c r="D1493">
        <v>178</v>
      </c>
      <c r="E1493">
        <v>72</v>
      </c>
      <c r="F1493" s="3">
        <v>34.948013190643699</v>
      </c>
      <c r="G1493" s="3" t="str">
        <f t="shared" si="23"/>
        <v>Obese</v>
      </c>
      <c r="H1493" t="s">
        <v>1068</v>
      </c>
      <c r="I1493" t="s">
        <v>18</v>
      </c>
      <c r="J1493" t="s">
        <v>20</v>
      </c>
      <c r="K1493" t="s">
        <v>18</v>
      </c>
      <c r="L1493" t="s">
        <v>29</v>
      </c>
      <c r="M1493" t="s">
        <v>19</v>
      </c>
      <c r="N1493" t="s">
        <v>25</v>
      </c>
      <c r="O1493" t="s">
        <v>20</v>
      </c>
      <c r="P1493" t="s">
        <v>19</v>
      </c>
      <c r="Q1493" t="s">
        <v>18</v>
      </c>
    </row>
    <row r="1494" spans="1:17" x14ac:dyDescent="0.35">
      <c r="A1494">
        <v>1499</v>
      </c>
      <c r="B1494">
        <v>21</v>
      </c>
      <c r="C1494" t="s">
        <v>16</v>
      </c>
      <c r="D1494">
        <v>175</v>
      </c>
      <c r="E1494">
        <v>74</v>
      </c>
      <c r="F1494" s="3">
        <v>33.459779399707898</v>
      </c>
      <c r="G1494" s="3" t="str">
        <f t="shared" si="23"/>
        <v>Obese</v>
      </c>
      <c r="H1494" t="s">
        <v>1071</v>
      </c>
      <c r="I1494" t="s">
        <v>18</v>
      </c>
      <c r="J1494" t="s">
        <v>19</v>
      </c>
      <c r="K1494" t="s">
        <v>18</v>
      </c>
      <c r="L1494" t="s">
        <v>14</v>
      </c>
      <c r="M1494" t="s">
        <v>20</v>
      </c>
      <c r="N1494" t="s">
        <v>21</v>
      </c>
      <c r="O1494" t="s">
        <v>19</v>
      </c>
      <c r="P1494" t="s">
        <v>19</v>
      </c>
      <c r="Q1494" t="s">
        <v>22</v>
      </c>
    </row>
    <row r="1495" spans="1:17" x14ac:dyDescent="0.35">
      <c r="A1495">
        <v>1500</v>
      </c>
      <c r="B1495">
        <v>29</v>
      </c>
      <c r="C1495" t="s">
        <v>27</v>
      </c>
      <c r="D1495">
        <v>166</v>
      </c>
      <c r="E1495">
        <v>66</v>
      </c>
      <c r="F1495" s="3">
        <v>21.655495129756002</v>
      </c>
      <c r="G1495" s="3" t="str">
        <f t="shared" si="23"/>
        <v>Normal Weight</v>
      </c>
      <c r="H1495" t="s">
        <v>1072</v>
      </c>
      <c r="I1495" t="s">
        <v>24</v>
      </c>
      <c r="J1495" t="s">
        <v>20</v>
      </c>
      <c r="K1495" t="s">
        <v>18</v>
      </c>
      <c r="L1495" t="s">
        <v>38</v>
      </c>
      <c r="M1495" t="s">
        <v>19</v>
      </c>
      <c r="N1495" t="s">
        <v>25</v>
      </c>
      <c r="O1495" t="s">
        <v>20</v>
      </c>
      <c r="P1495" t="s">
        <v>20</v>
      </c>
      <c r="Q1495" t="s">
        <v>40</v>
      </c>
    </row>
    <row r="1496" spans="1:17" x14ac:dyDescent="0.35">
      <c r="A1496">
        <v>833</v>
      </c>
      <c r="B1496">
        <v>34</v>
      </c>
      <c r="C1496" t="s">
        <v>27</v>
      </c>
      <c r="D1496">
        <v>186</v>
      </c>
      <c r="E1496">
        <v>62</v>
      </c>
      <c r="F1496" s="3">
        <v>34.989279957791297</v>
      </c>
      <c r="G1496" s="3" t="str">
        <f t="shared" si="23"/>
        <v>Obese</v>
      </c>
      <c r="H1496" t="s">
        <v>710</v>
      </c>
      <c r="I1496" t="s">
        <v>18</v>
      </c>
      <c r="J1496" t="s">
        <v>19</v>
      </c>
      <c r="K1496" t="s">
        <v>22</v>
      </c>
      <c r="L1496" t="s">
        <v>38</v>
      </c>
      <c r="M1496" t="s">
        <v>19</v>
      </c>
      <c r="N1496" t="s">
        <v>21</v>
      </c>
      <c r="O1496" t="s">
        <v>20</v>
      </c>
      <c r="P1496" t="s">
        <v>20</v>
      </c>
      <c r="Q1496" t="s">
        <v>18</v>
      </c>
    </row>
    <row r="1497" spans="1:17" x14ac:dyDescent="0.35">
      <c r="A1497">
        <v>857</v>
      </c>
      <c r="B1497">
        <v>34</v>
      </c>
      <c r="C1497" t="s">
        <v>27</v>
      </c>
      <c r="D1497">
        <v>153</v>
      </c>
      <c r="E1497">
        <v>64</v>
      </c>
      <c r="F1497" s="3">
        <v>32.044008652841597</v>
      </c>
      <c r="G1497" s="3" t="str">
        <f t="shared" si="23"/>
        <v>Obese</v>
      </c>
      <c r="H1497" t="s">
        <v>724</v>
      </c>
      <c r="I1497" t="s">
        <v>24</v>
      </c>
      <c r="J1497" t="s">
        <v>20</v>
      </c>
      <c r="K1497" t="s">
        <v>22</v>
      </c>
      <c r="L1497" t="s">
        <v>14</v>
      </c>
      <c r="M1497" t="s">
        <v>20</v>
      </c>
      <c r="N1497" t="s">
        <v>25</v>
      </c>
      <c r="O1497" t="s">
        <v>19</v>
      </c>
      <c r="P1497" t="s">
        <v>20</v>
      </c>
      <c r="Q1497" t="s">
        <v>18</v>
      </c>
    </row>
    <row r="1498" spans="1:17" x14ac:dyDescent="0.35">
      <c r="A1498">
        <v>1501</v>
      </c>
      <c r="B1498">
        <v>62</v>
      </c>
      <c r="C1498" t="s">
        <v>27</v>
      </c>
      <c r="D1498">
        <v>156</v>
      </c>
      <c r="E1498">
        <v>95</v>
      </c>
      <c r="F1498" s="3">
        <v>28.654577098043202</v>
      </c>
      <c r="G1498" s="3" t="str">
        <f t="shared" si="23"/>
        <v>Overweight</v>
      </c>
      <c r="H1498" t="s">
        <v>1073</v>
      </c>
      <c r="I1498" t="s">
        <v>18</v>
      </c>
      <c r="J1498" t="s">
        <v>19</v>
      </c>
      <c r="K1498" t="s">
        <v>18</v>
      </c>
      <c r="L1498" t="s">
        <v>29</v>
      </c>
      <c r="M1498" t="s">
        <v>20</v>
      </c>
      <c r="N1498" t="s">
        <v>25</v>
      </c>
      <c r="O1498" t="s">
        <v>20</v>
      </c>
      <c r="P1498" t="s">
        <v>20</v>
      </c>
      <c r="Q1498" t="s">
        <v>18</v>
      </c>
    </row>
    <row r="1499" spans="1:17" x14ac:dyDescent="0.35">
      <c r="A1499">
        <v>1020</v>
      </c>
      <c r="B1499">
        <v>34</v>
      </c>
      <c r="C1499" t="s">
        <v>27</v>
      </c>
      <c r="D1499">
        <v>169</v>
      </c>
      <c r="E1499">
        <v>68</v>
      </c>
      <c r="F1499" s="3">
        <v>34.2122912929783</v>
      </c>
      <c r="G1499" s="3" t="str">
        <f t="shared" si="23"/>
        <v>Obese</v>
      </c>
      <c r="H1499" t="s">
        <v>412</v>
      </c>
      <c r="I1499" t="s">
        <v>31</v>
      </c>
      <c r="J1499" t="s">
        <v>19</v>
      </c>
      <c r="K1499" t="s">
        <v>22</v>
      </c>
      <c r="L1499" t="s">
        <v>38</v>
      </c>
      <c r="M1499" t="s">
        <v>20</v>
      </c>
      <c r="N1499" t="s">
        <v>21</v>
      </c>
      <c r="O1499" t="s">
        <v>20</v>
      </c>
      <c r="P1499" t="s">
        <v>19</v>
      </c>
      <c r="Q1499" t="s">
        <v>40</v>
      </c>
    </row>
    <row r="1500" spans="1:17" x14ac:dyDescent="0.35">
      <c r="A1500">
        <v>1503</v>
      </c>
      <c r="B1500">
        <v>44</v>
      </c>
      <c r="C1500" t="s">
        <v>27</v>
      </c>
      <c r="D1500">
        <v>154</v>
      </c>
      <c r="E1500">
        <v>60</v>
      </c>
      <c r="F1500" s="3">
        <v>19.177859021766601</v>
      </c>
      <c r="G1500" s="3" t="str">
        <f t="shared" si="23"/>
        <v>Normal Weight</v>
      </c>
      <c r="H1500" t="s">
        <v>636</v>
      </c>
      <c r="I1500" t="s">
        <v>18</v>
      </c>
      <c r="J1500" t="s">
        <v>20</v>
      </c>
      <c r="K1500" t="s">
        <v>18</v>
      </c>
      <c r="L1500" t="s">
        <v>32</v>
      </c>
      <c r="M1500" t="s">
        <v>19</v>
      </c>
      <c r="N1500" t="s">
        <v>21</v>
      </c>
      <c r="O1500" t="s">
        <v>19</v>
      </c>
      <c r="P1500" t="s">
        <v>20</v>
      </c>
      <c r="Q1500" t="s">
        <v>18</v>
      </c>
    </row>
    <row r="1501" spans="1:17" x14ac:dyDescent="0.35">
      <c r="A1501">
        <v>1505</v>
      </c>
      <c r="B1501">
        <v>68</v>
      </c>
      <c r="C1501" t="s">
        <v>16</v>
      </c>
      <c r="D1501">
        <v>152</v>
      </c>
      <c r="E1501">
        <v>83</v>
      </c>
      <c r="F1501" s="3">
        <v>22.8762706212941</v>
      </c>
      <c r="G1501" s="3" t="str">
        <f t="shared" si="23"/>
        <v>Normal Weight</v>
      </c>
      <c r="H1501" t="s">
        <v>1074</v>
      </c>
      <c r="I1501" t="s">
        <v>18</v>
      </c>
      <c r="J1501" t="s">
        <v>20</v>
      </c>
      <c r="K1501" t="s">
        <v>18</v>
      </c>
      <c r="L1501" t="s">
        <v>14</v>
      </c>
      <c r="M1501" t="s">
        <v>19</v>
      </c>
      <c r="N1501" t="s">
        <v>21</v>
      </c>
      <c r="O1501" t="s">
        <v>20</v>
      </c>
      <c r="P1501" t="s">
        <v>19</v>
      </c>
      <c r="Q1501" t="s">
        <v>18</v>
      </c>
    </row>
    <row r="1502" spans="1:17" x14ac:dyDescent="0.35">
      <c r="A1502">
        <v>1106</v>
      </c>
      <c r="B1502">
        <v>34</v>
      </c>
      <c r="C1502" t="s">
        <v>16</v>
      </c>
      <c r="D1502">
        <v>157</v>
      </c>
      <c r="E1502">
        <v>68</v>
      </c>
      <c r="F1502" s="3">
        <v>23.999447687863601</v>
      </c>
      <c r="G1502" s="3" t="str">
        <f t="shared" si="23"/>
        <v>Normal Weight</v>
      </c>
      <c r="H1502" t="s">
        <v>656</v>
      </c>
      <c r="I1502" t="s">
        <v>31</v>
      </c>
      <c r="J1502" t="s">
        <v>19</v>
      </c>
      <c r="K1502" t="s">
        <v>22</v>
      </c>
      <c r="L1502" t="s">
        <v>38</v>
      </c>
      <c r="M1502" t="s">
        <v>20</v>
      </c>
      <c r="N1502" t="s">
        <v>21</v>
      </c>
      <c r="O1502" t="s">
        <v>19</v>
      </c>
      <c r="P1502" t="s">
        <v>19</v>
      </c>
      <c r="Q1502" t="s">
        <v>40</v>
      </c>
    </row>
    <row r="1503" spans="1:17" x14ac:dyDescent="0.35">
      <c r="A1503">
        <v>1507</v>
      </c>
      <c r="B1503">
        <v>53</v>
      </c>
      <c r="C1503" t="s">
        <v>16</v>
      </c>
      <c r="D1503">
        <v>188</v>
      </c>
      <c r="E1503">
        <v>52</v>
      </c>
      <c r="F1503" s="3">
        <v>34.155043211916599</v>
      </c>
      <c r="G1503" s="3" t="str">
        <f t="shared" si="23"/>
        <v>Obese</v>
      </c>
      <c r="H1503" t="s">
        <v>279</v>
      </c>
      <c r="I1503" t="s">
        <v>24</v>
      </c>
      <c r="J1503" t="s">
        <v>19</v>
      </c>
      <c r="K1503" t="s">
        <v>18</v>
      </c>
      <c r="L1503" t="s">
        <v>38</v>
      </c>
      <c r="M1503" t="s">
        <v>20</v>
      </c>
      <c r="N1503" t="s">
        <v>21</v>
      </c>
      <c r="O1503" t="s">
        <v>19</v>
      </c>
      <c r="P1503" t="s">
        <v>20</v>
      </c>
      <c r="Q1503" t="s">
        <v>18</v>
      </c>
    </row>
    <row r="1504" spans="1:17" x14ac:dyDescent="0.35">
      <c r="A1504">
        <v>1510</v>
      </c>
      <c r="B1504">
        <v>60</v>
      </c>
      <c r="C1504" t="s">
        <v>27</v>
      </c>
      <c r="D1504">
        <v>174</v>
      </c>
      <c r="E1504">
        <v>63</v>
      </c>
      <c r="F1504" s="3">
        <v>19.413436979483699</v>
      </c>
      <c r="G1504" s="3" t="str">
        <f t="shared" si="23"/>
        <v>Normal Weight</v>
      </c>
      <c r="H1504" t="s">
        <v>1076</v>
      </c>
      <c r="I1504" t="s">
        <v>18</v>
      </c>
      <c r="J1504" t="s">
        <v>20</v>
      </c>
      <c r="K1504" t="s">
        <v>18</v>
      </c>
      <c r="L1504" t="s">
        <v>32</v>
      </c>
      <c r="M1504" t="s">
        <v>20</v>
      </c>
      <c r="N1504" t="s">
        <v>21</v>
      </c>
      <c r="O1504" t="s">
        <v>20</v>
      </c>
      <c r="P1504" t="s">
        <v>20</v>
      </c>
      <c r="Q1504" t="s">
        <v>18</v>
      </c>
    </row>
    <row r="1505" spans="1:17" x14ac:dyDescent="0.35">
      <c r="A1505">
        <v>1189</v>
      </c>
      <c r="B1505">
        <v>34</v>
      </c>
      <c r="C1505" t="s">
        <v>27</v>
      </c>
      <c r="D1505">
        <v>153</v>
      </c>
      <c r="E1505">
        <v>79</v>
      </c>
      <c r="F1505" s="3">
        <v>31.422140478960301</v>
      </c>
      <c r="G1505" s="3" t="str">
        <f t="shared" si="23"/>
        <v>Obese</v>
      </c>
      <c r="H1505" t="s">
        <v>368</v>
      </c>
      <c r="I1505" t="s">
        <v>18</v>
      </c>
      <c r="J1505" t="s">
        <v>19</v>
      </c>
      <c r="K1505" t="s">
        <v>22</v>
      </c>
      <c r="L1505" t="s">
        <v>32</v>
      </c>
      <c r="M1505" t="s">
        <v>20</v>
      </c>
      <c r="N1505" t="s">
        <v>25</v>
      </c>
      <c r="O1505" t="s">
        <v>19</v>
      </c>
      <c r="P1505" t="s">
        <v>20</v>
      </c>
      <c r="Q1505" t="s">
        <v>22</v>
      </c>
    </row>
    <row r="1506" spans="1:17" x14ac:dyDescent="0.35">
      <c r="A1506">
        <v>1237</v>
      </c>
      <c r="B1506">
        <v>34</v>
      </c>
      <c r="C1506" t="s">
        <v>16</v>
      </c>
      <c r="D1506">
        <v>167</v>
      </c>
      <c r="E1506">
        <v>89</v>
      </c>
      <c r="F1506" s="3">
        <v>31.4153036251478</v>
      </c>
      <c r="G1506" s="3" t="str">
        <f t="shared" si="23"/>
        <v>Obese</v>
      </c>
      <c r="H1506" t="s">
        <v>782</v>
      </c>
      <c r="I1506" t="s">
        <v>24</v>
      </c>
      <c r="J1506" t="s">
        <v>20</v>
      </c>
      <c r="K1506" t="s">
        <v>22</v>
      </c>
      <c r="L1506" t="s">
        <v>29</v>
      </c>
      <c r="M1506" t="s">
        <v>19</v>
      </c>
      <c r="N1506" t="s">
        <v>21</v>
      </c>
      <c r="O1506" t="s">
        <v>19</v>
      </c>
      <c r="P1506" t="s">
        <v>19</v>
      </c>
      <c r="Q1506" t="s">
        <v>22</v>
      </c>
    </row>
    <row r="1507" spans="1:17" x14ac:dyDescent="0.35">
      <c r="A1507">
        <v>1244</v>
      </c>
      <c r="B1507">
        <v>34</v>
      </c>
      <c r="C1507" t="s">
        <v>16</v>
      </c>
      <c r="D1507">
        <v>151</v>
      </c>
      <c r="E1507">
        <v>77</v>
      </c>
      <c r="F1507" s="3">
        <v>19.6966182297489</v>
      </c>
      <c r="G1507" s="3" t="str">
        <f t="shared" si="23"/>
        <v>Normal Weight</v>
      </c>
      <c r="H1507" t="s">
        <v>948</v>
      </c>
      <c r="I1507" t="s">
        <v>31</v>
      </c>
      <c r="J1507" t="s">
        <v>20</v>
      </c>
      <c r="K1507" t="s">
        <v>22</v>
      </c>
      <c r="L1507" t="s">
        <v>29</v>
      </c>
      <c r="M1507" t="s">
        <v>20</v>
      </c>
      <c r="N1507" t="s">
        <v>21</v>
      </c>
      <c r="O1507" t="s">
        <v>19</v>
      </c>
      <c r="P1507" t="s">
        <v>19</v>
      </c>
      <c r="Q1507" t="s">
        <v>18</v>
      </c>
    </row>
    <row r="1508" spans="1:17" x14ac:dyDescent="0.35">
      <c r="A1508">
        <v>1511</v>
      </c>
      <c r="B1508">
        <v>44</v>
      </c>
      <c r="C1508" t="s">
        <v>16</v>
      </c>
      <c r="D1508">
        <v>152</v>
      </c>
      <c r="E1508">
        <v>75</v>
      </c>
      <c r="F1508" s="3">
        <v>27.378996665656899</v>
      </c>
      <c r="G1508" s="3" t="str">
        <f t="shared" si="23"/>
        <v>Overweight</v>
      </c>
      <c r="H1508" t="s">
        <v>515</v>
      </c>
      <c r="I1508" t="s">
        <v>18</v>
      </c>
      <c r="J1508" t="s">
        <v>20</v>
      </c>
      <c r="K1508" t="s">
        <v>18</v>
      </c>
      <c r="L1508" t="s">
        <v>29</v>
      </c>
      <c r="M1508" t="s">
        <v>20</v>
      </c>
      <c r="N1508" t="s">
        <v>25</v>
      </c>
      <c r="O1508" t="s">
        <v>20</v>
      </c>
      <c r="P1508" t="s">
        <v>19</v>
      </c>
      <c r="Q1508" t="s">
        <v>18</v>
      </c>
    </row>
    <row r="1509" spans="1:17" x14ac:dyDescent="0.35">
      <c r="A1509">
        <v>1436</v>
      </c>
      <c r="B1509">
        <v>34</v>
      </c>
      <c r="C1509" t="s">
        <v>16</v>
      </c>
      <c r="D1509">
        <v>188</v>
      </c>
      <c r="E1509">
        <v>69</v>
      </c>
      <c r="F1509" s="3">
        <v>25.3254811391229</v>
      </c>
      <c r="G1509" s="3" t="str">
        <f t="shared" si="23"/>
        <v>Overweight</v>
      </c>
      <c r="H1509" t="s">
        <v>1044</v>
      </c>
      <c r="I1509" t="s">
        <v>31</v>
      </c>
      <c r="J1509" t="s">
        <v>19</v>
      </c>
      <c r="K1509" t="s">
        <v>22</v>
      </c>
      <c r="L1509" t="s">
        <v>38</v>
      </c>
      <c r="M1509" t="s">
        <v>19</v>
      </c>
      <c r="N1509" t="s">
        <v>21</v>
      </c>
      <c r="O1509" t="s">
        <v>20</v>
      </c>
      <c r="P1509" t="s">
        <v>20</v>
      </c>
      <c r="Q1509" t="s">
        <v>22</v>
      </c>
    </row>
    <row r="1510" spans="1:17" x14ac:dyDescent="0.35">
      <c r="A1510">
        <v>1601</v>
      </c>
      <c r="B1510">
        <v>34</v>
      </c>
      <c r="C1510" t="s">
        <v>27</v>
      </c>
      <c r="D1510">
        <v>165</v>
      </c>
      <c r="E1510">
        <v>74</v>
      </c>
      <c r="F1510" s="3">
        <v>24.5437253724076</v>
      </c>
      <c r="G1510" s="3" t="str">
        <f t="shared" si="23"/>
        <v>Normal Weight</v>
      </c>
      <c r="H1510" t="s">
        <v>613</v>
      </c>
      <c r="I1510" t="s">
        <v>18</v>
      </c>
      <c r="J1510" t="s">
        <v>20</v>
      </c>
      <c r="K1510" t="s">
        <v>22</v>
      </c>
      <c r="L1510" t="s">
        <v>38</v>
      </c>
      <c r="M1510" t="s">
        <v>19</v>
      </c>
      <c r="N1510" t="s">
        <v>25</v>
      </c>
      <c r="O1510" t="s">
        <v>19</v>
      </c>
      <c r="P1510" t="s">
        <v>20</v>
      </c>
      <c r="Q1510" t="s">
        <v>18</v>
      </c>
    </row>
    <row r="1511" spans="1:17" x14ac:dyDescent="0.35">
      <c r="A1511">
        <v>1626</v>
      </c>
      <c r="B1511">
        <v>34</v>
      </c>
      <c r="C1511" t="s">
        <v>27</v>
      </c>
      <c r="D1511">
        <v>150</v>
      </c>
      <c r="E1511">
        <v>70</v>
      </c>
      <c r="F1511" s="3">
        <v>34.041442189796904</v>
      </c>
      <c r="G1511" s="3" t="str">
        <f t="shared" si="23"/>
        <v>Obese</v>
      </c>
      <c r="H1511" t="s">
        <v>1122</v>
      </c>
      <c r="I1511" t="s">
        <v>24</v>
      </c>
      <c r="J1511" t="s">
        <v>19</v>
      </c>
      <c r="K1511" t="s">
        <v>22</v>
      </c>
      <c r="L1511" t="s">
        <v>14</v>
      </c>
      <c r="M1511" t="s">
        <v>19</v>
      </c>
      <c r="N1511" t="s">
        <v>25</v>
      </c>
      <c r="O1511" t="s">
        <v>19</v>
      </c>
      <c r="P1511" t="s">
        <v>20</v>
      </c>
      <c r="Q1511" t="s">
        <v>22</v>
      </c>
    </row>
    <row r="1512" spans="1:17" x14ac:dyDescent="0.35">
      <c r="A1512">
        <v>1775</v>
      </c>
      <c r="B1512">
        <v>34</v>
      </c>
      <c r="C1512" t="s">
        <v>27</v>
      </c>
      <c r="D1512">
        <v>151</v>
      </c>
      <c r="E1512">
        <v>77</v>
      </c>
      <c r="F1512" s="3">
        <v>26.083940446881499</v>
      </c>
      <c r="G1512" s="3" t="str">
        <f t="shared" si="23"/>
        <v>Overweight</v>
      </c>
      <c r="H1512" t="s">
        <v>1190</v>
      </c>
      <c r="I1512" t="s">
        <v>31</v>
      </c>
      <c r="J1512" t="s">
        <v>19</v>
      </c>
      <c r="K1512" t="s">
        <v>22</v>
      </c>
      <c r="L1512" t="s">
        <v>38</v>
      </c>
      <c r="M1512" t="s">
        <v>20</v>
      </c>
      <c r="N1512" t="s">
        <v>21</v>
      </c>
      <c r="O1512" t="s">
        <v>20</v>
      </c>
      <c r="P1512" t="s">
        <v>19</v>
      </c>
      <c r="Q1512" t="s">
        <v>40</v>
      </c>
    </row>
    <row r="1513" spans="1:17" x14ac:dyDescent="0.35">
      <c r="A1513">
        <v>1783</v>
      </c>
      <c r="B1513">
        <v>34</v>
      </c>
      <c r="C1513" t="s">
        <v>16</v>
      </c>
      <c r="D1513">
        <v>189</v>
      </c>
      <c r="E1513">
        <v>93</v>
      </c>
      <c r="F1513" s="3">
        <v>22.429059913690899</v>
      </c>
      <c r="G1513" s="3" t="str">
        <f t="shared" si="23"/>
        <v>Normal Weight</v>
      </c>
      <c r="H1513" t="s">
        <v>1193</v>
      </c>
      <c r="I1513" t="s">
        <v>24</v>
      </c>
      <c r="J1513" t="s">
        <v>19</v>
      </c>
      <c r="K1513" t="s">
        <v>22</v>
      </c>
      <c r="L1513" t="s">
        <v>14</v>
      </c>
      <c r="M1513" t="s">
        <v>19</v>
      </c>
      <c r="N1513" t="s">
        <v>25</v>
      </c>
      <c r="O1513" t="s">
        <v>19</v>
      </c>
      <c r="P1513" t="s">
        <v>20</v>
      </c>
      <c r="Q1513" t="s">
        <v>18</v>
      </c>
    </row>
    <row r="1514" spans="1:17" x14ac:dyDescent="0.35">
      <c r="A1514">
        <v>1786</v>
      </c>
      <c r="B1514">
        <v>34</v>
      </c>
      <c r="C1514" t="s">
        <v>27</v>
      </c>
      <c r="D1514">
        <v>157</v>
      </c>
      <c r="E1514">
        <v>64</v>
      </c>
      <c r="F1514" s="3">
        <v>20.368516952057</v>
      </c>
      <c r="G1514" s="3" t="str">
        <f t="shared" si="23"/>
        <v>Normal Weight</v>
      </c>
      <c r="H1514" t="s">
        <v>1194</v>
      </c>
      <c r="I1514" t="s">
        <v>31</v>
      </c>
      <c r="J1514" t="s">
        <v>20</v>
      </c>
      <c r="K1514" t="s">
        <v>22</v>
      </c>
      <c r="L1514" t="s">
        <v>29</v>
      </c>
      <c r="M1514" t="s">
        <v>20</v>
      </c>
      <c r="N1514" t="s">
        <v>25</v>
      </c>
      <c r="O1514" t="s">
        <v>20</v>
      </c>
      <c r="P1514" t="s">
        <v>20</v>
      </c>
      <c r="Q1514" t="s">
        <v>40</v>
      </c>
    </row>
    <row r="1515" spans="1:17" x14ac:dyDescent="0.35">
      <c r="A1515">
        <v>1513</v>
      </c>
      <c r="B1515">
        <v>37</v>
      </c>
      <c r="C1515" t="s">
        <v>16</v>
      </c>
      <c r="D1515">
        <v>178</v>
      </c>
      <c r="E1515">
        <v>70</v>
      </c>
      <c r="F1515" s="3">
        <v>33.911544353655501</v>
      </c>
      <c r="G1515" s="3" t="str">
        <f t="shared" si="23"/>
        <v>Obese</v>
      </c>
      <c r="H1515" t="s">
        <v>1078</v>
      </c>
      <c r="I1515" t="s">
        <v>31</v>
      </c>
      <c r="J1515" t="s">
        <v>19</v>
      </c>
      <c r="K1515" t="s">
        <v>18</v>
      </c>
      <c r="L1515" t="s">
        <v>14</v>
      </c>
      <c r="M1515" t="s">
        <v>20</v>
      </c>
      <c r="N1515" t="s">
        <v>25</v>
      </c>
      <c r="O1515" t="s">
        <v>19</v>
      </c>
      <c r="P1515" t="s">
        <v>20</v>
      </c>
      <c r="Q1515" t="s">
        <v>40</v>
      </c>
    </row>
    <row r="1516" spans="1:17" x14ac:dyDescent="0.35">
      <c r="A1516">
        <v>1841</v>
      </c>
      <c r="B1516">
        <v>34</v>
      </c>
      <c r="C1516" t="s">
        <v>16</v>
      </c>
      <c r="D1516">
        <v>177</v>
      </c>
      <c r="E1516">
        <v>64</v>
      </c>
      <c r="F1516" s="3">
        <v>34.366588797198297</v>
      </c>
      <c r="G1516" s="3" t="str">
        <f t="shared" si="23"/>
        <v>Obese</v>
      </c>
      <c r="H1516" t="s">
        <v>174</v>
      </c>
      <c r="I1516" t="s">
        <v>24</v>
      </c>
      <c r="J1516" t="s">
        <v>20</v>
      </c>
      <c r="K1516" t="s">
        <v>22</v>
      </c>
      <c r="L1516" t="s">
        <v>29</v>
      </c>
      <c r="M1516" t="s">
        <v>19</v>
      </c>
      <c r="N1516" t="s">
        <v>25</v>
      </c>
      <c r="O1516" t="s">
        <v>19</v>
      </c>
      <c r="P1516" t="s">
        <v>20</v>
      </c>
      <c r="Q1516" t="s">
        <v>22</v>
      </c>
    </row>
    <row r="1517" spans="1:17" x14ac:dyDescent="0.35">
      <c r="A1517">
        <v>1887</v>
      </c>
      <c r="B1517">
        <v>34</v>
      </c>
      <c r="C1517" t="s">
        <v>27</v>
      </c>
      <c r="D1517">
        <v>181</v>
      </c>
      <c r="E1517">
        <v>99</v>
      </c>
      <c r="F1517" s="3">
        <v>20.4990651108062</v>
      </c>
      <c r="G1517" s="3" t="str">
        <f t="shared" si="23"/>
        <v>Normal Weight</v>
      </c>
      <c r="H1517" t="s">
        <v>1233</v>
      </c>
      <c r="I1517" t="s">
        <v>18</v>
      </c>
      <c r="J1517" t="s">
        <v>20</v>
      </c>
      <c r="K1517" t="s">
        <v>22</v>
      </c>
      <c r="L1517" t="s">
        <v>14</v>
      </c>
      <c r="M1517" t="s">
        <v>19</v>
      </c>
      <c r="N1517" t="s">
        <v>25</v>
      </c>
      <c r="O1517" t="s">
        <v>20</v>
      </c>
      <c r="P1517" t="s">
        <v>19</v>
      </c>
      <c r="Q1517" t="s">
        <v>40</v>
      </c>
    </row>
    <row r="1518" spans="1:17" x14ac:dyDescent="0.35">
      <c r="A1518">
        <v>1900</v>
      </c>
      <c r="B1518">
        <v>34</v>
      </c>
      <c r="C1518" t="s">
        <v>27</v>
      </c>
      <c r="D1518">
        <v>168</v>
      </c>
      <c r="E1518">
        <v>97</v>
      </c>
      <c r="F1518" s="3">
        <v>23.895611680185599</v>
      </c>
      <c r="G1518" s="3" t="str">
        <f t="shared" si="23"/>
        <v>Normal Weight</v>
      </c>
      <c r="H1518" t="s">
        <v>431</v>
      </c>
      <c r="I1518" t="s">
        <v>31</v>
      </c>
      <c r="J1518" t="s">
        <v>19</v>
      </c>
      <c r="K1518" t="s">
        <v>22</v>
      </c>
      <c r="L1518" t="s">
        <v>29</v>
      </c>
      <c r="M1518" t="s">
        <v>20</v>
      </c>
      <c r="N1518" t="s">
        <v>21</v>
      </c>
      <c r="O1518" t="s">
        <v>20</v>
      </c>
      <c r="P1518" t="s">
        <v>20</v>
      </c>
      <c r="Q1518" t="s">
        <v>22</v>
      </c>
    </row>
    <row r="1519" spans="1:17" x14ac:dyDescent="0.35">
      <c r="A1519">
        <v>1927</v>
      </c>
      <c r="B1519">
        <v>34</v>
      </c>
      <c r="C1519" t="s">
        <v>27</v>
      </c>
      <c r="D1519">
        <v>177</v>
      </c>
      <c r="E1519">
        <v>78</v>
      </c>
      <c r="F1519" s="3">
        <v>23.807825083571601</v>
      </c>
      <c r="G1519" s="3" t="str">
        <f t="shared" si="23"/>
        <v>Normal Weight</v>
      </c>
      <c r="H1519" t="s">
        <v>1002</v>
      </c>
      <c r="I1519" t="s">
        <v>24</v>
      </c>
      <c r="J1519" t="s">
        <v>20</v>
      </c>
      <c r="K1519" t="s">
        <v>22</v>
      </c>
      <c r="L1519" t="s">
        <v>38</v>
      </c>
      <c r="M1519" t="s">
        <v>19</v>
      </c>
      <c r="N1519" t="s">
        <v>21</v>
      </c>
      <c r="O1519" t="s">
        <v>20</v>
      </c>
      <c r="P1519" t="s">
        <v>20</v>
      </c>
      <c r="Q1519" t="s">
        <v>22</v>
      </c>
    </row>
    <row r="1520" spans="1:17" x14ac:dyDescent="0.35">
      <c r="A1520">
        <v>1517</v>
      </c>
      <c r="B1520">
        <v>57</v>
      </c>
      <c r="C1520" t="s">
        <v>16</v>
      </c>
      <c r="D1520">
        <v>174</v>
      </c>
      <c r="E1520">
        <v>69</v>
      </c>
      <c r="F1520" s="3">
        <v>29.184076626907601</v>
      </c>
      <c r="G1520" s="3" t="str">
        <f t="shared" si="23"/>
        <v>Overweight</v>
      </c>
      <c r="H1520" t="s">
        <v>289</v>
      </c>
      <c r="I1520" t="s">
        <v>24</v>
      </c>
      <c r="J1520" t="s">
        <v>19</v>
      </c>
      <c r="K1520" t="s">
        <v>18</v>
      </c>
      <c r="L1520" t="s">
        <v>32</v>
      </c>
      <c r="M1520" t="s">
        <v>19</v>
      </c>
      <c r="N1520" t="s">
        <v>21</v>
      </c>
      <c r="O1520" t="s">
        <v>20</v>
      </c>
      <c r="P1520" t="s">
        <v>20</v>
      </c>
      <c r="Q1520" t="s">
        <v>40</v>
      </c>
    </row>
    <row r="1521" spans="1:17" x14ac:dyDescent="0.35">
      <c r="A1521">
        <v>1963</v>
      </c>
      <c r="B1521">
        <v>34</v>
      </c>
      <c r="C1521" t="s">
        <v>16</v>
      </c>
      <c r="D1521">
        <v>164</v>
      </c>
      <c r="E1521">
        <v>75</v>
      </c>
      <c r="F1521" s="3">
        <v>28.653239370371399</v>
      </c>
      <c r="G1521" s="3" t="str">
        <f t="shared" si="23"/>
        <v>Overweight</v>
      </c>
      <c r="H1521" t="s">
        <v>1263</v>
      </c>
      <c r="I1521" t="s">
        <v>31</v>
      </c>
      <c r="J1521" t="s">
        <v>19</v>
      </c>
      <c r="K1521" t="s">
        <v>22</v>
      </c>
      <c r="L1521" t="s">
        <v>29</v>
      </c>
      <c r="M1521" t="s">
        <v>20</v>
      </c>
      <c r="N1521" t="s">
        <v>25</v>
      </c>
      <c r="O1521" t="s">
        <v>20</v>
      </c>
      <c r="P1521" t="s">
        <v>20</v>
      </c>
      <c r="Q1521" t="s">
        <v>22</v>
      </c>
    </row>
    <row r="1522" spans="1:17" x14ac:dyDescent="0.35">
      <c r="A1522">
        <v>1522</v>
      </c>
      <c r="B1522">
        <v>64</v>
      </c>
      <c r="C1522" t="s">
        <v>16</v>
      </c>
      <c r="D1522">
        <v>171</v>
      </c>
      <c r="E1522">
        <v>58</v>
      </c>
      <c r="F1522" s="3">
        <v>20.431562814200699</v>
      </c>
      <c r="G1522" s="3" t="str">
        <f t="shared" si="23"/>
        <v>Normal Weight</v>
      </c>
      <c r="H1522" t="s">
        <v>556</v>
      </c>
      <c r="I1522" t="s">
        <v>18</v>
      </c>
      <c r="J1522" t="s">
        <v>20</v>
      </c>
      <c r="K1522" t="s">
        <v>18</v>
      </c>
      <c r="L1522" t="s">
        <v>38</v>
      </c>
      <c r="M1522" t="s">
        <v>19</v>
      </c>
      <c r="N1522" t="s">
        <v>25</v>
      </c>
      <c r="O1522" t="s">
        <v>19</v>
      </c>
      <c r="P1522" t="s">
        <v>19</v>
      </c>
      <c r="Q1522" t="s">
        <v>40</v>
      </c>
    </row>
    <row r="1523" spans="1:17" x14ac:dyDescent="0.35">
      <c r="A1523">
        <v>44</v>
      </c>
      <c r="B1523">
        <v>33</v>
      </c>
      <c r="C1523" t="s">
        <v>27</v>
      </c>
      <c r="D1523">
        <v>189</v>
      </c>
      <c r="E1523">
        <v>57</v>
      </c>
      <c r="F1523" s="3">
        <v>28.355654242456701</v>
      </c>
      <c r="G1523" s="3" t="str">
        <f t="shared" si="23"/>
        <v>Overweight</v>
      </c>
      <c r="H1523" t="s">
        <v>73</v>
      </c>
      <c r="I1523" t="s">
        <v>31</v>
      </c>
      <c r="J1523" t="s">
        <v>19</v>
      </c>
      <c r="K1523" t="s">
        <v>22</v>
      </c>
      <c r="L1523" t="s">
        <v>29</v>
      </c>
      <c r="M1523" t="s">
        <v>19</v>
      </c>
      <c r="N1523" t="s">
        <v>21</v>
      </c>
      <c r="O1523" t="s">
        <v>19</v>
      </c>
      <c r="P1523" t="s">
        <v>20</v>
      </c>
      <c r="Q1523" t="s">
        <v>22</v>
      </c>
    </row>
    <row r="1524" spans="1:17" x14ac:dyDescent="0.35">
      <c r="A1524">
        <v>116</v>
      </c>
      <c r="B1524">
        <v>33</v>
      </c>
      <c r="C1524" t="s">
        <v>16</v>
      </c>
      <c r="D1524">
        <v>176</v>
      </c>
      <c r="E1524">
        <v>52</v>
      </c>
      <c r="F1524" s="3">
        <v>30.720949087599301</v>
      </c>
      <c r="G1524" s="3" t="str">
        <f t="shared" si="23"/>
        <v>Obese</v>
      </c>
      <c r="H1524" t="s">
        <v>143</v>
      </c>
      <c r="I1524" t="s">
        <v>24</v>
      </c>
      <c r="J1524" t="s">
        <v>20</v>
      </c>
      <c r="K1524" t="s">
        <v>22</v>
      </c>
      <c r="L1524" t="s">
        <v>29</v>
      </c>
      <c r="M1524" t="s">
        <v>19</v>
      </c>
      <c r="N1524" t="s">
        <v>21</v>
      </c>
      <c r="O1524" t="s">
        <v>19</v>
      </c>
      <c r="P1524" t="s">
        <v>19</v>
      </c>
      <c r="Q1524" t="s">
        <v>40</v>
      </c>
    </row>
    <row r="1525" spans="1:17" x14ac:dyDescent="0.35">
      <c r="A1525">
        <v>1523</v>
      </c>
      <c r="B1525">
        <v>43</v>
      </c>
      <c r="C1525" t="s">
        <v>16</v>
      </c>
      <c r="D1525">
        <v>165</v>
      </c>
      <c r="E1525">
        <v>94</v>
      </c>
      <c r="F1525" s="3">
        <v>27.2149324034797</v>
      </c>
      <c r="G1525" s="3" t="str">
        <f t="shared" si="23"/>
        <v>Overweight</v>
      </c>
      <c r="H1525" t="s">
        <v>618</v>
      </c>
      <c r="I1525" t="s">
        <v>31</v>
      </c>
      <c r="J1525" t="s">
        <v>20</v>
      </c>
      <c r="K1525" t="s">
        <v>18</v>
      </c>
      <c r="L1525" t="s">
        <v>32</v>
      </c>
      <c r="M1525" t="s">
        <v>20</v>
      </c>
      <c r="N1525" t="s">
        <v>21</v>
      </c>
      <c r="O1525" t="s">
        <v>19</v>
      </c>
      <c r="P1525" t="s">
        <v>20</v>
      </c>
      <c r="Q1525" t="s">
        <v>22</v>
      </c>
    </row>
    <row r="1526" spans="1:17" x14ac:dyDescent="0.35">
      <c r="A1526">
        <v>1525</v>
      </c>
      <c r="B1526">
        <v>60</v>
      </c>
      <c r="C1526" t="s">
        <v>16</v>
      </c>
      <c r="D1526">
        <v>163</v>
      </c>
      <c r="E1526">
        <v>78</v>
      </c>
      <c r="F1526" s="3">
        <v>28.2761424064106</v>
      </c>
      <c r="G1526" s="3" t="str">
        <f t="shared" si="23"/>
        <v>Overweight</v>
      </c>
      <c r="H1526" t="s">
        <v>363</v>
      </c>
      <c r="I1526" t="s">
        <v>18</v>
      </c>
      <c r="J1526" t="s">
        <v>20</v>
      </c>
      <c r="K1526" t="s">
        <v>18</v>
      </c>
      <c r="L1526" t="s">
        <v>14</v>
      </c>
      <c r="M1526" t="s">
        <v>19</v>
      </c>
      <c r="N1526" t="s">
        <v>25</v>
      </c>
      <c r="O1526" t="s">
        <v>19</v>
      </c>
      <c r="P1526" t="s">
        <v>20</v>
      </c>
      <c r="Q1526" t="s">
        <v>22</v>
      </c>
    </row>
    <row r="1527" spans="1:17" x14ac:dyDescent="0.35">
      <c r="A1527">
        <v>359</v>
      </c>
      <c r="B1527">
        <v>33</v>
      </c>
      <c r="C1527" t="s">
        <v>16</v>
      </c>
      <c r="D1527">
        <v>172</v>
      </c>
      <c r="E1527">
        <v>95</v>
      </c>
      <c r="F1527" s="3">
        <v>26.897824166963701</v>
      </c>
      <c r="G1527" s="3" t="str">
        <f t="shared" si="23"/>
        <v>Overweight</v>
      </c>
      <c r="H1527" t="s">
        <v>361</v>
      </c>
      <c r="I1527" t="s">
        <v>31</v>
      </c>
      <c r="J1527" t="s">
        <v>20</v>
      </c>
      <c r="K1527" t="s">
        <v>22</v>
      </c>
      <c r="L1527" t="s">
        <v>14</v>
      </c>
      <c r="M1527" t="s">
        <v>20</v>
      </c>
      <c r="N1527" t="s">
        <v>25</v>
      </c>
      <c r="O1527" t="s">
        <v>19</v>
      </c>
      <c r="P1527" t="s">
        <v>19</v>
      </c>
      <c r="Q1527" t="s">
        <v>18</v>
      </c>
    </row>
    <row r="1528" spans="1:17" x14ac:dyDescent="0.35">
      <c r="A1528">
        <v>381</v>
      </c>
      <c r="B1528">
        <v>33</v>
      </c>
      <c r="C1528" t="s">
        <v>16</v>
      </c>
      <c r="D1528">
        <v>151</v>
      </c>
      <c r="E1528">
        <v>66</v>
      </c>
      <c r="F1528" s="3">
        <v>24.025491787260201</v>
      </c>
      <c r="G1528" s="3" t="str">
        <f t="shared" si="23"/>
        <v>Normal Weight</v>
      </c>
      <c r="H1528" t="s">
        <v>319</v>
      </c>
      <c r="I1528" t="s">
        <v>31</v>
      </c>
      <c r="J1528" t="s">
        <v>19</v>
      </c>
      <c r="K1528" t="s">
        <v>22</v>
      </c>
      <c r="L1528" t="s">
        <v>29</v>
      </c>
      <c r="M1528" t="s">
        <v>19</v>
      </c>
      <c r="N1528" t="s">
        <v>21</v>
      </c>
      <c r="O1528" t="s">
        <v>19</v>
      </c>
      <c r="P1528" t="s">
        <v>19</v>
      </c>
      <c r="Q1528" t="s">
        <v>22</v>
      </c>
    </row>
    <row r="1529" spans="1:17" x14ac:dyDescent="0.35">
      <c r="A1529">
        <v>411</v>
      </c>
      <c r="B1529">
        <v>33</v>
      </c>
      <c r="C1529" t="s">
        <v>16</v>
      </c>
      <c r="D1529">
        <v>174</v>
      </c>
      <c r="E1529">
        <v>72</v>
      </c>
      <c r="F1529" s="3">
        <v>28.587137328087401</v>
      </c>
      <c r="G1529" s="3" t="str">
        <f t="shared" si="23"/>
        <v>Overweight</v>
      </c>
      <c r="H1529" t="s">
        <v>255</v>
      </c>
      <c r="I1529" t="s">
        <v>18</v>
      </c>
      <c r="J1529" t="s">
        <v>20</v>
      </c>
      <c r="K1529" t="s">
        <v>22</v>
      </c>
      <c r="L1529" t="s">
        <v>29</v>
      </c>
      <c r="M1529" t="s">
        <v>19</v>
      </c>
      <c r="N1529" t="s">
        <v>21</v>
      </c>
      <c r="O1529" t="s">
        <v>20</v>
      </c>
      <c r="P1529" t="s">
        <v>19</v>
      </c>
      <c r="Q1529" t="s">
        <v>18</v>
      </c>
    </row>
    <row r="1530" spans="1:17" x14ac:dyDescent="0.35">
      <c r="A1530">
        <v>1526</v>
      </c>
      <c r="B1530">
        <v>29</v>
      </c>
      <c r="C1530" t="s">
        <v>16</v>
      </c>
      <c r="D1530">
        <v>178</v>
      </c>
      <c r="E1530">
        <v>57</v>
      </c>
      <c r="F1530" s="3">
        <v>26.461135498706401</v>
      </c>
      <c r="G1530" s="3" t="str">
        <f t="shared" si="23"/>
        <v>Overweight</v>
      </c>
      <c r="H1530" t="s">
        <v>382</v>
      </c>
      <c r="I1530" t="s">
        <v>24</v>
      </c>
      <c r="J1530" t="s">
        <v>20</v>
      </c>
      <c r="K1530" t="s">
        <v>18</v>
      </c>
      <c r="L1530" t="s">
        <v>14</v>
      </c>
      <c r="M1530" t="s">
        <v>19</v>
      </c>
      <c r="N1530" t="s">
        <v>21</v>
      </c>
      <c r="O1530" t="s">
        <v>19</v>
      </c>
      <c r="P1530" t="s">
        <v>19</v>
      </c>
      <c r="Q1530" t="s">
        <v>18</v>
      </c>
    </row>
    <row r="1531" spans="1:17" x14ac:dyDescent="0.35">
      <c r="A1531">
        <v>584</v>
      </c>
      <c r="B1531">
        <v>33</v>
      </c>
      <c r="C1531" t="s">
        <v>27</v>
      </c>
      <c r="D1531">
        <v>159</v>
      </c>
      <c r="E1531">
        <v>73</v>
      </c>
      <c r="F1531" s="3">
        <v>26.209806434123699</v>
      </c>
      <c r="G1531" s="3" t="str">
        <f t="shared" si="23"/>
        <v>Overweight</v>
      </c>
      <c r="H1531" t="s">
        <v>535</v>
      </c>
      <c r="I1531" t="s">
        <v>31</v>
      </c>
      <c r="J1531" t="s">
        <v>19</v>
      </c>
      <c r="K1531" t="s">
        <v>22</v>
      </c>
      <c r="L1531" t="s">
        <v>29</v>
      </c>
      <c r="M1531" t="s">
        <v>20</v>
      </c>
      <c r="N1531" t="s">
        <v>25</v>
      </c>
      <c r="O1531" t="s">
        <v>20</v>
      </c>
      <c r="P1531" t="s">
        <v>20</v>
      </c>
      <c r="Q1531" t="s">
        <v>40</v>
      </c>
    </row>
    <row r="1532" spans="1:17" x14ac:dyDescent="0.35">
      <c r="A1532">
        <v>1528</v>
      </c>
      <c r="B1532">
        <v>30</v>
      </c>
      <c r="C1532" t="s">
        <v>27</v>
      </c>
      <c r="D1532">
        <v>168</v>
      </c>
      <c r="E1532">
        <v>84</v>
      </c>
      <c r="F1532" s="3">
        <v>18.665775187404702</v>
      </c>
      <c r="G1532" s="3" t="str">
        <f t="shared" si="23"/>
        <v>Normal Weight</v>
      </c>
      <c r="H1532" t="s">
        <v>1083</v>
      </c>
      <c r="I1532" t="s">
        <v>24</v>
      </c>
      <c r="J1532" t="s">
        <v>19</v>
      </c>
      <c r="K1532" t="s">
        <v>18</v>
      </c>
      <c r="L1532" t="s">
        <v>14</v>
      </c>
      <c r="M1532" t="s">
        <v>19</v>
      </c>
      <c r="N1532" t="s">
        <v>25</v>
      </c>
      <c r="O1532" t="s">
        <v>19</v>
      </c>
      <c r="P1532" t="s">
        <v>20</v>
      </c>
      <c r="Q1532" t="s">
        <v>40</v>
      </c>
    </row>
    <row r="1533" spans="1:17" x14ac:dyDescent="0.35">
      <c r="A1533">
        <v>1529</v>
      </c>
      <c r="B1533">
        <v>57</v>
      </c>
      <c r="C1533" t="s">
        <v>16</v>
      </c>
      <c r="D1533">
        <v>151</v>
      </c>
      <c r="E1533">
        <v>52</v>
      </c>
      <c r="F1533" s="3">
        <v>21.7148681123135</v>
      </c>
      <c r="G1533" s="3" t="str">
        <f t="shared" si="23"/>
        <v>Normal Weight</v>
      </c>
      <c r="H1533" t="s">
        <v>68</v>
      </c>
      <c r="I1533" t="s">
        <v>31</v>
      </c>
      <c r="J1533" t="s">
        <v>19</v>
      </c>
      <c r="K1533" t="s">
        <v>18</v>
      </c>
      <c r="L1533" t="s">
        <v>38</v>
      </c>
      <c r="M1533" t="s">
        <v>20</v>
      </c>
      <c r="N1533" t="s">
        <v>21</v>
      </c>
      <c r="O1533" t="s">
        <v>20</v>
      </c>
      <c r="P1533" t="s">
        <v>19</v>
      </c>
      <c r="Q1533" t="s">
        <v>22</v>
      </c>
    </row>
    <row r="1534" spans="1:17" x14ac:dyDescent="0.35">
      <c r="A1534">
        <v>1530</v>
      </c>
      <c r="B1534">
        <v>79</v>
      </c>
      <c r="C1534" t="s">
        <v>27</v>
      </c>
      <c r="D1534">
        <v>164</v>
      </c>
      <c r="E1534">
        <v>94</v>
      </c>
      <c r="F1534" s="3">
        <v>26.606952126550102</v>
      </c>
      <c r="G1534" s="3" t="str">
        <f t="shared" si="23"/>
        <v>Overweight</v>
      </c>
      <c r="H1534" t="s">
        <v>464</v>
      </c>
      <c r="I1534" t="s">
        <v>18</v>
      </c>
      <c r="J1534" t="s">
        <v>20</v>
      </c>
      <c r="K1534" t="s">
        <v>40</v>
      </c>
      <c r="L1534" t="s">
        <v>38</v>
      </c>
      <c r="M1534" t="s">
        <v>19</v>
      </c>
      <c r="N1534" t="s">
        <v>25</v>
      </c>
      <c r="O1534" t="s">
        <v>20</v>
      </c>
      <c r="P1534" t="s">
        <v>20</v>
      </c>
      <c r="Q1534" t="s">
        <v>40</v>
      </c>
    </row>
    <row r="1535" spans="1:17" x14ac:dyDescent="0.35">
      <c r="A1535">
        <v>678</v>
      </c>
      <c r="B1535">
        <v>33</v>
      </c>
      <c r="C1535" t="s">
        <v>16</v>
      </c>
      <c r="D1535">
        <v>163</v>
      </c>
      <c r="E1535">
        <v>51</v>
      </c>
      <c r="F1535" s="3">
        <v>21.605831296189201</v>
      </c>
      <c r="G1535" s="3" t="str">
        <f t="shared" si="23"/>
        <v>Normal Weight</v>
      </c>
      <c r="H1535" t="s">
        <v>74</v>
      </c>
      <c r="I1535" t="s">
        <v>31</v>
      </c>
      <c r="J1535" t="s">
        <v>19</v>
      </c>
      <c r="K1535" t="s">
        <v>22</v>
      </c>
      <c r="L1535" t="s">
        <v>38</v>
      </c>
      <c r="M1535" t="s">
        <v>20</v>
      </c>
      <c r="N1535" t="s">
        <v>21</v>
      </c>
      <c r="O1535" t="s">
        <v>19</v>
      </c>
      <c r="P1535" t="s">
        <v>20</v>
      </c>
      <c r="Q1535" t="s">
        <v>40</v>
      </c>
    </row>
    <row r="1536" spans="1:17" x14ac:dyDescent="0.35">
      <c r="A1536">
        <v>680</v>
      </c>
      <c r="B1536">
        <v>33</v>
      </c>
      <c r="C1536" t="s">
        <v>27</v>
      </c>
      <c r="D1536">
        <v>173</v>
      </c>
      <c r="E1536">
        <v>85</v>
      </c>
      <c r="F1536" s="3">
        <v>19.440539394606901</v>
      </c>
      <c r="G1536" s="3" t="str">
        <f t="shared" si="23"/>
        <v>Normal Weight</v>
      </c>
      <c r="H1536" t="s">
        <v>609</v>
      </c>
      <c r="I1536" t="s">
        <v>18</v>
      </c>
      <c r="J1536" t="s">
        <v>19</v>
      </c>
      <c r="K1536" t="s">
        <v>22</v>
      </c>
      <c r="L1536" t="s">
        <v>32</v>
      </c>
      <c r="M1536" t="s">
        <v>20</v>
      </c>
      <c r="N1536" t="s">
        <v>25</v>
      </c>
      <c r="O1536" t="s">
        <v>19</v>
      </c>
      <c r="P1536" t="s">
        <v>20</v>
      </c>
      <c r="Q1536" t="s">
        <v>40</v>
      </c>
    </row>
    <row r="1537" spans="1:17" x14ac:dyDescent="0.35">
      <c r="A1537">
        <v>797</v>
      </c>
      <c r="B1537">
        <v>33</v>
      </c>
      <c r="C1537" t="s">
        <v>16</v>
      </c>
      <c r="D1537">
        <v>162</v>
      </c>
      <c r="E1537">
        <v>75</v>
      </c>
      <c r="F1537" s="3">
        <v>20.265980714482101</v>
      </c>
      <c r="G1537" s="3" t="str">
        <f t="shared" si="23"/>
        <v>Normal Weight</v>
      </c>
      <c r="H1537" t="s">
        <v>89</v>
      </c>
      <c r="I1537" t="s">
        <v>24</v>
      </c>
      <c r="J1537" t="s">
        <v>19</v>
      </c>
      <c r="K1537" t="s">
        <v>22</v>
      </c>
      <c r="L1537" t="s">
        <v>32</v>
      </c>
      <c r="M1537" t="s">
        <v>19</v>
      </c>
      <c r="N1537" t="s">
        <v>21</v>
      </c>
      <c r="O1537" t="s">
        <v>19</v>
      </c>
      <c r="P1537" t="s">
        <v>20</v>
      </c>
      <c r="Q1537" t="s">
        <v>18</v>
      </c>
    </row>
    <row r="1538" spans="1:17" x14ac:dyDescent="0.35">
      <c r="A1538">
        <v>809</v>
      </c>
      <c r="B1538">
        <v>33</v>
      </c>
      <c r="C1538" t="s">
        <v>27</v>
      </c>
      <c r="D1538">
        <v>159</v>
      </c>
      <c r="E1538">
        <v>69</v>
      </c>
      <c r="F1538" s="3">
        <v>32.933270219333302</v>
      </c>
      <c r="G1538" s="3" t="str">
        <f t="shared" si="23"/>
        <v>Obese</v>
      </c>
      <c r="H1538" t="s">
        <v>694</v>
      </c>
      <c r="I1538" t="s">
        <v>18</v>
      </c>
      <c r="J1538" t="s">
        <v>20</v>
      </c>
      <c r="K1538" t="s">
        <v>22</v>
      </c>
      <c r="L1538" t="s">
        <v>14</v>
      </c>
      <c r="M1538" t="s">
        <v>19</v>
      </c>
      <c r="N1538" t="s">
        <v>25</v>
      </c>
      <c r="O1538" t="s">
        <v>19</v>
      </c>
      <c r="P1538" t="s">
        <v>20</v>
      </c>
      <c r="Q1538" t="s">
        <v>40</v>
      </c>
    </row>
    <row r="1539" spans="1:17" x14ac:dyDescent="0.35">
      <c r="A1539">
        <v>1531</v>
      </c>
      <c r="B1539">
        <v>35</v>
      </c>
      <c r="C1539" t="s">
        <v>16</v>
      </c>
      <c r="D1539">
        <v>152</v>
      </c>
      <c r="E1539">
        <v>89</v>
      </c>
      <c r="F1539" s="3">
        <v>34.183308766220698</v>
      </c>
      <c r="G1539" s="3" t="str">
        <f t="shared" ref="G1539:G1602" si="24">_xlfn.IFS(F1539&lt;18.5, "Underweight", F1539&lt;=24.9, "Normal Weight", F1539&lt;=29.9, "Overweight", TRUE, "Obese")</f>
        <v>Obese</v>
      </c>
      <c r="H1539" t="s">
        <v>728</v>
      </c>
      <c r="I1539" t="s">
        <v>31</v>
      </c>
      <c r="J1539" t="s">
        <v>19</v>
      </c>
      <c r="K1539" t="s">
        <v>18</v>
      </c>
      <c r="L1539" t="s">
        <v>32</v>
      </c>
      <c r="M1539" t="s">
        <v>20</v>
      </c>
      <c r="N1539" t="s">
        <v>21</v>
      </c>
      <c r="O1539" t="s">
        <v>20</v>
      </c>
      <c r="P1539" t="s">
        <v>19</v>
      </c>
      <c r="Q1539" t="s">
        <v>40</v>
      </c>
    </row>
    <row r="1540" spans="1:17" x14ac:dyDescent="0.35">
      <c r="A1540">
        <v>1532</v>
      </c>
      <c r="B1540">
        <v>42</v>
      </c>
      <c r="C1540" t="s">
        <v>16</v>
      </c>
      <c r="D1540">
        <v>160</v>
      </c>
      <c r="E1540">
        <v>56</v>
      </c>
      <c r="F1540" s="3">
        <v>24.829549165860101</v>
      </c>
      <c r="G1540" s="3" t="str">
        <f t="shared" si="24"/>
        <v>Normal Weight</v>
      </c>
      <c r="H1540" t="s">
        <v>485</v>
      </c>
      <c r="I1540" t="s">
        <v>18</v>
      </c>
      <c r="J1540" t="s">
        <v>19</v>
      </c>
      <c r="K1540" t="s">
        <v>18</v>
      </c>
      <c r="L1540" t="s">
        <v>29</v>
      </c>
      <c r="M1540" t="s">
        <v>19</v>
      </c>
      <c r="N1540" t="s">
        <v>21</v>
      </c>
      <c r="O1540" t="s">
        <v>20</v>
      </c>
      <c r="P1540" t="s">
        <v>20</v>
      </c>
      <c r="Q1540" t="s">
        <v>22</v>
      </c>
    </row>
    <row r="1541" spans="1:17" x14ac:dyDescent="0.35">
      <c r="A1541">
        <v>942</v>
      </c>
      <c r="B1541">
        <v>33</v>
      </c>
      <c r="C1541" t="s">
        <v>27</v>
      </c>
      <c r="D1541">
        <v>167</v>
      </c>
      <c r="E1541">
        <v>71</v>
      </c>
      <c r="F1541" s="3">
        <v>24.034212422689698</v>
      </c>
      <c r="G1541" s="3" t="str">
        <f t="shared" si="24"/>
        <v>Normal Weight</v>
      </c>
      <c r="H1541" t="s">
        <v>765</v>
      </c>
      <c r="I1541" t="s">
        <v>24</v>
      </c>
      <c r="J1541" t="s">
        <v>20</v>
      </c>
      <c r="K1541" t="s">
        <v>22</v>
      </c>
      <c r="L1541" t="s">
        <v>32</v>
      </c>
      <c r="M1541" t="s">
        <v>20</v>
      </c>
      <c r="N1541" t="s">
        <v>21</v>
      </c>
      <c r="O1541" t="s">
        <v>19</v>
      </c>
      <c r="P1541" t="s">
        <v>19</v>
      </c>
      <c r="Q1541" t="s">
        <v>22</v>
      </c>
    </row>
    <row r="1542" spans="1:17" x14ac:dyDescent="0.35">
      <c r="A1542">
        <v>1533</v>
      </c>
      <c r="B1542">
        <v>50</v>
      </c>
      <c r="C1542" t="s">
        <v>27</v>
      </c>
      <c r="D1542">
        <v>179</v>
      </c>
      <c r="E1542">
        <v>76</v>
      </c>
      <c r="F1542" s="3">
        <v>25.502138429884901</v>
      </c>
      <c r="G1542" s="3" t="str">
        <f t="shared" si="24"/>
        <v>Overweight</v>
      </c>
      <c r="H1542" t="s">
        <v>77</v>
      </c>
      <c r="I1542" t="s">
        <v>18</v>
      </c>
      <c r="J1542" t="s">
        <v>20</v>
      </c>
      <c r="K1542" t="s">
        <v>18</v>
      </c>
      <c r="L1542" t="s">
        <v>14</v>
      </c>
      <c r="M1542" t="s">
        <v>19</v>
      </c>
      <c r="N1542" t="s">
        <v>21</v>
      </c>
      <c r="O1542" t="s">
        <v>20</v>
      </c>
      <c r="P1542" t="s">
        <v>20</v>
      </c>
      <c r="Q1542" t="s">
        <v>22</v>
      </c>
    </row>
    <row r="1543" spans="1:17" x14ac:dyDescent="0.35">
      <c r="A1543">
        <v>1138</v>
      </c>
      <c r="B1543">
        <v>33</v>
      </c>
      <c r="C1543" t="s">
        <v>16</v>
      </c>
      <c r="D1543">
        <v>166</v>
      </c>
      <c r="E1543">
        <v>92</v>
      </c>
      <c r="F1543" s="3">
        <v>27.801662173849</v>
      </c>
      <c r="G1543" s="3" t="str">
        <f t="shared" si="24"/>
        <v>Overweight</v>
      </c>
      <c r="H1543" t="s">
        <v>886</v>
      </c>
      <c r="I1543" t="s">
        <v>24</v>
      </c>
      <c r="J1543" t="s">
        <v>20</v>
      </c>
      <c r="K1543" t="s">
        <v>22</v>
      </c>
      <c r="L1543" t="s">
        <v>29</v>
      </c>
      <c r="M1543" t="s">
        <v>19</v>
      </c>
      <c r="N1543" t="s">
        <v>25</v>
      </c>
      <c r="O1543" t="s">
        <v>19</v>
      </c>
      <c r="P1543" t="s">
        <v>20</v>
      </c>
      <c r="Q1543" t="s">
        <v>40</v>
      </c>
    </row>
    <row r="1544" spans="1:17" x14ac:dyDescent="0.35">
      <c r="A1544">
        <v>1655</v>
      </c>
      <c r="B1544">
        <v>33</v>
      </c>
      <c r="C1544" t="s">
        <v>27</v>
      </c>
      <c r="D1544">
        <v>155</v>
      </c>
      <c r="E1544">
        <v>82</v>
      </c>
      <c r="F1544" s="3">
        <v>32.847429286177103</v>
      </c>
      <c r="G1544" s="3" t="str">
        <f t="shared" si="24"/>
        <v>Obese</v>
      </c>
      <c r="H1544" t="s">
        <v>1131</v>
      </c>
      <c r="I1544" t="s">
        <v>24</v>
      </c>
      <c r="J1544" t="s">
        <v>20</v>
      </c>
      <c r="K1544" t="s">
        <v>22</v>
      </c>
      <c r="L1544" t="s">
        <v>14</v>
      </c>
      <c r="M1544" t="s">
        <v>19</v>
      </c>
      <c r="N1544" t="s">
        <v>21</v>
      </c>
      <c r="O1544" t="s">
        <v>19</v>
      </c>
      <c r="P1544" t="s">
        <v>19</v>
      </c>
      <c r="Q1544" t="s">
        <v>18</v>
      </c>
    </row>
    <row r="1545" spans="1:17" x14ac:dyDescent="0.35">
      <c r="A1545">
        <v>1535</v>
      </c>
      <c r="B1545">
        <v>57</v>
      </c>
      <c r="C1545" t="s">
        <v>27</v>
      </c>
      <c r="D1545">
        <v>167</v>
      </c>
      <c r="E1545">
        <v>76</v>
      </c>
      <c r="F1545" s="3">
        <v>28.462580495220902</v>
      </c>
      <c r="G1545" s="3" t="str">
        <f t="shared" si="24"/>
        <v>Overweight</v>
      </c>
      <c r="H1545" t="s">
        <v>269</v>
      </c>
      <c r="I1545" t="s">
        <v>31</v>
      </c>
      <c r="J1545" t="s">
        <v>19</v>
      </c>
      <c r="K1545" t="s">
        <v>18</v>
      </c>
      <c r="L1545" t="s">
        <v>32</v>
      </c>
      <c r="M1545" t="s">
        <v>19</v>
      </c>
      <c r="N1545" t="s">
        <v>21</v>
      </c>
      <c r="O1545" t="s">
        <v>19</v>
      </c>
      <c r="P1545" t="s">
        <v>20</v>
      </c>
      <c r="Q1545" t="s">
        <v>18</v>
      </c>
    </row>
    <row r="1546" spans="1:17" x14ac:dyDescent="0.35">
      <c r="A1546">
        <v>1539</v>
      </c>
      <c r="B1546">
        <v>61</v>
      </c>
      <c r="C1546" t="s">
        <v>27</v>
      </c>
      <c r="D1546">
        <v>171</v>
      </c>
      <c r="E1546">
        <v>93</v>
      </c>
      <c r="F1546" s="3">
        <v>34.439354075648403</v>
      </c>
      <c r="G1546" s="3" t="str">
        <f t="shared" si="24"/>
        <v>Obese</v>
      </c>
      <c r="H1546" t="s">
        <v>1085</v>
      </c>
      <c r="I1546" t="s">
        <v>24</v>
      </c>
      <c r="J1546" t="s">
        <v>19</v>
      </c>
      <c r="K1546" t="s">
        <v>18</v>
      </c>
      <c r="L1546" t="s">
        <v>32</v>
      </c>
      <c r="M1546" t="s">
        <v>20</v>
      </c>
      <c r="N1546" t="s">
        <v>21</v>
      </c>
      <c r="O1546" t="s">
        <v>20</v>
      </c>
      <c r="P1546" t="s">
        <v>20</v>
      </c>
      <c r="Q1546" t="s">
        <v>40</v>
      </c>
    </row>
    <row r="1547" spans="1:17" x14ac:dyDescent="0.35">
      <c r="A1547">
        <v>1540</v>
      </c>
      <c r="B1547">
        <v>53</v>
      </c>
      <c r="C1547" t="s">
        <v>16</v>
      </c>
      <c r="D1547">
        <v>155</v>
      </c>
      <c r="E1547">
        <v>72</v>
      </c>
      <c r="F1547" s="3">
        <v>20.6554672956964</v>
      </c>
      <c r="G1547" s="3" t="str">
        <f t="shared" si="24"/>
        <v>Normal Weight</v>
      </c>
      <c r="H1547" t="s">
        <v>1086</v>
      </c>
      <c r="I1547" t="s">
        <v>18</v>
      </c>
      <c r="J1547" t="s">
        <v>19</v>
      </c>
      <c r="K1547" t="s">
        <v>18</v>
      </c>
      <c r="L1547" t="s">
        <v>38</v>
      </c>
      <c r="M1547" t="s">
        <v>20</v>
      </c>
      <c r="N1547" t="s">
        <v>25</v>
      </c>
      <c r="O1547" t="s">
        <v>20</v>
      </c>
      <c r="P1547" t="s">
        <v>20</v>
      </c>
      <c r="Q1547" t="s">
        <v>22</v>
      </c>
    </row>
    <row r="1548" spans="1:17" x14ac:dyDescent="0.35">
      <c r="A1548">
        <v>1544</v>
      </c>
      <c r="B1548">
        <v>73</v>
      </c>
      <c r="C1548" t="s">
        <v>16</v>
      </c>
      <c r="D1548">
        <v>164</v>
      </c>
      <c r="E1548">
        <v>82</v>
      </c>
      <c r="F1548" s="3">
        <v>31.377773783272499</v>
      </c>
      <c r="G1548" s="3" t="str">
        <f t="shared" si="24"/>
        <v>Obese</v>
      </c>
      <c r="H1548" t="s">
        <v>1088</v>
      </c>
      <c r="I1548" t="s">
        <v>18</v>
      </c>
      <c r="J1548" t="s">
        <v>20</v>
      </c>
      <c r="K1548" t="s">
        <v>40</v>
      </c>
      <c r="L1548" t="s">
        <v>32</v>
      </c>
      <c r="M1548" t="s">
        <v>19</v>
      </c>
      <c r="N1548" t="s">
        <v>21</v>
      </c>
      <c r="O1548" t="s">
        <v>20</v>
      </c>
      <c r="P1548" t="s">
        <v>19</v>
      </c>
      <c r="Q1548" t="s">
        <v>22</v>
      </c>
    </row>
    <row r="1549" spans="1:17" x14ac:dyDescent="0.35">
      <c r="A1549">
        <v>1545</v>
      </c>
      <c r="B1549">
        <v>54</v>
      </c>
      <c r="C1549" t="s">
        <v>16</v>
      </c>
      <c r="D1549">
        <v>177</v>
      </c>
      <c r="E1549">
        <v>99</v>
      </c>
      <c r="F1549" s="3">
        <v>21.8193913327665</v>
      </c>
      <c r="G1549" s="3" t="str">
        <f t="shared" si="24"/>
        <v>Normal Weight</v>
      </c>
      <c r="H1549" t="s">
        <v>1089</v>
      </c>
      <c r="I1549" t="s">
        <v>18</v>
      </c>
      <c r="J1549" t="s">
        <v>19</v>
      </c>
      <c r="K1549" t="s">
        <v>18</v>
      </c>
      <c r="L1549" t="s">
        <v>14</v>
      </c>
      <c r="M1549" t="s">
        <v>20</v>
      </c>
      <c r="N1549" t="s">
        <v>25</v>
      </c>
      <c r="O1549" t="s">
        <v>20</v>
      </c>
      <c r="P1549" t="s">
        <v>20</v>
      </c>
      <c r="Q1549" t="s">
        <v>18</v>
      </c>
    </row>
    <row r="1550" spans="1:17" x14ac:dyDescent="0.35">
      <c r="A1550">
        <v>45</v>
      </c>
      <c r="B1550">
        <v>32</v>
      </c>
      <c r="C1550" t="s">
        <v>16</v>
      </c>
      <c r="D1550">
        <v>170</v>
      </c>
      <c r="E1550">
        <v>90</v>
      </c>
      <c r="F1550" s="3">
        <v>24.9949860845777</v>
      </c>
      <c r="G1550" s="3" t="str">
        <f t="shared" si="24"/>
        <v>Overweight</v>
      </c>
      <c r="H1550" t="s">
        <v>74</v>
      </c>
      <c r="I1550" t="s">
        <v>18</v>
      </c>
      <c r="J1550" t="s">
        <v>20</v>
      </c>
      <c r="K1550" t="s">
        <v>22</v>
      </c>
      <c r="L1550" t="s">
        <v>29</v>
      </c>
      <c r="M1550" t="s">
        <v>20</v>
      </c>
      <c r="N1550" t="s">
        <v>21</v>
      </c>
      <c r="O1550" t="s">
        <v>19</v>
      </c>
      <c r="P1550" t="s">
        <v>19</v>
      </c>
      <c r="Q1550" t="s">
        <v>18</v>
      </c>
    </row>
    <row r="1551" spans="1:17" x14ac:dyDescent="0.35">
      <c r="A1551">
        <v>107</v>
      </c>
      <c r="B1551">
        <v>32</v>
      </c>
      <c r="C1551" t="s">
        <v>16</v>
      </c>
      <c r="D1551">
        <v>150</v>
      </c>
      <c r="E1551">
        <v>52</v>
      </c>
      <c r="F1551" s="3">
        <v>26.789135029539501</v>
      </c>
      <c r="G1551" s="3" t="str">
        <f t="shared" si="24"/>
        <v>Overweight</v>
      </c>
      <c r="H1551" t="s">
        <v>134</v>
      </c>
      <c r="I1551" t="s">
        <v>24</v>
      </c>
      <c r="J1551" t="s">
        <v>19</v>
      </c>
      <c r="K1551" t="s">
        <v>22</v>
      </c>
      <c r="L1551" t="s">
        <v>32</v>
      </c>
      <c r="M1551" t="s">
        <v>20</v>
      </c>
      <c r="N1551" t="s">
        <v>21</v>
      </c>
      <c r="O1551" t="s">
        <v>19</v>
      </c>
      <c r="P1551" t="s">
        <v>19</v>
      </c>
      <c r="Q1551" t="s">
        <v>18</v>
      </c>
    </row>
    <row r="1552" spans="1:17" x14ac:dyDescent="0.35">
      <c r="A1552">
        <v>130</v>
      </c>
      <c r="B1552">
        <v>32</v>
      </c>
      <c r="C1552" t="s">
        <v>27</v>
      </c>
      <c r="D1552">
        <v>158</v>
      </c>
      <c r="E1552">
        <v>83</v>
      </c>
      <c r="F1552" s="3">
        <v>26.831038945627299</v>
      </c>
      <c r="G1552" s="3" t="str">
        <f t="shared" si="24"/>
        <v>Overweight</v>
      </c>
      <c r="H1552" t="s">
        <v>154</v>
      </c>
      <c r="I1552" t="s">
        <v>31</v>
      </c>
      <c r="J1552" t="s">
        <v>20</v>
      </c>
      <c r="K1552" t="s">
        <v>22</v>
      </c>
      <c r="L1552" t="s">
        <v>32</v>
      </c>
      <c r="M1552" t="s">
        <v>20</v>
      </c>
      <c r="N1552" t="s">
        <v>25</v>
      </c>
      <c r="O1552" t="s">
        <v>19</v>
      </c>
      <c r="P1552" t="s">
        <v>19</v>
      </c>
      <c r="Q1552" t="s">
        <v>22</v>
      </c>
    </row>
    <row r="1553" spans="1:17" x14ac:dyDescent="0.35">
      <c r="A1553">
        <v>1546</v>
      </c>
      <c r="B1553">
        <v>25</v>
      </c>
      <c r="C1553" t="s">
        <v>27</v>
      </c>
      <c r="D1553">
        <v>167</v>
      </c>
      <c r="E1553">
        <v>85</v>
      </c>
      <c r="F1553" s="3">
        <v>19.821046141727901</v>
      </c>
      <c r="G1553" s="3" t="str">
        <f t="shared" si="24"/>
        <v>Normal Weight</v>
      </c>
      <c r="H1553" t="s">
        <v>1090</v>
      </c>
      <c r="I1553" t="s">
        <v>24</v>
      </c>
      <c r="J1553" t="s">
        <v>19</v>
      </c>
      <c r="K1553" t="s">
        <v>18</v>
      </c>
      <c r="L1553" t="s">
        <v>38</v>
      </c>
      <c r="M1553" t="s">
        <v>19</v>
      </c>
      <c r="N1553" t="s">
        <v>21</v>
      </c>
      <c r="O1553" t="s">
        <v>20</v>
      </c>
      <c r="P1553" t="s">
        <v>20</v>
      </c>
      <c r="Q1553" t="s">
        <v>18</v>
      </c>
    </row>
    <row r="1554" spans="1:17" x14ac:dyDescent="0.35">
      <c r="A1554">
        <v>1548</v>
      </c>
      <c r="B1554">
        <v>66</v>
      </c>
      <c r="C1554" t="s">
        <v>16</v>
      </c>
      <c r="D1554">
        <v>162</v>
      </c>
      <c r="E1554">
        <v>90</v>
      </c>
      <c r="F1554" s="3">
        <v>18.664492373119501</v>
      </c>
      <c r="G1554" s="3" t="str">
        <f t="shared" si="24"/>
        <v>Normal Weight</v>
      </c>
      <c r="H1554" t="s">
        <v>1091</v>
      </c>
      <c r="I1554" t="s">
        <v>31</v>
      </c>
      <c r="J1554" t="s">
        <v>19</v>
      </c>
      <c r="K1554" t="s">
        <v>18</v>
      </c>
      <c r="L1554" t="s">
        <v>14</v>
      </c>
      <c r="M1554" t="s">
        <v>20</v>
      </c>
      <c r="N1554" t="s">
        <v>21</v>
      </c>
      <c r="O1554" t="s">
        <v>20</v>
      </c>
      <c r="P1554" t="s">
        <v>20</v>
      </c>
      <c r="Q1554" t="s">
        <v>18</v>
      </c>
    </row>
    <row r="1555" spans="1:17" x14ac:dyDescent="0.35">
      <c r="A1555">
        <v>1549</v>
      </c>
      <c r="B1555">
        <v>45</v>
      </c>
      <c r="C1555" t="s">
        <v>27</v>
      </c>
      <c r="D1555">
        <v>164</v>
      </c>
      <c r="E1555">
        <v>66</v>
      </c>
      <c r="F1555" s="3">
        <v>19.898641548034401</v>
      </c>
      <c r="G1555" s="3" t="str">
        <f t="shared" si="24"/>
        <v>Normal Weight</v>
      </c>
      <c r="H1555" t="s">
        <v>1092</v>
      </c>
      <c r="I1555" t="s">
        <v>24</v>
      </c>
      <c r="J1555" t="s">
        <v>19</v>
      </c>
      <c r="K1555" t="s">
        <v>18</v>
      </c>
      <c r="L1555" t="s">
        <v>32</v>
      </c>
      <c r="M1555" t="s">
        <v>19</v>
      </c>
      <c r="N1555" t="s">
        <v>21</v>
      </c>
      <c r="O1555" t="s">
        <v>20</v>
      </c>
      <c r="P1555" t="s">
        <v>19</v>
      </c>
      <c r="Q1555" t="s">
        <v>22</v>
      </c>
    </row>
    <row r="1556" spans="1:17" x14ac:dyDescent="0.35">
      <c r="A1556">
        <v>1551</v>
      </c>
      <c r="B1556">
        <v>75</v>
      </c>
      <c r="C1556" t="s">
        <v>16</v>
      </c>
      <c r="D1556">
        <v>178</v>
      </c>
      <c r="E1556">
        <v>97</v>
      </c>
      <c r="F1556" s="3">
        <v>31.229310190183501</v>
      </c>
      <c r="G1556" s="3" t="str">
        <f t="shared" si="24"/>
        <v>Obese</v>
      </c>
      <c r="H1556" t="s">
        <v>1094</v>
      </c>
      <c r="I1556" t="s">
        <v>31</v>
      </c>
      <c r="J1556" t="s">
        <v>20</v>
      </c>
      <c r="K1556" t="s">
        <v>40</v>
      </c>
      <c r="L1556" t="s">
        <v>14</v>
      </c>
      <c r="M1556" t="s">
        <v>20</v>
      </c>
      <c r="N1556" t="s">
        <v>25</v>
      </c>
      <c r="O1556" t="s">
        <v>19</v>
      </c>
      <c r="P1556" t="s">
        <v>19</v>
      </c>
      <c r="Q1556" t="s">
        <v>18</v>
      </c>
    </row>
    <row r="1557" spans="1:17" x14ac:dyDescent="0.35">
      <c r="A1557">
        <v>1553</v>
      </c>
      <c r="B1557">
        <v>71</v>
      </c>
      <c r="C1557" t="s">
        <v>27</v>
      </c>
      <c r="D1557">
        <v>152</v>
      </c>
      <c r="E1557">
        <v>97</v>
      </c>
      <c r="F1557" s="3">
        <v>32.599504692527297</v>
      </c>
      <c r="G1557" s="3" t="str">
        <f t="shared" si="24"/>
        <v>Obese</v>
      </c>
      <c r="H1557" t="s">
        <v>1096</v>
      </c>
      <c r="I1557" t="s">
        <v>24</v>
      </c>
      <c r="J1557" t="s">
        <v>19</v>
      </c>
      <c r="K1557" t="s">
        <v>40</v>
      </c>
      <c r="L1557" t="s">
        <v>14</v>
      </c>
      <c r="M1557" t="s">
        <v>20</v>
      </c>
      <c r="N1557" t="s">
        <v>25</v>
      </c>
      <c r="O1557" t="s">
        <v>19</v>
      </c>
      <c r="P1557" t="s">
        <v>19</v>
      </c>
      <c r="Q1557" t="s">
        <v>22</v>
      </c>
    </row>
    <row r="1558" spans="1:17" x14ac:dyDescent="0.35">
      <c r="A1558">
        <v>560</v>
      </c>
      <c r="B1558">
        <v>32</v>
      </c>
      <c r="C1558" t="s">
        <v>27</v>
      </c>
      <c r="D1558">
        <v>167</v>
      </c>
      <c r="E1558">
        <v>78</v>
      </c>
      <c r="F1558" s="3">
        <v>31.301974698749898</v>
      </c>
      <c r="G1558" s="3" t="str">
        <f t="shared" si="24"/>
        <v>Obese</v>
      </c>
      <c r="H1558" t="s">
        <v>182</v>
      </c>
      <c r="I1558" t="s">
        <v>31</v>
      </c>
      <c r="J1558" t="s">
        <v>19</v>
      </c>
      <c r="K1558" t="s">
        <v>22</v>
      </c>
      <c r="L1558" t="s">
        <v>29</v>
      </c>
      <c r="M1558" t="s">
        <v>19</v>
      </c>
      <c r="N1558" t="s">
        <v>21</v>
      </c>
      <c r="O1558" t="s">
        <v>19</v>
      </c>
      <c r="P1558" t="s">
        <v>20</v>
      </c>
      <c r="Q1558" t="s">
        <v>40</v>
      </c>
    </row>
    <row r="1559" spans="1:17" x14ac:dyDescent="0.35">
      <c r="A1559">
        <v>928</v>
      </c>
      <c r="B1559">
        <v>32</v>
      </c>
      <c r="C1559" t="s">
        <v>16</v>
      </c>
      <c r="D1559">
        <v>160</v>
      </c>
      <c r="E1559">
        <v>79</v>
      </c>
      <c r="F1559" s="3">
        <v>34.9281454151267</v>
      </c>
      <c r="G1559" s="3" t="str">
        <f t="shared" si="24"/>
        <v>Obese</v>
      </c>
      <c r="H1559" t="s">
        <v>139</v>
      </c>
      <c r="I1559" t="s">
        <v>31</v>
      </c>
      <c r="J1559" t="s">
        <v>19</v>
      </c>
      <c r="K1559" t="s">
        <v>22</v>
      </c>
      <c r="L1559" t="s">
        <v>38</v>
      </c>
      <c r="M1559" t="s">
        <v>20</v>
      </c>
      <c r="N1559" t="s">
        <v>21</v>
      </c>
      <c r="O1559" t="s">
        <v>20</v>
      </c>
      <c r="P1559" t="s">
        <v>20</v>
      </c>
      <c r="Q1559" t="s">
        <v>22</v>
      </c>
    </row>
    <row r="1560" spans="1:17" x14ac:dyDescent="0.35">
      <c r="A1560">
        <v>1075</v>
      </c>
      <c r="B1560">
        <v>32</v>
      </c>
      <c r="C1560" t="s">
        <v>16</v>
      </c>
      <c r="D1560">
        <v>180</v>
      </c>
      <c r="E1560">
        <v>81</v>
      </c>
      <c r="F1560" s="3">
        <v>28.781774586839099</v>
      </c>
      <c r="G1560" s="3" t="str">
        <f t="shared" si="24"/>
        <v>Overweight</v>
      </c>
      <c r="H1560" t="s">
        <v>416</v>
      </c>
      <c r="I1560" t="s">
        <v>24</v>
      </c>
      <c r="J1560" t="s">
        <v>19</v>
      </c>
      <c r="K1560" t="s">
        <v>22</v>
      </c>
      <c r="L1560" t="s">
        <v>14</v>
      </c>
      <c r="M1560" t="s">
        <v>20</v>
      </c>
      <c r="N1560" t="s">
        <v>21</v>
      </c>
      <c r="O1560" t="s">
        <v>20</v>
      </c>
      <c r="P1560" t="s">
        <v>19</v>
      </c>
      <c r="Q1560" t="s">
        <v>40</v>
      </c>
    </row>
    <row r="1561" spans="1:17" x14ac:dyDescent="0.35">
      <c r="A1561">
        <v>1555</v>
      </c>
      <c r="B1561">
        <v>46</v>
      </c>
      <c r="C1561" t="s">
        <v>27</v>
      </c>
      <c r="D1561">
        <v>152</v>
      </c>
      <c r="E1561">
        <v>52</v>
      </c>
      <c r="F1561" s="3">
        <v>19.363492145460899</v>
      </c>
      <c r="G1561" s="3" t="str">
        <f t="shared" si="24"/>
        <v>Normal Weight</v>
      </c>
      <c r="H1561" t="s">
        <v>1097</v>
      </c>
      <c r="I1561" t="s">
        <v>31</v>
      </c>
      <c r="J1561" t="s">
        <v>19</v>
      </c>
      <c r="K1561" t="s">
        <v>18</v>
      </c>
      <c r="L1561" t="s">
        <v>38</v>
      </c>
      <c r="M1561" t="s">
        <v>20</v>
      </c>
      <c r="N1561" t="s">
        <v>25</v>
      </c>
      <c r="O1561" t="s">
        <v>19</v>
      </c>
      <c r="P1561" t="s">
        <v>20</v>
      </c>
      <c r="Q1561" t="s">
        <v>40</v>
      </c>
    </row>
    <row r="1562" spans="1:17" x14ac:dyDescent="0.35">
      <c r="A1562">
        <v>1557</v>
      </c>
      <c r="B1562">
        <v>57</v>
      </c>
      <c r="C1562" t="s">
        <v>27</v>
      </c>
      <c r="D1562">
        <v>189</v>
      </c>
      <c r="E1562">
        <v>84</v>
      </c>
      <c r="F1562" s="3">
        <v>32.4509283788692</v>
      </c>
      <c r="G1562" s="3" t="str">
        <f t="shared" si="24"/>
        <v>Obese</v>
      </c>
      <c r="H1562" t="s">
        <v>1098</v>
      </c>
      <c r="I1562" t="s">
        <v>24</v>
      </c>
      <c r="J1562" t="s">
        <v>19</v>
      </c>
      <c r="K1562" t="s">
        <v>18</v>
      </c>
      <c r="L1562" t="s">
        <v>29</v>
      </c>
      <c r="M1562" t="s">
        <v>20</v>
      </c>
      <c r="N1562" t="s">
        <v>25</v>
      </c>
      <c r="O1562" t="s">
        <v>19</v>
      </c>
      <c r="P1562" t="s">
        <v>20</v>
      </c>
      <c r="Q1562" t="s">
        <v>18</v>
      </c>
    </row>
    <row r="1563" spans="1:17" x14ac:dyDescent="0.35">
      <c r="A1563">
        <v>1560</v>
      </c>
      <c r="B1563">
        <v>28</v>
      </c>
      <c r="C1563" t="s">
        <v>27</v>
      </c>
      <c r="D1563">
        <v>180</v>
      </c>
      <c r="E1563">
        <v>80</v>
      </c>
      <c r="F1563" s="3">
        <v>22.342880337716402</v>
      </c>
      <c r="G1563" s="3" t="str">
        <f t="shared" si="24"/>
        <v>Normal Weight</v>
      </c>
      <c r="H1563" t="s">
        <v>535</v>
      </c>
      <c r="I1563" t="s">
        <v>31</v>
      </c>
      <c r="J1563" t="s">
        <v>19</v>
      </c>
      <c r="K1563" t="s">
        <v>18</v>
      </c>
      <c r="L1563" t="s">
        <v>32</v>
      </c>
      <c r="M1563" t="s">
        <v>19</v>
      </c>
      <c r="N1563" t="s">
        <v>25</v>
      </c>
      <c r="O1563" t="s">
        <v>19</v>
      </c>
      <c r="P1563" t="s">
        <v>20</v>
      </c>
      <c r="Q1563" t="s">
        <v>40</v>
      </c>
    </row>
    <row r="1564" spans="1:17" x14ac:dyDescent="0.35">
      <c r="A1564">
        <v>1229</v>
      </c>
      <c r="B1564">
        <v>32</v>
      </c>
      <c r="C1564" t="s">
        <v>27</v>
      </c>
      <c r="D1564">
        <v>172</v>
      </c>
      <c r="E1564">
        <v>68</v>
      </c>
      <c r="F1564" s="3">
        <v>18.862699944358699</v>
      </c>
      <c r="G1564" s="3" t="str">
        <f t="shared" si="24"/>
        <v>Normal Weight</v>
      </c>
      <c r="H1564" t="s">
        <v>942</v>
      </c>
      <c r="I1564" t="s">
        <v>18</v>
      </c>
      <c r="J1564" t="s">
        <v>20</v>
      </c>
      <c r="K1564" t="s">
        <v>22</v>
      </c>
      <c r="L1564" t="s">
        <v>32</v>
      </c>
      <c r="M1564" t="s">
        <v>20</v>
      </c>
      <c r="N1564" t="s">
        <v>21</v>
      </c>
      <c r="O1564" t="s">
        <v>20</v>
      </c>
      <c r="P1564" t="s">
        <v>20</v>
      </c>
      <c r="Q1564" t="s">
        <v>18</v>
      </c>
    </row>
    <row r="1565" spans="1:17" x14ac:dyDescent="0.35">
      <c r="A1565">
        <v>1312</v>
      </c>
      <c r="B1565">
        <v>32</v>
      </c>
      <c r="C1565" t="s">
        <v>16</v>
      </c>
      <c r="D1565">
        <v>185</v>
      </c>
      <c r="E1565">
        <v>55</v>
      </c>
      <c r="F1565" s="3">
        <v>20.106716030282001</v>
      </c>
      <c r="G1565" s="3" t="str">
        <f t="shared" si="24"/>
        <v>Normal Weight</v>
      </c>
      <c r="H1565" t="s">
        <v>988</v>
      </c>
      <c r="I1565" t="s">
        <v>24</v>
      </c>
      <c r="J1565" t="s">
        <v>19</v>
      </c>
      <c r="K1565" t="s">
        <v>22</v>
      </c>
      <c r="L1565" t="s">
        <v>14</v>
      </c>
      <c r="M1565" t="s">
        <v>19</v>
      </c>
      <c r="N1565" t="s">
        <v>21</v>
      </c>
      <c r="O1565" t="s">
        <v>20</v>
      </c>
      <c r="P1565" t="s">
        <v>20</v>
      </c>
      <c r="Q1565" t="s">
        <v>22</v>
      </c>
    </row>
    <row r="1566" spans="1:17" x14ac:dyDescent="0.35">
      <c r="A1566">
        <v>1323</v>
      </c>
      <c r="B1566">
        <v>32</v>
      </c>
      <c r="C1566" t="s">
        <v>16</v>
      </c>
      <c r="D1566">
        <v>159</v>
      </c>
      <c r="E1566">
        <v>82</v>
      </c>
      <c r="F1566" s="3">
        <v>32.420728739472104</v>
      </c>
      <c r="G1566" s="3" t="str">
        <f t="shared" si="24"/>
        <v>Obese</v>
      </c>
      <c r="H1566" t="s">
        <v>355</v>
      </c>
      <c r="I1566" t="s">
        <v>31</v>
      </c>
      <c r="J1566" t="s">
        <v>19</v>
      </c>
      <c r="K1566" t="s">
        <v>22</v>
      </c>
      <c r="L1566" t="s">
        <v>38</v>
      </c>
      <c r="M1566" t="s">
        <v>20</v>
      </c>
      <c r="N1566" t="s">
        <v>21</v>
      </c>
      <c r="O1566" t="s">
        <v>19</v>
      </c>
      <c r="P1566" t="s">
        <v>19</v>
      </c>
      <c r="Q1566" t="s">
        <v>22</v>
      </c>
    </row>
    <row r="1567" spans="1:17" x14ac:dyDescent="0.35">
      <c r="A1567">
        <v>1561</v>
      </c>
      <c r="B1567">
        <v>40</v>
      </c>
      <c r="C1567" t="s">
        <v>27</v>
      </c>
      <c r="D1567">
        <v>181</v>
      </c>
      <c r="E1567">
        <v>80</v>
      </c>
      <c r="F1567" s="3">
        <v>32.447944598863899</v>
      </c>
      <c r="G1567" s="3" t="str">
        <f t="shared" si="24"/>
        <v>Obese</v>
      </c>
      <c r="H1567" t="s">
        <v>1100</v>
      </c>
      <c r="I1567" t="s">
        <v>24</v>
      </c>
      <c r="J1567" t="s">
        <v>19</v>
      </c>
      <c r="K1567" t="s">
        <v>18</v>
      </c>
      <c r="L1567" t="s">
        <v>14</v>
      </c>
      <c r="M1567" t="s">
        <v>19</v>
      </c>
      <c r="N1567" t="s">
        <v>21</v>
      </c>
      <c r="O1567" t="s">
        <v>20</v>
      </c>
      <c r="P1567" t="s">
        <v>20</v>
      </c>
      <c r="Q1567" t="s">
        <v>40</v>
      </c>
    </row>
    <row r="1568" spans="1:17" x14ac:dyDescent="0.35">
      <c r="A1568">
        <v>1563</v>
      </c>
      <c r="B1568">
        <v>63</v>
      </c>
      <c r="C1568" t="s">
        <v>16</v>
      </c>
      <c r="D1568">
        <v>179</v>
      </c>
      <c r="E1568">
        <v>73</v>
      </c>
      <c r="F1568" s="3">
        <v>34.682559377415998</v>
      </c>
      <c r="G1568" s="3" t="str">
        <f t="shared" si="24"/>
        <v>Obese</v>
      </c>
      <c r="H1568" t="s">
        <v>340</v>
      </c>
      <c r="I1568" t="s">
        <v>24</v>
      </c>
      <c r="J1568" t="s">
        <v>19</v>
      </c>
      <c r="K1568" t="s">
        <v>18</v>
      </c>
      <c r="L1568" t="s">
        <v>14</v>
      </c>
      <c r="M1568" t="s">
        <v>19</v>
      </c>
      <c r="N1568" t="s">
        <v>21</v>
      </c>
      <c r="O1568" t="s">
        <v>19</v>
      </c>
      <c r="P1568" t="s">
        <v>20</v>
      </c>
      <c r="Q1568" t="s">
        <v>22</v>
      </c>
    </row>
    <row r="1569" spans="1:17" x14ac:dyDescent="0.35">
      <c r="A1569">
        <v>1566</v>
      </c>
      <c r="B1569">
        <v>43</v>
      </c>
      <c r="C1569" t="s">
        <v>27</v>
      </c>
      <c r="D1569">
        <v>177</v>
      </c>
      <c r="E1569">
        <v>99</v>
      </c>
      <c r="F1569" s="3">
        <v>21.994669473044699</v>
      </c>
      <c r="G1569" s="3" t="str">
        <f t="shared" si="24"/>
        <v>Normal Weight</v>
      </c>
      <c r="H1569" t="s">
        <v>1102</v>
      </c>
      <c r="I1569" t="s">
        <v>31</v>
      </c>
      <c r="J1569" t="s">
        <v>19</v>
      </c>
      <c r="K1569" t="s">
        <v>18</v>
      </c>
      <c r="L1569" t="s">
        <v>14</v>
      </c>
      <c r="M1569" t="s">
        <v>19</v>
      </c>
      <c r="N1569" t="s">
        <v>21</v>
      </c>
      <c r="O1569" t="s">
        <v>20</v>
      </c>
      <c r="P1569" t="s">
        <v>20</v>
      </c>
      <c r="Q1569" t="s">
        <v>18</v>
      </c>
    </row>
    <row r="1570" spans="1:17" x14ac:dyDescent="0.35">
      <c r="A1570">
        <v>1493</v>
      </c>
      <c r="B1570">
        <v>32</v>
      </c>
      <c r="C1570" t="s">
        <v>27</v>
      </c>
      <c r="D1570">
        <v>183</v>
      </c>
      <c r="E1570">
        <v>55</v>
      </c>
      <c r="F1570" s="3">
        <v>19.5494237002336</v>
      </c>
      <c r="G1570" s="3" t="str">
        <f t="shared" si="24"/>
        <v>Normal Weight</v>
      </c>
      <c r="H1570" t="s">
        <v>1067</v>
      </c>
      <c r="I1570" t="s">
        <v>31</v>
      </c>
      <c r="J1570" t="s">
        <v>20</v>
      </c>
      <c r="K1570" t="s">
        <v>22</v>
      </c>
      <c r="L1570" t="s">
        <v>14</v>
      </c>
      <c r="M1570" t="s">
        <v>20</v>
      </c>
      <c r="N1570" t="s">
        <v>25</v>
      </c>
      <c r="O1570" t="s">
        <v>19</v>
      </c>
      <c r="P1570" t="s">
        <v>20</v>
      </c>
      <c r="Q1570" t="s">
        <v>22</v>
      </c>
    </row>
    <row r="1571" spans="1:17" x14ac:dyDescent="0.35">
      <c r="A1571">
        <v>1577</v>
      </c>
      <c r="B1571">
        <v>32</v>
      </c>
      <c r="C1571" t="s">
        <v>27</v>
      </c>
      <c r="D1571">
        <v>166</v>
      </c>
      <c r="E1571">
        <v>64</v>
      </c>
      <c r="F1571" s="3">
        <v>33.782184275841303</v>
      </c>
      <c r="G1571" s="3" t="str">
        <f t="shared" si="24"/>
        <v>Obese</v>
      </c>
      <c r="H1571" t="s">
        <v>975</v>
      </c>
      <c r="I1571" t="s">
        <v>18</v>
      </c>
      <c r="J1571" t="s">
        <v>20</v>
      </c>
      <c r="K1571" t="s">
        <v>22</v>
      </c>
      <c r="L1571" t="s">
        <v>14</v>
      </c>
      <c r="M1571" t="s">
        <v>19</v>
      </c>
      <c r="N1571" t="s">
        <v>21</v>
      </c>
      <c r="O1571" t="s">
        <v>20</v>
      </c>
      <c r="P1571" t="s">
        <v>20</v>
      </c>
      <c r="Q1571" t="s">
        <v>18</v>
      </c>
    </row>
    <row r="1572" spans="1:17" x14ac:dyDescent="0.35">
      <c r="A1572">
        <v>1952</v>
      </c>
      <c r="B1572">
        <v>32</v>
      </c>
      <c r="C1572" t="s">
        <v>27</v>
      </c>
      <c r="D1572">
        <v>169</v>
      </c>
      <c r="E1572">
        <v>62</v>
      </c>
      <c r="F1572" s="3">
        <v>31.731580221796001</v>
      </c>
      <c r="G1572" s="3" t="str">
        <f t="shared" si="24"/>
        <v>Obese</v>
      </c>
      <c r="H1572" t="s">
        <v>1048</v>
      </c>
      <c r="I1572" t="s">
        <v>24</v>
      </c>
      <c r="J1572" t="s">
        <v>20</v>
      </c>
      <c r="K1572" t="s">
        <v>22</v>
      </c>
      <c r="L1572" t="s">
        <v>29</v>
      </c>
      <c r="M1572" t="s">
        <v>20</v>
      </c>
      <c r="N1572" t="s">
        <v>21</v>
      </c>
      <c r="O1572" t="s">
        <v>19</v>
      </c>
      <c r="P1572" t="s">
        <v>19</v>
      </c>
      <c r="Q1572" t="s">
        <v>22</v>
      </c>
    </row>
    <row r="1573" spans="1:17" x14ac:dyDescent="0.35">
      <c r="A1573">
        <v>1971</v>
      </c>
      <c r="B1573">
        <v>32</v>
      </c>
      <c r="C1573" t="s">
        <v>16</v>
      </c>
      <c r="D1573">
        <v>157</v>
      </c>
      <c r="E1573">
        <v>82</v>
      </c>
      <c r="F1573" s="3">
        <v>25.1501395054676</v>
      </c>
      <c r="G1573" s="3" t="str">
        <f t="shared" si="24"/>
        <v>Overweight</v>
      </c>
      <c r="H1573" t="s">
        <v>1266</v>
      </c>
      <c r="I1573" t="s">
        <v>18</v>
      </c>
      <c r="J1573" t="s">
        <v>19</v>
      </c>
      <c r="K1573" t="s">
        <v>22</v>
      </c>
      <c r="L1573" t="s">
        <v>29</v>
      </c>
      <c r="M1573" t="s">
        <v>19</v>
      </c>
      <c r="N1573" t="s">
        <v>21</v>
      </c>
      <c r="O1573" t="s">
        <v>19</v>
      </c>
      <c r="P1573" t="s">
        <v>20</v>
      </c>
      <c r="Q1573" t="s">
        <v>18</v>
      </c>
    </row>
    <row r="1574" spans="1:17" x14ac:dyDescent="0.35">
      <c r="A1574">
        <v>66</v>
      </c>
      <c r="B1574">
        <v>31</v>
      </c>
      <c r="C1574" t="s">
        <v>16</v>
      </c>
      <c r="D1574">
        <v>160</v>
      </c>
      <c r="E1574">
        <v>71</v>
      </c>
      <c r="F1574" s="3">
        <v>25.6840393360959</v>
      </c>
      <c r="G1574" s="3" t="str">
        <f t="shared" si="24"/>
        <v>Overweight</v>
      </c>
      <c r="H1574" t="s">
        <v>95</v>
      </c>
      <c r="I1574" t="s">
        <v>18</v>
      </c>
      <c r="J1574" t="s">
        <v>19</v>
      </c>
      <c r="K1574" t="s">
        <v>22</v>
      </c>
      <c r="L1574" t="s">
        <v>38</v>
      </c>
      <c r="M1574" t="s">
        <v>20</v>
      </c>
      <c r="N1574" t="s">
        <v>25</v>
      </c>
      <c r="O1574" t="s">
        <v>19</v>
      </c>
      <c r="P1574" t="s">
        <v>20</v>
      </c>
      <c r="Q1574" t="s">
        <v>40</v>
      </c>
    </row>
    <row r="1575" spans="1:17" x14ac:dyDescent="0.35">
      <c r="A1575">
        <v>83</v>
      </c>
      <c r="B1575">
        <v>31</v>
      </c>
      <c r="C1575" t="s">
        <v>16</v>
      </c>
      <c r="D1575">
        <v>151</v>
      </c>
      <c r="E1575">
        <v>91</v>
      </c>
      <c r="F1575" s="3">
        <v>30.505913772044799</v>
      </c>
      <c r="G1575" s="3" t="str">
        <f t="shared" si="24"/>
        <v>Obese</v>
      </c>
      <c r="H1575" t="s">
        <v>111</v>
      </c>
      <c r="I1575" t="s">
        <v>24</v>
      </c>
      <c r="J1575" t="s">
        <v>20</v>
      </c>
      <c r="K1575" t="s">
        <v>22</v>
      </c>
      <c r="L1575" t="s">
        <v>14</v>
      </c>
      <c r="M1575" t="s">
        <v>20</v>
      </c>
      <c r="N1575" t="s">
        <v>25</v>
      </c>
      <c r="O1575" t="s">
        <v>19</v>
      </c>
      <c r="P1575" t="s">
        <v>19</v>
      </c>
      <c r="Q1575" t="s">
        <v>40</v>
      </c>
    </row>
    <row r="1576" spans="1:17" x14ac:dyDescent="0.35">
      <c r="A1576">
        <v>104</v>
      </c>
      <c r="B1576">
        <v>31</v>
      </c>
      <c r="C1576" t="s">
        <v>16</v>
      </c>
      <c r="D1576">
        <v>161</v>
      </c>
      <c r="E1576">
        <v>94</v>
      </c>
      <c r="F1576" s="3">
        <v>24.2255385343013</v>
      </c>
      <c r="G1576" s="3" t="str">
        <f t="shared" si="24"/>
        <v>Normal Weight</v>
      </c>
      <c r="H1576" t="s">
        <v>131</v>
      </c>
      <c r="I1576" t="s">
        <v>24</v>
      </c>
      <c r="J1576" t="s">
        <v>19</v>
      </c>
      <c r="K1576" t="s">
        <v>22</v>
      </c>
      <c r="L1576" t="s">
        <v>29</v>
      </c>
      <c r="M1576" t="s">
        <v>20</v>
      </c>
      <c r="N1576" t="s">
        <v>25</v>
      </c>
      <c r="O1576" t="s">
        <v>20</v>
      </c>
      <c r="P1576" t="s">
        <v>20</v>
      </c>
      <c r="Q1576" t="s">
        <v>40</v>
      </c>
    </row>
    <row r="1577" spans="1:17" x14ac:dyDescent="0.35">
      <c r="A1577">
        <v>1567</v>
      </c>
      <c r="B1577">
        <v>63</v>
      </c>
      <c r="C1577" t="s">
        <v>27</v>
      </c>
      <c r="D1577">
        <v>180</v>
      </c>
      <c r="E1577">
        <v>63</v>
      </c>
      <c r="F1577" s="3">
        <v>31.576906165752</v>
      </c>
      <c r="G1577" s="3" t="str">
        <f t="shared" si="24"/>
        <v>Obese</v>
      </c>
      <c r="H1577" t="s">
        <v>1103</v>
      </c>
      <c r="I1577" t="s">
        <v>24</v>
      </c>
      <c r="J1577" t="s">
        <v>19</v>
      </c>
      <c r="K1577" t="s">
        <v>18</v>
      </c>
      <c r="L1577" t="s">
        <v>29</v>
      </c>
      <c r="M1577" t="s">
        <v>20</v>
      </c>
      <c r="N1577" t="s">
        <v>25</v>
      </c>
      <c r="O1577" t="s">
        <v>20</v>
      </c>
      <c r="P1577" t="s">
        <v>20</v>
      </c>
      <c r="Q1577" t="s">
        <v>22</v>
      </c>
    </row>
    <row r="1578" spans="1:17" x14ac:dyDescent="0.35">
      <c r="A1578">
        <v>177</v>
      </c>
      <c r="B1578">
        <v>31</v>
      </c>
      <c r="C1578" t="s">
        <v>27</v>
      </c>
      <c r="D1578">
        <v>157</v>
      </c>
      <c r="E1578">
        <v>72</v>
      </c>
      <c r="F1578" s="3">
        <v>20.1430652734104</v>
      </c>
      <c r="G1578" s="3" t="str">
        <f t="shared" si="24"/>
        <v>Normal Weight</v>
      </c>
      <c r="H1578" t="s">
        <v>197</v>
      </c>
      <c r="I1578" t="s">
        <v>24</v>
      </c>
      <c r="J1578" t="s">
        <v>19</v>
      </c>
      <c r="K1578" t="s">
        <v>22</v>
      </c>
      <c r="L1578" t="s">
        <v>14</v>
      </c>
      <c r="M1578" t="s">
        <v>19</v>
      </c>
      <c r="N1578" t="s">
        <v>25</v>
      </c>
      <c r="O1578" t="s">
        <v>19</v>
      </c>
      <c r="P1578" t="s">
        <v>19</v>
      </c>
      <c r="Q1578" t="s">
        <v>22</v>
      </c>
    </row>
    <row r="1579" spans="1:17" x14ac:dyDescent="0.35">
      <c r="A1579">
        <v>1568</v>
      </c>
      <c r="B1579">
        <v>53</v>
      </c>
      <c r="C1579" t="s">
        <v>16</v>
      </c>
      <c r="D1579">
        <v>183</v>
      </c>
      <c r="E1579">
        <v>99</v>
      </c>
      <c r="F1579" s="3">
        <v>21.583970391426899</v>
      </c>
      <c r="G1579" s="3" t="str">
        <f t="shared" si="24"/>
        <v>Normal Weight</v>
      </c>
      <c r="H1579" t="s">
        <v>1104</v>
      </c>
      <c r="I1579" t="s">
        <v>18</v>
      </c>
      <c r="J1579" t="s">
        <v>19</v>
      </c>
      <c r="K1579" t="s">
        <v>18</v>
      </c>
      <c r="L1579" t="s">
        <v>32</v>
      </c>
      <c r="M1579" t="s">
        <v>19</v>
      </c>
      <c r="N1579" t="s">
        <v>21</v>
      </c>
      <c r="O1579" t="s">
        <v>19</v>
      </c>
      <c r="P1579" t="s">
        <v>19</v>
      </c>
      <c r="Q1579" t="s">
        <v>22</v>
      </c>
    </row>
    <row r="1580" spans="1:17" x14ac:dyDescent="0.35">
      <c r="A1580">
        <v>1571</v>
      </c>
      <c r="B1580">
        <v>74</v>
      </c>
      <c r="C1580" t="s">
        <v>16</v>
      </c>
      <c r="D1580">
        <v>185</v>
      </c>
      <c r="E1580">
        <v>55</v>
      </c>
      <c r="F1580" s="3">
        <v>18.909483988844901</v>
      </c>
      <c r="G1580" s="3" t="str">
        <f t="shared" si="24"/>
        <v>Normal Weight</v>
      </c>
      <c r="H1580" t="s">
        <v>388</v>
      </c>
      <c r="I1580" t="s">
        <v>18</v>
      </c>
      <c r="J1580" t="s">
        <v>19</v>
      </c>
      <c r="K1580" t="s">
        <v>40</v>
      </c>
      <c r="L1580" t="s">
        <v>38</v>
      </c>
      <c r="M1580" t="s">
        <v>19</v>
      </c>
      <c r="N1580" t="s">
        <v>21</v>
      </c>
      <c r="O1580" t="s">
        <v>20</v>
      </c>
      <c r="P1580" t="s">
        <v>20</v>
      </c>
      <c r="Q1580" t="s">
        <v>22</v>
      </c>
    </row>
    <row r="1581" spans="1:17" x14ac:dyDescent="0.35">
      <c r="A1581">
        <v>1574</v>
      </c>
      <c r="B1581">
        <v>72</v>
      </c>
      <c r="C1581" t="s">
        <v>16</v>
      </c>
      <c r="D1581">
        <v>186</v>
      </c>
      <c r="E1581">
        <v>99</v>
      </c>
      <c r="F1581" s="3">
        <v>32.386655086003898</v>
      </c>
      <c r="G1581" s="3" t="str">
        <f t="shared" si="24"/>
        <v>Obese</v>
      </c>
      <c r="H1581" t="s">
        <v>397</v>
      </c>
      <c r="I1581" t="s">
        <v>18</v>
      </c>
      <c r="J1581" t="s">
        <v>19</v>
      </c>
      <c r="K1581" t="s">
        <v>40</v>
      </c>
      <c r="L1581" t="s">
        <v>29</v>
      </c>
      <c r="M1581" t="s">
        <v>20</v>
      </c>
      <c r="N1581" t="s">
        <v>25</v>
      </c>
      <c r="O1581" t="s">
        <v>20</v>
      </c>
      <c r="P1581" t="s">
        <v>19</v>
      </c>
      <c r="Q1581" t="s">
        <v>40</v>
      </c>
    </row>
    <row r="1582" spans="1:17" x14ac:dyDescent="0.35">
      <c r="A1582">
        <v>1578</v>
      </c>
      <c r="B1582">
        <v>38</v>
      </c>
      <c r="C1582" t="s">
        <v>27</v>
      </c>
      <c r="D1582">
        <v>184</v>
      </c>
      <c r="E1582">
        <v>52</v>
      </c>
      <c r="F1582" s="3">
        <v>18.650119991132801</v>
      </c>
      <c r="G1582" s="3" t="str">
        <f t="shared" si="24"/>
        <v>Normal Weight</v>
      </c>
      <c r="H1582" t="s">
        <v>1109</v>
      </c>
      <c r="I1582" t="s">
        <v>18</v>
      </c>
      <c r="J1582" t="s">
        <v>19</v>
      </c>
      <c r="K1582" t="s">
        <v>18</v>
      </c>
      <c r="L1582" t="s">
        <v>29</v>
      </c>
      <c r="M1582" t="s">
        <v>20</v>
      </c>
      <c r="N1582" t="s">
        <v>21</v>
      </c>
      <c r="O1582" t="s">
        <v>20</v>
      </c>
      <c r="P1582" t="s">
        <v>19</v>
      </c>
      <c r="Q1582" t="s">
        <v>22</v>
      </c>
    </row>
    <row r="1583" spans="1:17" x14ac:dyDescent="0.35">
      <c r="A1583">
        <v>1579</v>
      </c>
      <c r="B1583">
        <v>64</v>
      </c>
      <c r="C1583" t="s">
        <v>16</v>
      </c>
      <c r="D1583">
        <v>186</v>
      </c>
      <c r="E1583">
        <v>96</v>
      </c>
      <c r="F1583" s="3">
        <v>19.744300903881001</v>
      </c>
      <c r="G1583" s="3" t="str">
        <f t="shared" si="24"/>
        <v>Normal Weight</v>
      </c>
      <c r="H1583" t="s">
        <v>711</v>
      </c>
      <c r="I1583" t="s">
        <v>18</v>
      </c>
      <c r="J1583" t="s">
        <v>20</v>
      </c>
      <c r="K1583" t="s">
        <v>18</v>
      </c>
      <c r="L1583" t="s">
        <v>38</v>
      </c>
      <c r="M1583" t="s">
        <v>19</v>
      </c>
      <c r="N1583" t="s">
        <v>21</v>
      </c>
      <c r="O1583" t="s">
        <v>20</v>
      </c>
      <c r="P1583" t="s">
        <v>19</v>
      </c>
      <c r="Q1583" t="s">
        <v>22</v>
      </c>
    </row>
    <row r="1584" spans="1:17" x14ac:dyDescent="0.35">
      <c r="A1584">
        <v>817</v>
      </c>
      <c r="B1584">
        <v>31</v>
      </c>
      <c r="C1584" t="s">
        <v>16</v>
      </c>
      <c r="D1584">
        <v>178</v>
      </c>
      <c r="E1584">
        <v>54</v>
      </c>
      <c r="F1584" s="3">
        <v>22.743013793300001</v>
      </c>
      <c r="G1584" s="3" t="str">
        <f t="shared" si="24"/>
        <v>Normal Weight</v>
      </c>
      <c r="H1584" t="s">
        <v>700</v>
      </c>
      <c r="I1584" t="s">
        <v>24</v>
      </c>
      <c r="J1584" t="s">
        <v>20</v>
      </c>
      <c r="K1584" t="s">
        <v>22</v>
      </c>
      <c r="L1584" t="s">
        <v>32</v>
      </c>
      <c r="M1584" t="s">
        <v>20</v>
      </c>
      <c r="N1584" t="s">
        <v>21</v>
      </c>
      <c r="O1584" t="s">
        <v>19</v>
      </c>
      <c r="P1584" t="s">
        <v>20</v>
      </c>
      <c r="Q1584" t="s">
        <v>18</v>
      </c>
    </row>
    <row r="1585" spans="1:17" x14ac:dyDescent="0.35">
      <c r="A1585">
        <v>1581</v>
      </c>
      <c r="B1585">
        <v>70</v>
      </c>
      <c r="C1585" t="s">
        <v>16</v>
      </c>
      <c r="D1585">
        <v>178</v>
      </c>
      <c r="E1585">
        <v>90</v>
      </c>
      <c r="F1585" s="3">
        <v>29.543704369997698</v>
      </c>
      <c r="G1585" s="3" t="str">
        <f t="shared" si="24"/>
        <v>Overweight</v>
      </c>
      <c r="H1585" t="s">
        <v>187</v>
      </c>
      <c r="I1585" t="s">
        <v>24</v>
      </c>
      <c r="J1585" t="s">
        <v>19</v>
      </c>
      <c r="K1585" t="s">
        <v>40</v>
      </c>
      <c r="L1585" t="s">
        <v>14</v>
      </c>
      <c r="M1585" t="s">
        <v>19</v>
      </c>
      <c r="N1585" t="s">
        <v>21</v>
      </c>
      <c r="O1585" t="s">
        <v>19</v>
      </c>
      <c r="P1585" t="s">
        <v>20</v>
      </c>
      <c r="Q1585" t="s">
        <v>22</v>
      </c>
    </row>
    <row r="1586" spans="1:17" x14ac:dyDescent="0.35">
      <c r="A1586">
        <v>1036</v>
      </c>
      <c r="B1586">
        <v>31</v>
      </c>
      <c r="C1586" t="s">
        <v>27</v>
      </c>
      <c r="D1586">
        <v>175</v>
      </c>
      <c r="E1586">
        <v>61</v>
      </c>
      <c r="F1586" s="3">
        <v>27.4432524249154</v>
      </c>
      <c r="G1586" s="3" t="str">
        <f t="shared" si="24"/>
        <v>Overweight</v>
      </c>
      <c r="H1586" t="s">
        <v>608</v>
      </c>
      <c r="I1586" t="s">
        <v>18</v>
      </c>
      <c r="J1586" t="s">
        <v>19</v>
      </c>
      <c r="K1586" t="s">
        <v>22</v>
      </c>
      <c r="L1586" t="s">
        <v>29</v>
      </c>
      <c r="M1586" t="s">
        <v>20</v>
      </c>
      <c r="N1586" t="s">
        <v>25</v>
      </c>
      <c r="O1586" t="s">
        <v>20</v>
      </c>
      <c r="P1586" t="s">
        <v>19</v>
      </c>
      <c r="Q1586" t="s">
        <v>18</v>
      </c>
    </row>
    <row r="1587" spans="1:17" x14ac:dyDescent="0.35">
      <c r="A1587">
        <v>1078</v>
      </c>
      <c r="B1587">
        <v>31</v>
      </c>
      <c r="C1587" t="s">
        <v>27</v>
      </c>
      <c r="D1587">
        <v>159</v>
      </c>
      <c r="E1587">
        <v>58</v>
      </c>
      <c r="F1587" s="3">
        <v>22.355892405618398</v>
      </c>
      <c r="G1587" s="3" t="str">
        <f t="shared" si="24"/>
        <v>Normal Weight</v>
      </c>
      <c r="H1587" t="s">
        <v>851</v>
      </c>
      <c r="I1587" t="s">
        <v>31</v>
      </c>
      <c r="J1587" t="s">
        <v>19</v>
      </c>
      <c r="K1587" t="s">
        <v>22</v>
      </c>
      <c r="L1587" t="s">
        <v>38</v>
      </c>
      <c r="M1587" t="s">
        <v>20</v>
      </c>
      <c r="N1587" t="s">
        <v>21</v>
      </c>
      <c r="O1587" t="s">
        <v>20</v>
      </c>
      <c r="P1587" t="s">
        <v>19</v>
      </c>
      <c r="Q1587" t="s">
        <v>40</v>
      </c>
    </row>
    <row r="1588" spans="1:17" x14ac:dyDescent="0.35">
      <c r="A1588">
        <v>1583</v>
      </c>
      <c r="B1588">
        <v>27</v>
      </c>
      <c r="C1588" t="s">
        <v>16</v>
      </c>
      <c r="D1588">
        <v>177</v>
      </c>
      <c r="E1588">
        <v>73</v>
      </c>
      <c r="F1588" s="3">
        <v>26.089042196350299</v>
      </c>
      <c r="G1588" s="3" t="str">
        <f t="shared" si="24"/>
        <v>Overweight</v>
      </c>
      <c r="H1588" t="s">
        <v>292</v>
      </c>
      <c r="I1588" t="s">
        <v>31</v>
      </c>
      <c r="J1588" t="s">
        <v>20</v>
      </c>
      <c r="K1588" t="s">
        <v>18</v>
      </c>
      <c r="L1588" t="s">
        <v>29</v>
      </c>
      <c r="M1588" t="s">
        <v>20</v>
      </c>
      <c r="N1588" t="s">
        <v>25</v>
      </c>
      <c r="O1588" t="s">
        <v>19</v>
      </c>
      <c r="P1588" t="s">
        <v>20</v>
      </c>
      <c r="Q1588" t="s">
        <v>18</v>
      </c>
    </row>
    <row r="1589" spans="1:17" x14ac:dyDescent="0.35">
      <c r="A1589">
        <v>1588</v>
      </c>
      <c r="B1589">
        <v>58</v>
      </c>
      <c r="C1589" t="s">
        <v>16</v>
      </c>
      <c r="D1589">
        <v>166</v>
      </c>
      <c r="E1589">
        <v>98</v>
      </c>
      <c r="F1589" s="3">
        <v>22.931882393090799</v>
      </c>
      <c r="G1589" s="3" t="str">
        <f t="shared" si="24"/>
        <v>Normal Weight</v>
      </c>
      <c r="H1589" t="s">
        <v>1112</v>
      </c>
      <c r="I1589" t="s">
        <v>31</v>
      </c>
      <c r="J1589" t="s">
        <v>20</v>
      </c>
      <c r="K1589" t="s">
        <v>18</v>
      </c>
      <c r="L1589" t="s">
        <v>32</v>
      </c>
      <c r="M1589" t="s">
        <v>20</v>
      </c>
      <c r="N1589" t="s">
        <v>25</v>
      </c>
      <c r="O1589" t="s">
        <v>19</v>
      </c>
      <c r="P1589" t="s">
        <v>20</v>
      </c>
      <c r="Q1589" t="s">
        <v>22</v>
      </c>
    </row>
    <row r="1590" spans="1:17" x14ac:dyDescent="0.35">
      <c r="A1590">
        <v>1206</v>
      </c>
      <c r="B1590">
        <v>31</v>
      </c>
      <c r="C1590" t="s">
        <v>27</v>
      </c>
      <c r="D1590">
        <v>154</v>
      </c>
      <c r="E1590">
        <v>99</v>
      </c>
      <c r="F1590" s="3">
        <v>23.469397185456401</v>
      </c>
      <c r="G1590" s="3" t="str">
        <f t="shared" si="24"/>
        <v>Normal Weight</v>
      </c>
      <c r="H1590" t="s">
        <v>925</v>
      </c>
      <c r="I1590" t="s">
        <v>24</v>
      </c>
      <c r="J1590" t="s">
        <v>19</v>
      </c>
      <c r="K1590" t="s">
        <v>22</v>
      </c>
      <c r="L1590" t="s">
        <v>38</v>
      </c>
      <c r="M1590" t="s">
        <v>19</v>
      </c>
      <c r="N1590" t="s">
        <v>25</v>
      </c>
      <c r="O1590" t="s">
        <v>20</v>
      </c>
      <c r="P1590" t="s">
        <v>19</v>
      </c>
      <c r="Q1590" t="s">
        <v>40</v>
      </c>
    </row>
    <row r="1591" spans="1:17" x14ac:dyDescent="0.35">
      <c r="A1591">
        <v>1591</v>
      </c>
      <c r="B1591">
        <v>42</v>
      </c>
      <c r="C1591" t="s">
        <v>16</v>
      </c>
      <c r="D1591">
        <v>180</v>
      </c>
      <c r="E1591">
        <v>83</v>
      </c>
      <c r="F1591" s="3">
        <v>27.725754831638898</v>
      </c>
      <c r="G1591" s="3" t="str">
        <f t="shared" si="24"/>
        <v>Overweight</v>
      </c>
      <c r="H1591" t="s">
        <v>661</v>
      </c>
      <c r="I1591" t="s">
        <v>24</v>
      </c>
      <c r="J1591" t="s">
        <v>20</v>
      </c>
      <c r="K1591" t="s">
        <v>18</v>
      </c>
      <c r="L1591" t="s">
        <v>29</v>
      </c>
      <c r="M1591" t="s">
        <v>19</v>
      </c>
      <c r="N1591" t="s">
        <v>21</v>
      </c>
      <c r="O1591" t="s">
        <v>19</v>
      </c>
      <c r="P1591" t="s">
        <v>19</v>
      </c>
      <c r="Q1591" t="s">
        <v>22</v>
      </c>
    </row>
    <row r="1592" spans="1:17" x14ac:dyDescent="0.35">
      <c r="A1592">
        <v>1592</v>
      </c>
      <c r="B1592">
        <v>43</v>
      </c>
      <c r="C1592" t="s">
        <v>27</v>
      </c>
      <c r="D1592">
        <v>152</v>
      </c>
      <c r="E1592">
        <v>64</v>
      </c>
      <c r="F1592" s="3">
        <v>26.795926790470201</v>
      </c>
      <c r="G1592" s="3" t="str">
        <f t="shared" si="24"/>
        <v>Overweight</v>
      </c>
      <c r="H1592" t="s">
        <v>435</v>
      </c>
      <c r="I1592" t="s">
        <v>31</v>
      </c>
      <c r="J1592" t="s">
        <v>20</v>
      </c>
      <c r="K1592" t="s">
        <v>18</v>
      </c>
      <c r="L1592" t="s">
        <v>32</v>
      </c>
      <c r="M1592" t="s">
        <v>20</v>
      </c>
      <c r="N1592" t="s">
        <v>25</v>
      </c>
      <c r="O1592" t="s">
        <v>20</v>
      </c>
      <c r="P1592" t="s">
        <v>19</v>
      </c>
      <c r="Q1592" t="s">
        <v>22</v>
      </c>
    </row>
    <row r="1593" spans="1:17" x14ac:dyDescent="0.35">
      <c r="A1593">
        <v>1386</v>
      </c>
      <c r="B1593">
        <v>31</v>
      </c>
      <c r="C1593" t="s">
        <v>16</v>
      </c>
      <c r="D1593">
        <v>171</v>
      </c>
      <c r="E1593">
        <v>64</v>
      </c>
      <c r="F1593" s="3">
        <v>29.146421135129899</v>
      </c>
      <c r="G1593" s="3" t="str">
        <f t="shared" si="24"/>
        <v>Overweight</v>
      </c>
      <c r="H1593" t="s">
        <v>572</v>
      </c>
      <c r="I1593" t="s">
        <v>24</v>
      </c>
      <c r="J1593" t="s">
        <v>20</v>
      </c>
      <c r="K1593" t="s">
        <v>22</v>
      </c>
      <c r="L1593" t="s">
        <v>29</v>
      </c>
      <c r="M1593" t="s">
        <v>20</v>
      </c>
      <c r="N1593" t="s">
        <v>21</v>
      </c>
      <c r="O1593" t="s">
        <v>20</v>
      </c>
      <c r="P1593" t="s">
        <v>19</v>
      </c>
      <c r="Q1593" t="s">
        <v>18</v>
      </c>
    </row>
    <row r="1594" spans="1:17" x14ac:dyDescent="0.35">
      <c r="A1594">
        <v>1404</v>
      </c>
      <c r="B1594">
        <v>31</v>
      </c>
      <c r="C1594" t="s">
        <v>27</v>
      </c>
      <c r="D1594">
        <v>178</v>
      </c>
      <c r="E1594">
        <v>52</v>
      </c>
      <c r="F1594" s="3">
        <v>29.614562227945399</v>
      </c>
      <c r="G1594" s="3" t="str">
        <f t="shared" si="24"/>
        <v>Overweight</v>
      </c>
      <c r="H1594" t="s">
        <v>674</v>
      </c>
      <c r="I1594" t="s">
        <v>24</v>
      </c>
      <c r="J1594" t="s">
        <v>20</v>
      </c>
      <c r="K1594" t="s">
        <v>22</v>
      </c>
      <c r="L1594" t="s">
        <v>32</v>
      </c>
      <c r="M1594" t="s">
        <v>20</v>
      </c>
      <c r="N1594" t="s">
        <v>25</v>
      </c>
      <c r="O1594" t="s">
        <v>20</v>
      </c>
      <c r="P1594" t="s">
        <v>19</v>
      </c>
      <c r="Q1594" t="s">
        <v>18</v>
      </c>
    </row>
    <row r="1595" spans="1:17" x14ac:dyDescent="0.35">
      <c r="A1595">
        <v>1413</v>
      </c>
      <c r="B1595">
        <v>31</v>
      </c>
      <c r="C1595" t="s">
        <v>16</v>
      </c>
      <c r="D1595">
        <v>184</v>
      </c>
      <c r="E1595">
        <v>62</v>
      </c>
      <c r="F1595" s="3">
        <v>26.811370670734199</v>
      </c>
      <c r="G1595" s="3" t="str">
        <f t="shared" si="24"/>
        <v>Overweight</v>
      </c>
      <c r="H1595" t="s">
        <v>402</v>
      </c>
      <c r="I1595" t="s">
        <v>31</v>
      </c>
      <c r="J1595" t="s">
        <v>19</v>
      </c>
      <c r="K1595" t="s">
        <v>22</v>
      </c>
      <c r="L1595" t="s">
        <v>14</v>
      </c>
      <c r="M1595" t="s">
        <v>20</v>
      </c>
      <c r="N1595" t="s">
        <v>25</v>
      </c>
      <c r="O1595" t="s">
        <v>19</v>
      </c>
      <c r="P1595" t="s">
        <v>19</v>
      </c>
      <c r="Q1595" t="s">
        <v>18</v>
      </c>
    </row>
    <row r="1596" spans="1:17" x14ac:dyDescent="0.35">
      <c r="A1596">
        <v>1595</v>
      </c>
      <c r="B1596">
        <v>19</v>
      </c>
      <c r="C1596" t="s">
        <v>16</v>
      </c>
      <c r="D1596">
        <v>185</v>
      </c>
      <c r="E1596">
        <v>78</v>
      </c>
      <c r="F1596" s="3">
        <v>24.012726759428201</v>
      </c>
      <c r="G1596" s="3" t="str">
        <f t="shared" si="24"/>
        <v>Normal Weight</v>
      </c>
      <c r="H1596" t="s">
        <v>696</v>
      </c>
      <c r="I1596" t="s">
        <v>24</v>
      </c>
      <c r="J1596" t="s">
        <v>19</v>
      </c>
      <c r="K1596" t="s">
        <v>18</v>
      </c>
      <c r="L1596" t="s">
        <v>14</v>
      </c>
      <c r="M1596" t="s">
        <v>20</v>
      </c>
      <c r="N1596" t="s">
        <v>21</v>
      </c>
      <c r="O1596" t="s">
        <v>19</v>
      </c>
      <c r="P1596" t="s">
        <v>20</v>
      </c>
      <c r="Q1596" t="s">
        <v>18</v>
      </c>
    </row>
    <row r="1597" spans="1:17" x14ac:dyDescent="0.35">
      <c r="A1597">
        <v>1441</v>
      </c>
      <c r="B1597">
        <v>31</v>
      </c>
      <c r="C1597" t="s">
        <v>16</v>
      </c>
      <c r="D1597">
        <v>161</v>
      </c>
      <c r="E1597">
        <v>74</v>
      </c>
      <c r="F1597" s="3">
        <v>26.720123436370599</v>
      </c>
      <c r="G1597" s="3" t="str">
        <f t="shared" si="24"/>
        <v>Overweight</v>
      </c>
      <c r="H1597" t="s">
        <v>430</v>
      </c>
      <c r="I1597" t="s">
        <v>18</v>
      </c>
      <c r="J1597" t="s">
        <v>19</v>
      </c>
      <c r="K1597" t="s">
        <v>22</v>
      </c>
      <c r="L1597" t="s">
        <v>32</v>
      </c>
      <c r="M1597" t="s">
        <v>20</v>
      </c>
      <c r="N1597" t="s">
        <v>25</v>
      </c>
      <c r="O1597" t="s">
        <v>19</v>
      </c>
      <c r="P1597" t="s">
        <v>20</v>
      </c>
      <c r="Q1597" t="s">
        <v>18</v>
      </c>
    </row>
    <row r="1598" spans="1:17" x14ac:dyDescent="0.35">
      <c r="A1598">
        <v>1556</v>
      </c>
      <c r="B1598">
        <v>31</v>
      </c>
      <c r="C1598" t="s">
        <v>27</v>
      </c>
      <c r="D1598">
        <v>163</v>
      </c>
      <c r="E1598">
        <v>96</v>
      </c>
      <c r="F1598" s="3">
        <v>31.417002196779801</v>
      </c>
      <c r="G1598" s="3" t="str">
        <f t="shared" si="24"/>
        <v>Obese</v>
      </c>
      <c r="H1598" t="s">
        <v>168</v>
      </c>
      <c r="I1598" t="s">
        <v>31</v>
      </c>
      <c r="J1598" t="s">
        <v>20</v>
      </c>
      <c r="K1598" t="s">
        <v>22</v>
      </c>
      <c r="L1598" t="s">
        <v>29</v>
      </c>
      <c r="M1598" t="s">
        <v>19</v>
      </c>
      <c r="N1598" t="s">
        <v>25</v>
      </c>
      <c r="O1598" t="s">
        <v>19</v>
      </c>
      <c r="P1598" t="s">
        <v>20</v>
      </c>
      <c r="Q1598" t="s">
        <v>18</v>
      </c>
    </row>
    <row r="1599" spans="1:17" x14ac:dyDescent="0.35">
      <c r="A1599">
        <v>1605</v>
      </c>
      <c r="B1599">
        <v>76</v>
      </c>
      <c r="C1599" t="s">
        <v>27</v>
      </c>
      <c r="D1599">
        <v>151</v>
      </c>
      <c r="E1599">
        <v>76</v>
      </c>
      <c r="F1599" s="3">
        <v>22.4625013343632</v>
      </c>
      <c r="G1599" s="3" t="str">
        <f t="shared" si="24"/>
        <v>Normal Weight</v>
      </c>
      <c r="H1599" t="s">
        <v>1117</v>
      </c>
      <c r="I1599" t="s">
        <v>18</v>
      </c>
      <c r="J1599" t="s">
        <v>20</v>
      </c>
      <c r="K1599" t="s">
        <v>40</v>
      </c>
      <c r="L1599" t="s">
        <v>14</v>
      </c>
      <c r="M1599" t="s">
        <v>19</v>
      </c>
      <c r="N1599" t="s">
        <v>25</v>
      </c>
      <c r="O1599" t="s">
        <v>19</v>
      </c>
      <c r="P1599" t="s">
        <v>20</v>
      </c>
      <c r="Q1599" t="s">
        <v>40</v>
      </c>
    </row>
    <row r="1600" spans="1:17" x14ac:dyDescent="0.35">
      <c r="A1600">
        <v>1718</v>
      </c>
      <c r="B1600">
        <v>31</v>
      </c>
      <c r="C1600" t="s">
        <v>16</v>
      </c>
      <c r="D1600">
        <v>169</v>
      </c>
      <c r="E1600">
        <v>55</v>
      </c>
      <c r="F1600" s="3">
        <v>19.5436812468282</v>
      </c>
      <c r="G1600" s="3" t="str">
        <f t="shared" si="24"/>
        <v>Normal Weight</v>
      </c>
      <c r="H1600" t="s">
        <v>177</v>
      </c>
      <c r="I1600" t="s">
        <v>31</v>
      </c>
      <c r="J1600" t="s">
        <v>19</v>
      </c>
      <c r="K1600" t="s">
        <v>22</v>
      </c>
      <c r="L1600" t="s">
        <v>29</v>
      </c>
      <c r="M1600" t="s">
        <v>19</v>
      </c>
      <c r="N1600" t="s">
        <v>21</v>
      </c>
      <c r="O1600" t="s">
        <v>19</v>
      </c>
      <c r="P1600" t="s">
        <v>19</v>
      </c>
      <c r="Q1600" t="s">
        <v>18</v>
      </c>
    </row>
    <row r="1601" spans="1:17" x14ac:dyDescent="0.35">
      <c r="A1601">
        <v>1729</v>
      </c>
      <c r="B1601">
        <v>31</v>
      </c>
      <c r="C1601" t="s">
        <v>27</v>
      </c>
      <c r="D1601">
        <v>153</v>
      </c>
      <c r="E1601">
        <v>56</v>
      </c>
      <c r="F1601" s="3">
        <v>29.953172290607899</v>
      </c>
      <c r="G1601" s="3" t="str">
        <f t="shared" si="24"/>
        <v>Obese</v>
      </c>
      <c r="H1601" t="s">
        <v>1171</v>
      </c>
      <c r="I1601" t="s">
        <v>24</v>
      </c>
      <c r="J1601" t="s">
        <v>19</v>
      </c>
      <c r="K1601" t="s">
        <v>22</v>
      </c>
      <c r="L1601" t="s">
        <v>38</v>
      </c>
      <c r="M1601" t="s">
        <v>19</v>
      </c>
      <c r="N1601" t="s">
        <v>21</v>
      </c>
      <c r="O1601" t="s">
        <v>19</v>
      </c>
      <c r="P1601" t="s">
        <v>19</v>
      </c>
      <c r="Q1601" t="s">
        <v>22</v>
      </c>
    </row>
    <row r="1602" spans="1:17" x14ac:dyDescent="0.35">
      <c r="A1602">
        <v>1787</v>
      </c>
      <c r="B1602">
        <v>31</v>
      </c>
      <c r="C1602" t="s">
        <v>16</v>
      </c>
      <c r="D1602">
        <v>178</v>
      </c>
      <c r="E1602">
        <v>83</v>
      </c>
      <c r="F1602" s="3">
        <v>27.9080890606967</v>
      </c>
      <c r="G1602" s="3" t="str">
        <f t="shared" si="24"/>
        <v>Overweight</v>
      </c>
      <c r="H1602" t="s">
        <v>1195</v>
      </c>
      <c r="I1602" t="s">
        <v>24</v>
      </c>
      <c r="J1602" t="s">
        <v>19</v>
      </c>
      <c r="K1602" t="s">
        <v>22</v>
      </c>
      <c r="L1602" t="s">
        <v>29</v>
      </c>
      <c r="M1602" t="s">
        <v>19</v>
      </c>
      <c r="N1602" t="s">
        <v>21</v>
      </c>
      <c r="O1602" t="s">
        <v>20</v>
      </c>
      <c r="P1602" t="s">
        <v>19</v>
      </c>
      <c r="Q1602" t="s">
        <v>18</v>
      </c>
    </row>
    <row r="1603" spans="1:17" x14ac:dyDescent="0.35">
      <c r="A1603">
        <v>1606</v>
      </c>
      <c r="B1603">
        <v>68</v>
      </c>
      <c r="C1603" t="s">
        <v>16</v>
      </c>
      <c r="D1603">
        <v>179</v>
      </c>
      <c r="E1603">
        <v>51</v>
      </c>
      <c r="F1603" s="3">
        <v>23.838156126661101</v>
      </c>
      <c r="G1603" s="3" t="str">
        <f t="shared" ref="G1603:G1666" si="25">_xlfn.IFS(F1603&lt;18.5, "Underweight", F1603&lt;=24.9, "Normal Weight", F1603&lt;=29.9, "Overweight", TRUE, "Obese")</f>
        <v>Normal Weight</v>
      </c>
      <c r="H1603" t="s">
        <v>172</v>
      </c>
      <c r="I1603" t="s">
        <v>31</v>
      </c>
      <c r="J1603" t="s">
        <v>20</v>
      </c>
      <c r="K1603" t="s">
        <v>18</v>
      </c>
      <c r="L1603" t="s">
        <v>14</v>
      </c>
      <c r="M1603" t="s">
        <v>19</v>
      </c>
      <c r="N1603" t="s">
        <v>25</v>
      </c>
      <c r="O1603" t="s">
        <v>20</v>
      </c>
      <c r="P1603" t="s">
        <v>19</v>
      </c>
      <c r="Q1603" t="s">
        <v>22</v>
      </c>
    </row>
    <row r="1604" spans="1:17" x14ac:dyDescent="0.35">
      <c r="A1604">
        <v>1607</v>
      </c>
      <c r="B1604">
        <v>71</v>
      </c>
      <c r="C1604" t="s">
        <v>16</v>
      </c>
      <c r="D1604">
        <v>179</v>
      </c>
      <c r="E1604">
        <v>66</v>
      </c>
      <c r="F1604" s="3">
        <v>21.5329126764499</v>
      </c>
      <c r="G1604" s="3" t="str">
        <f t="shared" si="25"/>
        <v>Normal Weight</v>
      </c>
      <c r="H1604" t="s">
        <v>149</v>
      </c>
      <c r="I1604" t="s">
        <v>24</v>
      </c>
      <c r="J1604" t="s">
        <v>20</v>
      </c>
      <c r="K1604" t="s">
        <v>40</v>
      </c>
      <c r="L1604" t="s">
        <v>38</v>
      </c>
      <c r="M1604" t="s">
        <v>20</v>
      </c>
      <c r="N1604" t="s">
        <v>25</v>
      </c>
      <c r="O1604" t="s">
        <v>19</v>
      </c>
      <c r="P1604" t="s">
        <v>20</v>
      </c>
      <c r="Q1604" t="s">
        <v>18</v>
      </c>
    </row>
    <row r="1605" spans="1:17" x14ac:dyDescent="0.35">
      <c r="A1605">
        <v>192</v>
      </c>
      <c r="B1605">
        <v>30</v>
      </c>
      <c r="C1605" t="s">
        <v>16</v>
      </c>
      <c r="D1605">
        <v>184</v>
      </c>
      <c r="E1605">
        <v>54</v>
      </c>
      <c r="F1605" s="3">
        <v>33.337607151771799</v>
      </c>
      <c r="G1605" s="3" t="str">
        <f t="shared" si="25"/>
        <v>Obese</v>
      </c>
      <c r="H1605" t="s">
        <v>210</v>
      </c>
      <c r="I1605" t="s">
        <v>18</v>
      </c>
      <c r="J1605" t="s">
        <v>20</v>
      </c>
      <c r="K1605" t="s">
        <v>22</v>
      </c>
      <c r="L1605" t="s">
        <v>38</v>
      </c>
      <c r="M1605" t="s">
        <v>19</v>
      </c>
      <c r="N1605" t="s">
        <v>25</v>
      </c>
      <c r="O1605" t="s">
        <v>20</v>
      </c>
      <c r="P1605" t="s">
        <v>19</v>
      </c>
      <c r="Q1605" t="s">
        <v>22</v>
      </c>
    </row>
    <row r="1606" spans="1:17" x14ac:dyDescent="0.35">
      <c r="A1606">
        <v>1611</v>
      </c>
      <c r="B1606">
        <v>69</v>
      </c>
      <c r="C1606" t="s">
        <v>16</v>
      </c>
      <c r="D1606">
        <v>164</v>
      </c>
      <c r="E1606">
        <v>79</v>
      </c>
      <c r="F1606" s="3">
        <v>30.000714729915298</v>
      </c>
      <c r="G1606" s="3" t="str">
        <f t="shared" si="25"/>
        <v>Obese</v>
      </c>
      <c r="H1606" t="s">
        <v>1120</v>
      </c>
      <c r="I1606" t="s">
        <v>31</v>
      </c>
      <c r="J1606" t="s">
        <v>19</v>
      </c>
      <c r="K1606" t="s">
        <v>18</v>
      </c>
      <c r="L1606" t="s">
        <v>32</v>
      </c>
      <c r="M1606" t="s">
        <v>19</v>
      </c>
      <c r="N1606" t="s">
        <v>21</v>
      </c>
      <c r="O1606" t="s">
        <v>20</v>
      </c>
      <c r="P1606" t="s">
        <v>19</v>
      </c>
      <c r="Q1606" t="s">
        <v>18</v>
      </c>
    </row>
    <row r="1607" spans="1:17" x14ac:dyDescent="0.35">
      <c r="A1607">
        <v>1612</v>
      </c>
      <c r="B1607">
        <v>23</v>
      </c>
      <c r="C1607" t="s">
        <v>16</v>
      </c>
      <c r="D1607">
        <v>165</v>
      </c>
      <c r="E1607">
        <v>78</v>
      </c>
      <c r="F1607" s="3">
        <v>27.7419137196542</v>
      </c>
      <c r="G1607" s="3" t="str">
        <f t="shared" si="25"/>
        <v>Overweight</v>
      </c>
      <c r="H1607" t="s">
        <v>682</v>
      </c>
      <c r="I1607" t="s">
        <v>18</v>
      </c>
      <c r="J1607" t="s">
        <v>19</v>
      </c>
      <c r="K1607" t="s">
        <v>18</v>
      </c>
      <c r="L1607" t="s">
        <v>38</v>
      </c>
      <c r="M1607" t="s">
        <v>19</v>
      </c>
      <c r="N1607" t="s">
        <v>25</v>
      </c>
      <c r="O1607" t="s">
        <v>20</v>
      </c>
      <c r="P1607" t="s">
        <v>19</v>
      </c>
      <c r="Q1607" t="s">
        <v>18</v>
      </c>
    </row>
    <row r="1608" spans="1:17" x14ac:dyDescent="0.35">
      <c r="A1608">
        <v>524</v>
      </c>
      <c r="B1608">
        <v>30</v>
      </c>
      <c r="C1608" t="s">
        <v>16</v>
      </c>
      <c r="D1608">
        <v>177</v>
      </c>
      <c r="E1608">
        <v>65</v>
      </c>
      <c r="F1608" s="3">
        <v>23.517561493526099</v>
      </c>
      <c r="G1608" s="3" t="str">
        <f t="shared" si="25"/>
        <v>Normal Weight</v>
      </c>
      <c r="H1608" t="s">
        <v>484</v>
      </c>
      <c r="I1608" t="s">
        <v>31</v>
      </c>
      <c r="J1608" t="s">
        <v>19</v>
      </c>
      <c r="K1608" t="s">
        <v>22</v>
      </c>
      <c r="L1608" t="s">
        <v>32</v>
      </c>
      <c r="M1608" t="s">
        <v>19</v>
      </c>
      <c r="N1608" t="s">
        <v>25</v>
      </c>
      <c r="O1608" t="s">
        <v>20</v>
      </c>
      <c r="P1608" t="s">
        <v>20</v>
      </c>
      <c r="Q1608" t="s">
        <v>40</v>
      </c>
    </row>
    <row r="1609" spans="1:17" x14ac:dyDescent="0.35">
      <c r="A1609">
        <v>1614</v>
      </c>
      <c r="B1609">
        <v>41</v>
      </c>
      <c r="C1609" t="s">
        <v>16</v>
      </c>
      <c r="D1609">
        <v>175</v>
      </c>
      <c r="E1609">
        <v>70</v>
      </c>
      <c r="F1609" s="3">
        <v>25.434118429824402</v>
      </c>
      <c r="G1609" s="3" t="str">
        <f t="shared" si="25"/>
        <v>Overweight</v>
      </c>
      <c r="H1609" t="s">
        <v>850</v>
      </c>
      <c r="I1609" t="s">
        <v>24</v>
      </c>
      <c r="J1609" t="s">
        <v>20</v>
      </c>
      <c r="K1609" t="s">
        <v>18</v>
      </c>
      <c r="L1609" t="s">
        <v>14</v>
      </c>
      <c r="M1609" t="s">
        <v>19</v>
      </c>
      <c r="N1609" t="s">
        <v>21</v>
      </c>
      <c r="O1609" t="s">
        <v>20</v>
      </c>
      <c r="P1609" t="s">
        <v>19</v>
      </c>
      <c r="Q1609" t="s">
        <v>18</v>
      </c>
    </row>
    <row r="1610" spans="1:17" x14ac:dyDescent="0.35">
      <c r="A1610">
        <v>1615</v>
      </c>
      <c r="B1610">
        <v>50</v>
      </c>
      <c r="C1610" t="s">
        <v>27</v>
      </c>
      <c r="D1610">
        <v>151</v>
      </c>
      <c r="E1610">
        <v>71</v>
      </c>
      <c r="F1610" s="3">
        <v>27.774829563283198</v>
      </c>
      <c r="G1610" s="3" t="str">
        <f t="shared" si="25"/>
        <v>Overweight</v>
      </c>
      <c r="H1610" t="s">
        <v>56</v>
      </c>
      <c r="I1610" t="s">
        <v>18</v>
      </c>
      <c r="J1610" t="s">
        <v>20</v>
      </c>
      <c r="K1610" t="s">
        <v>18</v>
      </c>
      <c r="L1610" t="s">
        <v>32</v>
      </c>
      <c r="M1610" t="s">
        <v>20</v>
      </c>
      <c r="N1610" t="s">
        <v>25</v>
      </c>
      <c r="O1610" t="s">
        <v>20</v>
      </c>
      <c r="P1610" t="s">
        <v>19</v>
      </c>
      <c r="Q1610" t="s">
        <v>18</v>
      </c>
    </row>
    <row r="1611" spans="1:17" x14ac:dyDescent="0.35">
      <c r="A1611">
        <v>765</v>
      </c>
      <c r="B1611">
        <v>30</v>
      </c>
      <c r="C1611" t="s">
        <v>16</v>
      </c>
      <c r="D1611">
        <v>167</v>
      </c>
      <c r="E1611">
        <v>68</v>
      </c>
      <c r="F1611" s="3">
        <v>20.2268972657169</v>
      </c>
      <c r="G1611" s="3" t="str">
        <f t="shared" si="25"/>
        <v>Normal Weight</v>
      </c>
      <c r="H1611" t="s">
        <v>667</v>
      </c>
      <c r="I1611" t="s">
        <v>24</v>
      </c>
      <c r="J1611" t="s">
        <v>20</v>
      </c>
      <c r="K1611" t="s">
        <v>22</v>
      </c>
      <c r="L1611" t="s">
        <v>38</v>
      </c>
      <c r="M1611" t="s">
        <v>20</v>
      </c>
      <c r="N1611" t="s">
        <v>21</v>
      </c>
      <c r="O1611" t="s">
        <v>20</v>
      </c>
      <c r="P1611" t="s">
        <v>20</v>
      </c>
      <c r="Q1611" t="s">
        <v>22</v>
      </c>
    </row>
    <row r="1612" spans="1:17" x14ac:dyDescent="0.35">
      <c r="A1612">
        <v>778</v>
      </c>
      <c r="B1612">
        <v>30</v>
      </c>
      <c r="C1612" t="s">
        <v>27</v>
      </c>
      <c r="D1612">
        <v>185</v>
      </c>
      <c r="E1612">
        <v>80</v>
      </c>
      <c r="F1612" s="3">
        <v>27.3650486155226</v>
      </c>
      <c r="G1612" s="3" t="str">
        <f t="shared" si="25"/>
        <v>Overweight</v>
      </c>
      <c r="H1612" t="s">
        <v>677</v>
      </c>
      <c r="I1612" t="s">
        <v>18</v>
      </c>
      <c r="J1612" t="s">
        <v>19</v>
      </c>
      <c r="K1612" t="s">
        <v>22</v>
      </c>
      <c r="L1612" t="s">
        <v>14</v>
      </c>
      <c r="M1612" t="s">
        <v>20</v>
      </c>
      <c r="N1612" t="s">
        <v>25</v>
      </c>
      <c r="O1612" t="s">
        <v>20</v>
      </c>
      <c r="P1612" t="s">
        <v>20</v>
      </c>
      <c r="Q1612" t="s">
        <v>40</v>
      </c>
    </row>
    <row r="1613" spans="1:17" x14ac:dyDescent="0.35">
      <c r="A1613">
        <v>1618</v>
      </c>
      <c r="B1613">
        <v>60</v>
      </c>
      <c r="C1613" t="s">
        <v>16</v>
      </c>
      <c r="D1613">
        <v>172</v>
      </c>
      <c r="E1613">
        <v>65</v>
      </c>
      <c r="F1613" s="3">
        <v>33.040758118089599</v>
      </c>
      <c r="G1613" s="3" t="str">
        <f t="shared" si="25"/>
        <v>Obese</v>
      </c>
      <c r="H1613" t="s">
        <v>943</v>
      </c>
      <c r="I1613" t="s">
        <v>18</v>
      </c>
      <c r="J1613" t="s">
        <v>20</v>
      </c>
      <c r="K1613" t="s">
        <v>18</v>
      </c>
      <c r="L1613" t="s">
        <v>32</v>
      </c>
      <c r="M1613" t="s">
        <v>20</v>
      </c>
      <c r="N1613" t="s">
        <v>25</v>
      </c>
      <c r="O1613" t="s">
        <v>19</v>
      </c>
      <c r="P1613" t="s">
        <v>20</v>
      </c>
      <c r="Q1613" t="s">
        <v>22</v>
      </c>
    </row>
    <row r="1614" spans="1:17" x14ac:dyDescent="0.35">
      <c r="A1614">
        <v>879</v>
      </c>
      <c r="B1614">
        <v>30</v>
      </c>
      <c r="C1614" t="s">
        <v>27</v>
      </c>
      <c r="D1614">
        <v>177</v>
      </c>
      <c r="E1614">
        <v>96</v>
      </c>
      <c r="F1614" s="3">
        <v>31.640446923225198</v>
      </c>
      <c r="G1614" s="3" t="str">
        <f t="shared" si="25"/>
        <v>Obese</v>
      </c>
      <c r="H1614" t="s">
        <v>734</v>
      </c>
      <c r="I1614" t="s">
        <v>31</v>
      </c>
      <c r="J1614" t="s">
        <v>20</v>
      </c>
      <c r="K1614" t="s">
        <v>22</v>
      </c>
      <c r="L1614" t="s">
        <v>29</v>
      </c>
      <c r="M1614" t="s">
        <v>20</v>
      </c>
      <c r="N1614" t="s">
        <v>25</v>
      </c>
      <c r="O1614" t="s">
        <v>20</v>
      </c>
      <c r="P1614" t="s">
        <v>20</v>
      </c>
      <c r="Q1614" t="s">
        <v>40</v>
      </c>
    </row>
    <row r="1615" spans="1:17" x14ac:dyDescent="0.35">
      <c r="A1615">
        <v>892</v>
      </c>
      <c r="B1615">
        <v>30</v>
      </c>
      <c r="C1615" t="s">
        <v>16</v>
      </c>
      <c r="D1615">
        <v>153</v>
      </c>
      <c r="E1615">
        <v>95</v>
      </c>
      <c r="F1615" s="3">
        <v>30.644584107029999</v>
      </c>
      <c r="G1615" s="3" t="str">
        <f t="shared" si="25"/>
        <v>Obese</v>
      </c>
      <c r="H1615" t="s">
        <v>372</v>
      </c>
      <c r="I1615" t="s">
        <v>24</v>
      </c>
      <c r="J1615" t="s">
        <v>20</v>
      </c>
      <c r="K1615" t="s">
        <v>22</v>
      </c>
      <c r="L1615" t="s">
        <v>29</v>
      </c>
      <c r="M1615" t="s">
        <v>20</v>
      </c>
      <c r="N1615" t="s">
        <v>25</v>
      </c>
      <c r="O1615" t="s">
        <v>20</v>
      </c>
      <c r="P1615" t="s">
        <v>20</v>
      </c>
      <c r="Q1615" t="s">
        <v>22</v>
      </c>
    </row>
    <row r="1616" spans="1:17" x14ac:dyDescent="0.35">
      <c r="A1616">
        <v>970</v>
      </c>
      <c r="B1616">
        <v>30</v>
      </c>
      <c r="C1616" t="s">
        <v>16</v>
      </c>
      <c r="D1616">
        <v>171</v>
      </c>
      <c r="E1616">
        <v>57</v>
      </c>
      <c r="F1616" s="3">
        <v>30.339762813700801</v>
      </c>
      <c r="G1616" s="3" t="str">
        <f t="shared" si="25"/>
        <v>Obese</v>
      </c>
      <c r="H1616" t="s">
        <v>783</v>
      </c>
      <c r="I1616" t="s">
        <v>24</v>
      </c>
      <c r="J1616" t="s">
        <v>20</v>
      </c>
      <c r="K1616" t="s">
        <v>22</v>
      </c>
      <c r="L1616" t="s">
        <v>32</v>
      </c>
      <c r="M1616" t="s">
        <v>20</v>
      </c>
      <c r="N1616" t="s">
        <v>25</v>
      </c>
      <c r="O1616" t="s">
        <v>19</v>
      </c>
      <c r="P1616" t="s">
        <v>19</v>
      </c>
      <c r="Q1616" t="s">
        <v>22</v>
      </c>
    </row>
    <row r="1617" spans="1:17" x14ac:dyDescent="0.35">
      <c r="A1617">
        <v>974</v>
      </c>
      <c r="B1617">
        <v>30</v>
      </c>
      <c r="C1617" t="s">
        <v>16</v>
      </c>
      <c r="D1617">
        <v>185</v>
      </c>
      <c r="E1617">
        <v>99</v>
      </c>
      <c r="F1617" s="3">
        <v>33.225740050208103</v>
      </c>
      <c r="G1617" s="3" t="str">
        <f t="shared" si="25"/>
        <v>Obese</v>
      </c>
      <c r="H1617" t="s">
        <v>785</v>
      </c>
      <c r="I1617" t="s">
        <v>31</v>
      </c>
      <c r="J1617" t="s">
        <v>20</v>
      </c>
      <c r="K1617" t="s">
        <v>22</v>
      </c>
      <c r="L1617" t="s">
        <v>29</v>
      </c>
      <c r="M1617" t="s">
        <v>19</v>
      </c>
      <c r="N1617" t="s">
        <v>25</v>
      </c>
      <c r="O1617" t="s">
        <v>19</v>
      </c>
      <c r="P1617" t="s">
        <v>20</v>
      </c>
      <c r="Q1617" t="s">
        <v>22</v>
      </c>
    </row>
    <row r="1618" spans="1:17" x14ac:dyDescent="0.35">
      <c r="A1618">
        <v>1009</v>
      </c>
      <c r="B1618">
        <v>30</v>
      </c>
      <c r="C1618" t="s">
        <v>16</v>
      </c>
      <c r="D1618">
        <v>163</v>
      </c>
      <c r="E1618">
        <v>50</v>
      </c>
      <c r="F1618" s="3">
        <v>26.483974865310199</v>
      </c>
      <c r="G1618" s="3" t="str">
        <f t="shared" si="25"/>
        <v>Overweight</v>
      </c>
      <c r="H1618" t="s">
        <v>766</v>
      </c>
      <c r="I1618" t="s">
        <v>31</v>
      </c>
      <c r="J1618" t="s">
        <v>19</v>
      </c>
      <c r="K1618" t="s">
        <v>22</v>
      </c>
      <c r="L1618" t="s">
        <v>14</v>
      </c>
      <c r="M1618" t="s">
        <v>20</v>
      </c>
      <c r="N1618" t="s">
        <v>25</v>
      </c>
      <c r="O1618" t="s">
        <v>19</v>
      </c>
      <c r="P1618" t="s">
        <v>20</v>
      </c>
      <c r="Q1618" t="s">
        <v>40</v>
      </c>
    </row>
    <row r="1619" spans="1:17" x14ac:dyDescent="0.35">
      <c r="A1619">
        <v>1620</v>
      </c>
      <c r="B1619">
        <v>43</v>
      </c>
      <c r="C1619" t="s">
        <v>27</v>
      </c>
      <c r="D1619">
        <v>181</v>
      </c>
      <c r="E1619">
        <v>98</v>
      </c>
      <c r="F1619" s="3">
        <v>30.162259337473301</v>
      </c>
      <c r="G1619" s="3" t="str">
        <f t="shared" si="25"/>
        <v>Obese</v>
      </c>
      <c r="H1619" t="s">
        <v>274</v>
      </c>
      <c r="I1619" t="s">
        <v>24</v>
      </c>
      <c r="J1619" t="s">
        <v>19</v>
      </c>
      <c r="K1619" t="s">
        <v>18</v>
      </c>
      <c r="L1619" t="s">
        <v>32</v>
      </c>
      <c r="M1619" t="s">
        <v>20</v>
      </c>
      <c r="N1619" t="s">
        <v>21</v>
      </c>
      <c r="O1619" t="s">
        <v>19</v>
      </c>
      <c r="P1619" t="s">
        <v>19</v>
      </c>
      <c r="Q1619" t="s">
        <v>18</v>
      </c>
    </row>
    <row r="1620" spans="1:17" x14ac:dyDescent="0.35">
      <c r="A1620">
        <v>1621</v>
      </c>
      <c r="B1620">
        <v>45</v>
      </c>
      <c r="C1620" t="s">
        <v>27</v>
      </c>
      <c r="D1620">
        <v>187</v>
      </c>
      <c r="E1620">
        <v>92</v>
      </c>
      <c r="F1620" s="3">
        <v>33.680629707799298</v>
      </c>
      <c r="G1620" s="3" t="str">
        <f t="shared" si="25"/>
        <v>Obese</v>
      </c>
      <c r="H1620" t="s">
        <v>1121</v>
      </c>
      <c r="I1620" t="s">
        <v>24</v>
      </c>
      <c r="J1620" t="s">
        <v>19</v>
      </c>
      <c r="K1620" t="s">
        <v>18</v>
      </c>
      <c r="L1620" t="s">
        <v>14</v>
      </c>
      <c r="M1620" t="s">
        <v>20</v>
      </c>
      <c r="N1620" t="s">
        <v>25</v>
      </c>
      <c r="O1620" t="s">
        <v>19</v>
      </c>
      <c r="P1620" t="s">
        <v>19</v>
      </c>
      <c r="Q1620" t="s">
        <v>18</v>
      </c>
    </row>
    <row r="1621" spans="1:17" x14ac:dyDescent="0.35">
      <c r="A1621">
        <v>1245</v>
      </c>
      <c r="B1621">
        <v>30</v>
      </c>
      <c r="C1621" t="s">
        <v>16</v>
      </c>
      <c r="D1621">
        <v>155</v>
      </c>
      <c r="E1621">
        <v>97</v>
      </c>
      <c r="F1621" s="3">
        <v>30.1041208916971</v>
      </c>
      <c r="G1621" s="3" t="str">
        <f t="shared" si="25"/>
        <v>Obese</v>
      </c>
      <c r="H1621" t="s">
        <v>156</v>
      </c>
      <c r="I1621" t="s">
        <v>18</v>
      </c>
      <c r="J1621" t="s">
        <v>20</v>
      </c>
      <c r="K1621" t="s">
        <v>22</v>
      </c>
      <c r="L1621" t="s">
        <v>14</v>
      </c>
      <c r="M1621" t="s">
        <v>20</v>
      </c>
      <c r="N1621" t="s">
        <v>21</v>
      </c>
      <c r="O1621" t="s">
        <v>19</v>
      </c>
      <c r="P1621" t="s">
        <v>19</v>
      </c>
      <c r="Q1621" t="s">
        <v>18</v>
      </c>
    </row>
    <row r="1622" spans="1:17" x14ac:dyDescent="0.35">
      <c r="A1622">
        <v>1350</v>
      </c>
      <c r="B1622">
        <v>30</v>
      </c>
      <c r="C1622" t="s">
        <v>27</v>
      </c>
      <c r="D1622">
        <v>160</v>
      </c>
      <c r="E1622">
        <v>68</v>
      </c>
      <c r="F1622" s="3">
        <v>25.811601197828001</v>
      </c>
      <c r="G1622" s="3" t="str">
        <f t="shared" si="25"/>
        <v>Overweight</v>
      </c>
      <c r="H1622" t="s">
        <v>1003</v>
      </c>
      <c r="I1622" t="s">
        <v>31</v>
      </c>
      <c r="J1622" t="s">
        <v>19</v>
      </c>
      <c r="K1622" t="s">
        <v>22</v>
      </c>
      <c r="L1622" t="s">
        <v>32</v>
      </c>
      <c r="M1622" t="s">
        <v>20</v>
      </c>
      <c r="N1622" t="s">
        <v>25</v>
      </c>
      <c r="O1622" t="s">
        <v>20</v>
      </c>
      <c r="P1622" t="s">
        <v>20</v>
      </c>
      <c r="Q1622" t="s">
        <v>40</v>
      </c>
    </row>
    <row r="1623" spans="1:17" x14ac:dyDescent="0.35">
      <c r="A1623">
        <v>1622</v>
      </c>
      <c r="B1623">
        <v>67</v>
      </c>
      <c r="C1623" t="s">
        <v>27</v>
      </c>
      <c r="D1623">
        <v>152</v>
      </c>
      <c r="E1623">
        <v>66</v>
      </c>
      <c r="F1623" s="3">
        <v>22.966279470978499</v>
      </c>
      <c r="G1623" s="3" t="str">
        <f t="shared" si="25"/>
        <v>Normal Weight</v>
      </c>
      <c r="H1623" t="s">
        <v>1091</v>
      </c>
      <c r="I1623" t="s">
        <v>24</v>
      </c>
      <c r="J1623" t="s">
        <v>19</v>
      </c>
      <c r="K1623" t="s">
        <v>18</v>
      </c>
      <c r="L1623" t="s">
        <v>38</v>
      </c>
      <c r="M1623" t="s">
        <v>19</v>
      </c>
      <c r="N1623" t="s">
        <v>21</v>
      </c>
      <c r="O1623" t="s">
        <v>19</v>
      </c>
      <c r="P1623" t="s">
        <v>20</v>
      </c>
      <c r="Q1623" t="s">
        <v>18</v>
      </c>
    </row>
    <row r="1624" spans="1:17" x14ac:dyDescent="0.35">
      <c r="A1624">
        <v>1485</v>
      </c>
      <c r="B1624">
        <v>30</v>
      </c>
      <c r="C1624" t="s">
        <v>27</v>
      </c>
      <c r="D1624">
        <v>152</v>
      </c>
      <c r="E1624">
        <v>94</v>
      </c>
      <c r="F1624" s="3">
        <v>22.9362154921536</v>
      </c>
      <c r="G1624" s="3" t="str">
        <f t="shared" si="25"/>
        <v>Normal Weight</v>
      </c>
      <c r="H1624" t="s">
        <v>366</v>
      </c>
      <c r="I1624" t="s">
        <v>24</v>
      </c>
      <c r="J1624" t="s">
        <v>19</v>
      </c>
      <c r="K1624" t="s">
        <v>22</v>
      </c>
      <c r="L1624" t="s">
        <v>14</v>
      </c>
      <c r="M1624" t="s">
        <v>19</v>
      </c>
      <c r="N1624" t="s">
        <v>21</v>
      </c>
      <c r="O1624" t="s">
        <v>20</v>
      </c>
      <c r="P1624" t="s">
        <v>20</v>
      </c>
      <c r="Q1624" t="s">
        <v>18</v>
      </c>
    </row>
    <row r="1625" spans="1:17" x14ac:dyDescent="0.35">
      <c r="A1625">
        <v>1624</v>
      </c>
      <c r="B1625">
        <v>66</v>
      </c>
      <c r="C1625" t="s">
        <v>16</v>
      </c>
      <c r="D1625">
        <v>152</v>
      </c>
      <c r="E1625">
        <v>51</v>
      </c>
      <c r="F1625" s="3">
        <v>27.887203196437799</v>
      </c>
      <c r="G1625" s="3" t="str">
        <f t="shared" si="25"/>
        <v>Overweight</v>
      </c>
      <c r="H1625" t="s">
        <v>1101</v>
      </c>
      <c r="I1625" t="s">
        <v>31</v>
      </c>
      <c r="J1625" t="s">
        <v>20</v>
      </c>
      <c r="K1625" t="s">
        <v>18</v>
      </c>
      <c r="L1625" t="s">
        <v>32</v>
      </c>
      <c r="M1625" t="s">
        <v>19</v>
      </c>
      <c r="N1625" t="s">
        <v>25</v>
      </c>
      <c r="O1625" t="s">
        <v>19</v>
      </c>
      <c r="P1625" t="s">
        <v>19</v>
      </c>
      <c r="Q1625" t="s">
        <v>40</v>
      </c>
    </row>
    <row r="1626" spans="1:17" x14ac:dyDescent="0.35">
      <c r="A1626">
        <v>1640</v>
      </c>
      <c r="B1626">
        <v>30</v>
      </c>
      <c r="C1626" t="s">
        <v>16</v>
      </c>
      <c r="D1626">
        <v>153</v>
      </c>
      <c r="E1626">
        <v>89</v>
      </c>
      <c r="F1626" s="3">
        <v>22.993204053487801</v>
      </c>
      <c r="G1626" s="3" t="str">
        <f t="shared" si="25"/>
        <v>Normal Weight</v>
      </c>
      <c r="H1626" t="s">
        <v>646</v>
      </c>
      <c r="I1626" t="s">
        <v>18</v>
      </c>
      <c r="J1626" t="s">
        <v>19</v>
      </c>
      <c r="K1626" t="s">
        <v>22</v>
      </c>
      <c r="L1626" t="s">
        <v>29</v>
      </c>
      <c r="M1626" t="s">
        <v>20</v>
      </c>
      <c r="N1626" t="s">
        <v>25</v>
      </c>
      <c r="O1626" t="s">
        <v>19</v>
      </c>
      <c r="P1626" t="s">
        <v>20</v>
      </c>
      <c r="Q1626" t="s">
        <v>18</v>
      </c>
    </row>
    <row r="1627" spans="1:17" x14ac:dyDescent="0.35">
      <c r="A1627">
        <v>32</v>
      </c>
      <c r="B1627">
        <v>29</v>
      </c>
      <c r="C1627" t="s">
        <v>16</v>
      </c>
      <c r="D1627">
        <v>189</v>
      </c>
      <c r="E1627">
        <v>81</v>
      </c>
      <c r="F1627" s="3">
        <v>28.404148266643102</v>
      </c>
      <c r="G1627" s="3" t="str">
        <f t="shared" si="25"/>
        <v>Overweight</v>
      </c>
      <c r="H1627" t="s">
        <v>61</v>
      </c>
      <c r="I1627" t="s">
        <v>24</v>
      </c>
      <c r="J1627" t="s">
        <v>19</v>
      </c>
      <c r="K1627" t="s">
        <v>22</v>
      </c>
      <c r="L1627" t="s">
        <v>29</v>
      </c>
      <c r="M1627" t="s">
        <v>19</v>
      </c>
      <c r="N1627" t="s">
        <v>25</v>
      </c>
      <c r="O1627" t="s">
        <v>20</v>
      </c>
      <c r="P1627" t="s">
        <v>19</v>
      </c>
      <c r="Q1627" t="s">
        <v>18</v>
      </c>
    </row>
    <row r="1628" spans="1:17" x14ac:dyDescent="0.35">
      <c r="A1628">
        <v>158</v>
      </c>
      <c r="B1628">
        <v>29</v>
      </c>
      <c r="C1628" t="s">
        <v>16</v>
      </c>
      <c r="D1628">
        <v>154</v>
      </c>
      <c r="E1628">
        <v>74</v>
      </c>
      <c r="F1628" s="3">
        <v>30.064284004524001</v>
      </c>
      <c r="G1628" s="3" t="str">
        <f t="shared" si="25"/>
        <v>Obese</v>
      </c>
      <c r="H1628" t="s">
        <v>180</v>
      </c>
      <c r="I1628" t="s">
        <v>18</v>
      </c>
      <c r="J1628" t="s">
        <v>20</v>
      </c>
      <c r="K1628" t="s">
        <v>22</v>
      </c>
      <c r="L1628" t="s">
        <v>38</v>
      </c>
      <c r="M1628" t="s">
        <v>19</v>
      </c>
      <c r="N1628" t="s">
        <v>25</v>
      </c>
      <c r="O1628" t="s">
        <v>20</v>
      </c>
      <c r="P1628" t="s">
        <v>20</v>
      </c>
      <c r="Q1628" t="s">
        <v>40</v>
      </c>
    </row>
    <row r="1629" spans="1:17" x14ac:dyDescent="0.35">
      <c r="A1629">
        <v>273</v>
      </c>
      <c r="B1629">
        <v>29</v>
      </c>
      <c r="C1629" t="s">
        <v>16</v>
      </c>
      <c r="D1629">
        <v>189</v>
      </c>
      <c r="E1629">
        <v>99</v>
      </c>
      <c r="F1629" s="3">
        <v>21.0037580637253</v>
      </c>
      <c r="G1629" s="3" t="str">
        <f t="shared" si="25"/>
        <v>Normal Weight</v>
      </c>
      <c r="H1629" t="s">
        <v>283</v>
      </c>
      <c r="I1629" t="s">
        <v>18</v>
      </c>
      <c r="J1629" t="s">
        <v>20</v>
      </c>
      <c r="K1629" t="s">
        <v>22</v>
      </c>
      <c r="L1629" t="s">
        <v>38</v>
      </c>
      <c r="M1629" t="s">
        <v>20</v>
      </c>
      <c r="N1629" t="s">
        <v>21</v>
      </c>
      <c r="O1629" t="s">
        <v>20</v>
      </c>
      <c r="P1629" t="s">
        <v>20</v>
      </c>
      <c r="Q1629" t="s">
        <v>22</v>
      </c>
    </row>
    <row r="1630" spans="1:17" x14ac:dyDescent="0.35">
      <c r="A1630">
        <v>370</v>
      </c>
      <c r="B1630">
        <v>29</v>
      </c>
      <c r="C1630" t="s">
        <v>16</v>
      </c>
      <c r="D1630">
        <v>168</v>
      </c>
      <c r="E1630">
        <v>81</v>
      </c>
      <c r="F1630" s="3">
        <v>28.0459400003582</v>
      </c>
      <c r="G1630" s="3" t="str">
        <f t="shared" si="25"/>
        <v>Overweight</v>
      </c>
      <c r="H1630" t="s">
        <v>371</v>
      </c>
      <c r="I1630" t="s">
        <v>18</v>
      </c>
      <c r="J1630" t="s">
        <v>19</v>
      </c>
      <c r="K1630" t="s">
        <v>22</v>
      </c>
      <c r="L1630" t="s">
        <v>38</v>
      </c>
      <c r="M1630" t="s">
        <v>20</v>
      </c>
      <c r="N1630" t="s">
        <v>25</v>
      </c>
      <c r="O1630" t="s">
        <v>20</v>
      </c>
      <c r="P1630" t="s">
        <v>20</v>
      </c>
      <c r="Q1630" t="s">
        <v>40</v>
      </c>
    </row>
    <row r="1631" spans="1:17" x14ac:dyDescent="0.35">
      <c r="A1631">
        <v>429</v>
      </c>
      <c r="B1631">
        <v>29</v>
      </c>
      <c r="C1631" t="s">
        <v>27</v>
      </c>
      <c r="D1631">
        <v>172</v>
      </c>
      <c r="E1631">
        <v>95</v>
      </c>
      <c r="F1631" s="3">
        <v>29.196909200430198</v>
      </c>
      <c r="G1631" s="3" t="str">
        <f t="shared" si="25"/>
        <v>Overweight</v>
      </c>
      <c r="H1631" t="s">
        <v>410</v>
      </c>
      <c r="I1631" t="s">
        <v>24</v>
      </c>
      <c r="J1631" t="s">
        <v>20</v>
      </c>
      <c r="K1631" t="s">
        <v>22</v>
      </c>
      <c r="L1631" t="s">
        <v>38</v>
      </c>
      <c r="M1631" t="s">
        <v>19</v>
      </c>
      <c r="N1631" t="s">
        <v>21</v>
      </c>
      <c r="O1631" t="s">
        <v>19</v>
      </c>
      <c r="P1631" t="s">
        <v>19</v>
      </c>
      <c r="Q1631" t="s">
        <v>40</v>
      </c>
    </row>
    <row r="1632" spans="1:17" x14ac:dyDescent="0.35">
      <c r="A1632">
        <v>1625</v>
      </c>
      <c r="B1632">
        <v>24</v>
      </c>
      <c r="C1632" t="s">
        <v>27</v>
      </c>
      <c r="D1632">
        <v>179</v>
      </c>
      <c r="E1632">
        <v>53</v>
      </c>
      <c r="F1632" s="3">
        <v>33.048197999036603</v>
      </c>
      <c r="G1632" s="3" t="str">
        <f t="shared" si="25"/>
        <v>Obese</v>
      </c>
      <c r="H1632" t="s">
        <v>1082</v>
      </c>
      <c r="I1632" t="s">
        <v>31</v>
      </c>
      <c r="J1632" t="s">
        <v>19</v>
      </c>
      <c r="K1632" t="s">
        <v>18</v>
      </c>
      <c r="L1632" t="s">
        <v>14</v>
      </c>
      <c r="M1632" t="s">
        <v>19</v>
      </c>
      <c r="N1632" t="s">
        <v>25</v>
      </c>
      <c r="O1632" t="s">
        <v>19</v>
      </c>
      <c r="P1632" t="s">
        <v>20</v>
      </c>
      <c r="Q1632" t="s">
        <v>18</v>
      </c>
    </row>
    <row r="1633" spans="1:17" x14ac:dyDescent="0.35">
      <c r="A1633">
        <v>1628</v>
      </c>
      <c r="B1633">
        <v>58</v>
      </c>
      <c r="C1633" t="s">
        <v>27</v>
      </c>
      <c r="D1633">
        <v>181</v>
      </c>
      <c r="E1633">
        <v>83</v>
      </c>
      <c r="F1633" s="3">
        <v>19.929226054102401</v>
      </c>
      <c r="G1633" s="3" t="str">
        <f t="shared" si="25"/>
        <v>Normal Weight</v>
      </c>
      <c r="H1633" t="s">
        <v>431</v>
      </c>
      <c r="I1633" t="s">
        <v>31</v>
      </c>
      <c r="J1633" t="s">
        <v>20</v>
      </c>
      <c r="K1633" t="s">
        <v>18</v>
      </c>
      <c r="L1633" t="s">
        <v>29</v>
      </c>
      <c r="M1633" t="s">
        <v>19</v>
      </c>
      <c r="N1633" t="s">
        <v>25</v>
      </c>
      <c r="O1633" t="s">
        <v>19</v>
      </c>
      <c r="P1633" t="s">
        <v>19</v>
      </c>
      <c r="Q1633" t="s">
        <v>40</v>
      </c>
    </row>
    <row r="1634" spans="1:17" x14ac:dyDescent="0.35">
      <c r="A1634">
        <v>1631</v>
      </c>
      <c r="B1634">
        <v>71</v>
      </c>
      <c r="C1634" t="s">
        <v>16</v>
      </c>
      <c r="D1634">
        <v>162</v>
      </c>
      <c r="E1634">
        <v>66</v>
      </c>
      <c r="F1634" s="3">
        <v>26.2665664916025</v>
      </c>
      <c r="G1634" s="3" t="str">
        <f t="shared" si="25"/>
        <v>Overweight</v>
      </c>
      <c r="H1634" t="s">
        <v>1124</v>
      </c>
      <c r="I1634" t="s">
        <v>18</v>
      </c>
      <c r="J1634" t="s">
        <v>20</v>
      </c>
      <c r="K1634" t="s">
        <v>40</v>
      </c>
      <c r="L1634" t="s">
        <v>32</v>
      </c>
      <c r="M1634" t="s">
        <v>20</v>
      </c>
      <c r="N1634" t="s">
        <v>21</v>
      </c>
      <c r="O1634" t="s">
        <v>20</v>
      </c>
      <c r="P1634" t="s">
        <v>20</v>
      </c>
      <c r="Q1634" t="s">
        <v>18</v>
      </c>
    </row>
    <row r="1635" spans="1:17" x14ac:dyDescent="0.35">
      <c r="A1635">
        <v>1633</v>
      </c>
      <c r="B1635">
        <v>45</v>
      </c>
      <c r="C1635" t="s">
        <v>27</v>
      </c>
      <c r="D1635">
        <v>185</v>
      </c>
      <c r="E1635">
        <v>74</v>
      </c>
      <c r="F1635" s="3">
        <v>21.652525299214901</v>
      </c>
      <c r="G1635" s="3" t="str">
        <f t="shared" si="25"/>
        <v>Normal Weight</v>
      </c>
      <c r="H1635" t="s">
        <v>939</v>
      </c>
      <c r="I1635" t="s">
        <v>18</v>
      </c>
      <c r="J1635" t="s">
        <v>19</v>
      </c>
      <c r="K1635" t="s">
        <v>18</v>
      </c>
      <c r="L1635" t="s">
        <v>32</v>
      </c>
      <c r="M1635" t="s">
        <v>20</v>
      </c>
      <c r="N1635" t="s">
        <v>21</v>
      </c>
      <c r="O1635" t="s">
        <v>19</v>
      </c>
      <c r="P1635" t="s">
        <v>19</v>
      </c>
      <c r="Q1635" t="s">
        <v>18</v>
      </c>
    </row>
    <row r="1636" spans="1:17" x14ac:dyDescent="0.35">
      <c r="A1636">
        <v>1636</v>
      </c>
      <c r="B1636">
        <v>66</v>
      </c>
      <c r="C1636" t="s">
        <v>16</v>
      </c>
      <c r="D1636">
        <v>159</v>
      </c>
      <c r="E1636">
        <v>69</v>
      </c>
      <c r="F1636" s="3">
        <v>23.477426986913901</v>
      </c>
      <c r="G1636" s="3" t="str">
        <f t="shared" si="25"/>
        <v>Normal Weight</v>
      </c>
      <c r="H1636" t="s">
        <v>1125</v>
      </c>
      <c r="I1636" t="s">
        <v>18</v>
      </c>
      <c r="J1636" t="s">
        <v>19</v>
      </c>
      <c r="K1636" t="s">
        <v>18</v>
      </c>
      <c r="L1636" t="s">
        <v>38</v>
      </c>
      <c r="M1636" t="s">
        <v>19</v>
      </c>
      <c r="N1636" t="s">
        <v>21</v>
      </c>
      <c r="O1636" t="s">
        <v>19</v>
      </c>
      <c r="P1636" t="s">
        <v>20</v>
      </c>
      <c r="Q1636" t="s">
        <v>22</v>
      </c>
    </row>
    <row r="1637" spans="1:17" x14ac:dyDescent="0.35">
      <c r="A1637">
        <v>699</v>
      </c>
      <c r="B1637">
        <v>29</v>
      </c>
      <c r="C1637" t="s">
        <v>16</v>
      </c>
      <c r="D1637">
        <v>178</v>
      </c>
      <c r="E1637">
        <v>86</v>
      </c>
      <c r="F1637" s="3">
        <v>20.580817337697301</v>
      </c>
      <c r="G1637" s="3" t="str">
        <f t="shared" si="25"/>
        <v>Normal Weight</v>
      </c>
      <c r="H1637" t="s">
        <v>623</v>
      </c>
      <c r="I1637" t="s">
        <v>24</v>
      </c>
      <c r="J1637" t="s">
        <v>20</v>
      </c>
      <c r="K1637" t="s">
        <v>22</v>
      </c>
      <c r="L1637" t="s">
        <v>32</v>
      </c>
      <c r="M1637" t="s">
        <v>20</v>
      </c>
      <c r="N1637" t="s">
        <v>21</v>
      </c>
      <c r="O1637" t="s">
        <v>20</v>
      </c>
      <c r="P1637" t="s">
        <v>20</v>
      </c>
      <c r="Q1637" t="s">
        <v>22</v>
      </c>
    </row>
    <row r="1638" spans="1:17" x14ac:dyDescent="0.35">
      <c r="A1638">
        <v>1637</v>
      </c>
      <c r="B1638">
        <v>24</v>
      </c>
      <c r="C1638" t="s">
        <v>16</v>
      </c>
      <c r="D1638">
        <v>188</v>
      </c>
      <c r="E1638">
        <v>65</v>
      </c>
      <c r="F1638" s="3">
        <v>24.8363147204218</v>
      </c>
      <c r="G1638" s="3" t="str">
        <f t="shared" si="25"/>
        <v>Normal Weight</v>
      </c>
      <c r="H1638" t="s">
        <v>1126</v>
      </c>
      <c r="I1638" t="s">
        <v>31</v>
      </c>
      <c r="J1638" t="s">
        <v>19</v>
      </c>
      <c r="K1638" t="s">
        <v>18</v>
      </c>
      <c r="L1638" t="s">
        <v>14</v>
      </c>
      <c r="M1638" t="s">
        <v>20</v>
      </c>
      <c r="N1638" t="s">
        <v>21</v>
      </c>
      <c r="O1638" t="s">
        <v>19</v>
      </c>
      <c r="P1638" t="s">
        <v>19</v>
      </c>
      <c r="Q1638" t="s">
        <v>18</v>
      </c>
    </row>
    <row r="1639" spans="1:17" x14ac:dyDescent="0.35">
      <c r="A1639">
        <v>762</v>
      </c>
      <c r="B1639">
        <v>29</v>
      </c>
      <c r="C1639" t="s">
        <v>27</v>
      </c>
      <c r="D1639">
        <v>184</v>
      </c>
      <c r="E1639">
        <v>84</v>
      </c>
      <c r="F1639" s="3">
        <v>23.511628262714101</v>
      </c>
      <c r="G1639" s="3" t="str">
        <f t="shared" si="25"/>
        <v>Normal Weight</v>
      </c>
      <c r="H1639" t="s">
        <v>387</v>
      </c>
      <c r="I1639" t="s">
        <v>31</v>
      </c>
      <c r="J1639" t="s">
        <v>19</v>
      </c>
      <c r="K1639" t="s">
        <v>22</v>
      </c>
      <c r="L1639" t="s">
        <v>38</v>
      </c>
      <c r="M1639" t="s">
        <v>19</v>
      </c>
      <c r="N1639" t="s">
        <v>21</v>
      </c>
      <c r="O1639" t="s">
        <v>20</v>
      </c>
      <c r="P1639" t="s">
        <v>20</v>
      </c>
      <c r="Q1639" t="s">
        <v>40</v>
      </c>
    </row>
    <row r="1640" spans="1:17" x14ac:dyDescent="0.35">
      <c r="A1640">
        <v>1641</v>
      </c>
      <c r="B1640">
        <v>47</v>
      </c>
      <c r="C1640" t="s">
        <v>16</v>
      </c>
      <c r="D1640">
        <v>181</v>
      </c>
      <c r="E1640">
        <v>58</v>
      </c>
      <c r="F1640" s="3">
        <v>20.438780363504101</v>
      </c>
      <c r="G1640" s="3" t="str">
        <f t="shared" si="25"/>
        <v>Normal Weight</v>
      </c>
      <c r="H1640" t="s">
        <v>1128</v>
      </c>
      <c r="I1640" t="s">
        <v>24</v>
      </c>
      <c r="J1640" t="s">
        <v>20</v>
      </c>
      <c r="K1640" t="s">
        <v>18</v>
      </c>
      <c r="L1640" t="s">
        <v>32</v>
      </c>
      <c r="M1640" t="s">
        <v>20</v>
      </c>
      <c r="N1640" t="s">
        <v>25</v>
      </c>
      <c r="O1640" t="s">
        <v>20</v>
      </c>
      <c r="P1640" t="s">
        <v>20</v>
      </c>
      <c r="Q1640" t="s">
        <v>40</v>
      </c>
    </row>
    <row r="1641" spans="1:17" x14ac:dyDescent="0.35">
      <c r="A1641">
        <v>787</v>
      </c>
      <c r="B1641">
        <v>29</v>
      </c>
      <c r="C1641" t="s">
        <v>16</v>
      </c>
      <c r="D1641">
        <v>152</v>
      </c>
      <c r="E1641">
        <v>69</v>
      </c>
      <c r="F1641" s="3">
        <v>32.234452188081399</v>
      </c>
      <c r="G1641" s="3" t="str">
        <f t="shared" si="25"/>
        <v>Obese</v>
      </c>
      <c r="H1641" t="s">
        <v>502</v>
      </c>
      <c r="I1641" t="s">
        <v>31</v>
      </c>
      <c r="J1641" t="s">
        <v>20</v>
      </c>
      <c r="K1641" t="s">
        <v>22</v>
      </c>
      <c r="L1641" t="s">
        <v>38</v>
      </c>
      <c r="M1641" t="s">
        <v>19</v>
      </c>
      <c r="N1641" t="s">
        <v>21</v>
      </c>
      <c r="O1641" t="s">
        <v>20</v>
      </c>
      <c r="P1641" t="s">
        <v>20</v>
      </c>
      <c r="Q1641" t="s">
        <v>22</v>
      </c>
    </row>
    <row r="1642" spans="1:17" x14ac:dyDescent="0.35">
      <c r="A1642">
        <v>1643</v>
      </c>
      <c r="B1642">
        <v>68</v>
      </c>
      <c r="C1642" t="s">
        <v>16</v>
      </c>
      <c r="D1642">
        <v>155</v>
      </c>
      <c r="E1642">
        <v>91</v>
      </c>
      <c r="F1642" s="3">
        <v>33.6924814424031</v>
      </c>
      <c r="G1642" s="3" t="str">
        <f t="shared" si="25"/>
        <v>Obese</v>
      </c>
      <c r="H1642" t="s">
        <v>1129</v>
      </c>
      <c r="I1642" t="s">
        <v>18</v>
      </c>
      <c r="J1642" t="s">
        <v>20</v>
      </c>
      <c r="K1642" t="s">
        <v>18</v>
      </c>
      <c r="L1642" t="s">
        <v>32</v>
      </c>
      <c r="M1642" t="s">
        <v>19</v>
      </c>
      <c r="N1642" t="s">
        <v>21</v>
      </c>
      <c r="O1642" t="s">
        <v>19</v>
      </c>
      <c r="P1642" t="s">
        <v>19</v>
      </c>
      <c r="Q1642" t="s">
        <v>22</v>
      </c>
    </row>
    <row r="1643" spans="1:17" x14ac:dyDescent="0.35">
      <c r="A1643">
        <v>1649</v>
      </c>
      <c r="B1643">
        <v>47</v>
      </c>
      <c r="C1643" t="s">
        <v>27</v>
      </c>
      <c r="D1643">
        <v>182</v>
      </c>
      <c r="E1643">
        <v>71</v>
      </c>
      <c r="F1643" s="3">
        <v>27.134223113454102</v>
      </c>
      <c r="G1643" s="3" t="str">
        <f t="shared" si="25"/>
        <v>Overweight</v>
      </c>
      <c r="H1643" t="s">
        <v>686</v>
      </c>
      <c r="I1643" t="s">
        <v>24</v>
      </c>
      <c r="J1643" t="s">
        <v>20</v>
      </c>
      <c r="K1643" t="s">
        <v>18</v>
      </c>
      <c r="L1643" t="s">
        <v>29</v>
      </c>
      <c r="M1643" t="s">
        <v>20</v>
      </c>
      <c r="N1643" t="s">
        <v>21</v>
      </c>
      <c r="O1643" t="s">
        <v>20</v>
      </c>
      <c r="P1643" t="s">
        <v>20</v>
      </c>
      <c r="Q1643" t="s">
        <v>40</v>
      </c>
    </row>
    <row r="1644" spans="1:17" x14ac:dyDescent="0.35">
      <c r="A1644">
        <v>939</v>
      </c>
      <c r="B1644">
        <v>29</v>
      </c>
      <c r="C1644" t="s">
        <v>16</v>
      </c>
      <c r="D1644">
        <v>160</v>
      </c>
      <c r="E1644">
        <v>74</v>
      </c>
      <c r="F1644" s="3">
        <v>26.1549483470057</v>
      </c>
      <c r="G1644" s="3" t="str">
        <f t="shared" si="25"/>
        <v>Overweight</v>
      </c>
      <c r="H1644" t="s">
        <v>763</v>
      </c>
      <c r="I1644" t="s">
        <v>18</v>
      </c>
      <c r="J1644" t="s">
        <v>20</v>
      </c>
      <c r="K1644" t="s">
        <v>22</v>
      </c>
      <c r="L1644" t="s">
        <v>32</v>
      </c>
      <c r="M1644" t="s">
        <v>19</v>
      </c>
      <c r="N1644" t="s">
        <v>25</v>
      </c>
      <c r="O1644" t="s">
        <v>19</v>
      </c>
      <c r="P1644" t="s">
        <v>19</v>
      </c>
      <c r="Q1644" t="s">
        <v>18</v>
      </c>
    </row>
    <row r="1645" spans="1:17" x14ac:dyDescent="0.35">
      <c r="A1645">
        <v>945</v>
      </c>
      <c r="B1645">
        <v>29</v>
      </c>
      <c r="C1645" t="s">
        <v>16</v>
      </c>
      <c r="D1645">
        <v>187</v>
      </c>
      <c r="E1645">
        <v>98</v>
      </c>
      <c r="F1645" s="3">
        <v>28.920482248156599</v>
      </c>
      <c r="G1645" s="3" t="str">
        <f t="shared" si="25"/>
        <v>Overweight</v>
      </c>
      <c r="H1645" t="s">
        <v>124</v>
      </c>
      <c r="I1645" t="s">
        <v>24</v>
      </c>
      <c r="J1645" t="s">
        <v>19</v>
      </c>
      <c r="K1645" t="s">
        <v>22</v>
      </c>
      <c r="L1645" t="s">
        <v>29</v>
      </c>
      <c r="M1645" t="s">
        <v>19</v>
      </c>
      <c r="N1645" t="s">
        <v>21</v>
      </c>
      <c r="O1645" t="s">
        <v>19</v>
      </c>
      <c r="P1645" t="s">
        <v>20</v>
      </c>
      <c r="Q1645" t="s">
        <v>18</v>
      </c>
    </row>
    <row r="1646" spans="1:17" x14ac:dyDescent="0.35">
      <c r="A1646">
        <v>1062</v>
      </c>
      <c r="B1646">
        <v>29</v>
      </c>
      <c r="C1646" t="s">
        <v>27</v>
      </c>
      <c r="D1646">
        <v>176</v>
      </c>
      <c r="E1646">
        <v>73</v>
      </c>
      <c r="F1646" s="3">
        <v>27.524105977586501</v>
      </c>
      <c r="G1646" s="3" t="str">
        <f t="shared" si="25"/>
        <v>Overweight</v>
      </c>
      <c r="H1646" t="s">
        <v>843</v>
      </c>
      <c r="I1646" t="s">
        <v>18</v>
      </c>
      <c r="J1646" t="s">
        <v>20</v>
      </c>
      <c r="K1646" t="s">
        <v>22</v>
      </c>
      <c r="L1646" t="s">
        <v>38</v>
      </c>
      <c r="M1646" t="s">
        <v>20</v>
      </c>
      <c r="N1646" t="s">
        <v>25</v>
      </c>
      <c r="O1646" t="s">
        <v>20</v>
      </c>
      <c r="P1646" t="s">
        <v>20</v>
      </c>
      <c r="Q1646" t="s">
        <v>40</v>
      </c>
    </row>
    <row r="1647" spans="1:17" x14ac:dyDescent="0.35">
      <c r="A1647">
        <v>1650</v>
      </c>
      <c r="B1647">
        <v>46</v>
      </c>
      <c r="C1647" t="s">
        <v>27</v>
      </c>
      <c r="D1647">
        <v>177</v>
      </c>
      <c r="E1647">
        <v>71</v>
      </c>
      <c r="F1647" s="3">
        <v>20.426340395685099</v>
      </c>
      <c r="G1647" s="3" t="str">
        <f t="shared" si="25"/>
        <v>Normal Weight</v>
      </c>
      <c r="H1647" t="s">
        <v>164</v>
      </c>
      <c r="I1647" t="s">
        <v>18</v>
      </c>
      <c r="J1647" t="s">
        <v>19</v>
      </c>
      <c r="K1647" t="s">
        <v>18</v>
      </c>
      <c r="L1647" t="s">
        <v>38</v>
      </c>
      <c r="M1647" t="s">
        <v>19</v>
      </c>
      <c r="N1647" t="s">
        <v>25</v>
      </c>
      <c r="O1647" t="s">
        <v>19</v>
      </c>
      <c r="P1647" t="s">
        <v>20</v>
      </c>
      <c r="Q1647" t="s">
        <v>18</v>
      </c>
    </row>
    <row r="1648" spans="1:17" x14ac:dyDescent="0.35">
      <c r="A1648">
        <v>1340</v>
      </c>
      <c r="B1648">
        <v>29</v>
      </c>
      <c r="C1648" t="s">
        <v>27</v>
      </c>
      <c r="D1648">
        <v>188</v>
      </c>
      <c r="E1648">
        <v>83</v>
      </c>
      <c r="F1648" s="3">
        <v>33.040636247751102</v>
      </c>
      <c r="G1648" s="3" t="str">
        <f t="shared" si="25"/>
        <v>Obese</v>
      </c>
      <c r="H1648" t="s">
        <v>281</v>
      </c>
      <c r="I1648" t="s">
        <v>24</v>
      </c>
      <c r="J1648" t="s">
        <v>19</v>
      </c>
      <c r="K1648" t="s">
        <v>22</v>
      </c>
      <c r="L1648" t="s">
        <v>14</v>
      </c>
      <c r="M1648" t="s">
        <v>19</v>
      </c>
      <c r="N1648" t="s">
        <v>21</v>
      </c>
      <c r="O1648" t="s">
        <v>20</v>
      </c>
      <c r="P1648" t="s">
        <v>19</v>
      </c>
      <c r="Q1648" t="s">
        <v>18</v>
      </c>
    </row>
    <row r="1649" spans="1:17" x14ac:dyDescent="0.35">
      <c r="A1649">
        <v>1651</v>
      </c>
      <c r="B1649">
        <v>66</v>
      </c>
      <c r="C1649" t="s">
        <v>27</v>
      </c>
      <c r="D1649">
        <v>157</v>
      </c>
      <c r="E1649">
        <v>83</v>
      </c>
      <c r="F1649" s="3">
        <v>20.629574559679501</v>
      </c>
      <c r="G1649" s="3" t="str">
        <f t="shared" si="25"/>
        <v>Normal Weight</v>
      </c>
      <c r="H1649" t="s">
        <v>139</v>
      </c>
      <c r="I1649" t="s">
        <v>18</v>
      </c>
      <c r="J1649" t="s">
        <v>20</v>
      </c>
      <c r="K1649" t="s">
        <v>18</v>
      </c>
      <c r="L1649" t="s">
        <v>32</v>
      </c>
      <c r="M1649" t="s">
        <v>19</v>
      </c>
      <c r="N1649" t="s">
        <v>21</v>
      </c>
      <c r="O1649" t="s">
        <v>19</v>
      </c>
      <c r="P1649" t="s">
        <v>19</v>
      </c>
      <c r="Q1649" t="s">
        <v>18</v>
      </c>
    </row>
    <row r="1650" spans="1:17" x14ac:dyDescent="0.35">
      <c r="A1650">
        <v>1653</v>
      </c>
      <c r="B1650">
        <v>46</v>
      </c>
      <c r="C1650" t="s">
        <v>16</v>
      </c>
      <c r="D1650">
        <v>186</v>
      </c>
      <c r="E1650">
        <v>87</v>
      </c>
      <c r="F1650" s="3">
        <v>33.953408598168799</v>
      </c>
      <c r="G1650" s="3" t="str">
        <f t="shared" si="25"/>
        <v>Obese</v>
      </c>
      <c r="H1650" t="s">
        <v>484</v>
      </c>
      <c r="I1650" t="s">
        <v>31</v>
      </c>
      <c r="J1650" t="s">
        <v>19</v>
      </c>
      <c r="K1650" t="s">
        <v>18</v>
      </c>
      <c r="L1650" t="s">
        <v>38</v>
      </c>
      <c r="M1650" t="s">
        <v>19</v>
      </c>
      <c r="N1650" t="s">
        <v>21</v>
      </c>
      <c r="O1650" t="s">
        <v>20</v>
      </c>
      <c r="P1650" t="s">
        <v>19</v>
      </c>
      <c r="Q1650" t="s">
        <v>40</v>
      </c>
    </row>
    <row r="1651" spans="1:17" x14ac:dyDescent="0.35">
      <c r="A1651">
        <v>1654</v>
      </c>
      <c r="B1651">
        <v>47</v>
      </c>
      <c r="C1651" t="s">
        <v>27</v>
      </c>
      <c r="D1651">
        <v>171</v>
      </c>
      <c r="E1651">
        <v>95</v>
      </c>
      <c r="F1651" s="3">
        <v>23.5878100076572</v>
      </c>
      <c r="G1651" s="3" t="str">
        <f t="shared" si="25"/>
        <v>Normal Weight</v>
      </c>
      <c r="H1651" t="s">
        <v>394</v>
      </c>
      <c r="I1651" t="s">
        <v>18</v>
      </c>
      <c r="J1651" t="s">
        <v>20</v>
      </c>
      <c r="K1651" t="s">
        <v>18</v>
      </c>
      <c r="L1651" t="s">
        <v>38</v>
      </c>
      <c r="M1651" t="s">
        <v>19</v>
      </c>
      <c r="N1651" t="s">
        <v>25</v>
      </c>
      <c r="O1651" t="s">
        <v>19</v>
      </c>
      <c r="P1651" t="s">
        <v>19</v>
      </c>
      <c r="Q1651" t="s">
        <v>18</v>
      </c>
    </row>
    <row r="1652" spans="1:17" x14ac:dyDescent="0.35">
      <c r="A1652">
        <v>1538</v>
      </c>
      <c r="B1652">
        <v>29</v>
      </c>
      <c r="C1652" t="s">
        <v>27</v>
      </c>
      <c r="D1652">
        <v>157</v>
      </c>
      <c r="E1652">
        <v>56</v>
      </c>
      <c r="F1652" s="3">
        <v>22.0920466811443</v>
      </c>
      <c r="G1652" s="3" t="str">
        <f t="shared" si="25"/>
        <v>Normal Weight</v>
      </c>
      <c r="H1652" t="s">
        <v>268</v>
      </c>
      <c r="I1652" t="s">
        <v>18</v>
      </c>
      <c r="J1652" t="s">
        <v>20</v>
      </c>
      <c r="K1652" t="s">
        <v>22</v>
      </c>
      <c r="L1652" t="s">
        <v>29</v>
      </c>
      <c r="M1652" t="s">
        <v>20</v>
      </c>
      <c r="N1652" t="s">
        <v>25</v>
      </c>
      <c r="O1652" t="s">
        <v>19</v>
      </c>
      <c r="P1652" t="s">
        <v>20</v>
      </c>
      <c r="Q1652" t="s">
        <v>18</v>
      </c>
    </row>
    <row r="1653" spans="1:17" x14ac:dyDescent="0.35">
      <c r="A1653">
        <v>1759</v>
      </c>
      <c r="B1653">
        <v>29</v>
      </c>
      <c r="C1653" t="s">
        <v>16</v>
      </c>
      <c r="D1653">
        <v>178</v>
      </c>
      <c r="E1653">
        <v>84</v>
      </c>
      <c r="F1653" s="3">
        <v>32.640978967454501</v>
      </c>
      <c r="G1653" s="3" t="str">
        <f t="shared" si="25"/>
        <v>Obese</v>
      </c>
      <c r="H1653" t="s">
        <v>694</v>
      </c>
      <c r="I1653" t="s">
        <v>18</v>
      </c>
      <c r="J1653" t="s">
        <v>20</v>
      </c>
      <c r="K1653" t="s">
        <v>22</v>
      </c>
      <c r="L1653" t="s">
        <v>32</v>
      </c>
      <c r="M1653" t="s">
        <v>20</v>
      </c>
      <c r="N1653" t="s">
        <v>25</v>
      </c>
      <c r="O1653" t="s">
        <v>19</v>
      </c>
      <c r="P1653" t="s">
        <v>19</v>
      </c>
      <c r="Q1653" t="s">
        <v>40</v>
      </c>
    </row>
    <row r="1654" spans="1:17" x14ac:dyDescent="0.35">
      <c r="A1654">
        <v>1821</v>
      </c>
      <c r="B1654">
        <v>29</v>
      </c>
      <c r="C1654" t="s">
        <v>27</v>
      </c>
      <c r="D1654">
        <v>187</v>
      </c>
      <c r="E1654">
        <v>64</v>
      </c>
      <c r="F1654" s="3">
        <v>30.657110383718202</v>
      </c>
      <c r="G1654" s="3" t="str">
        <f t="shared" si="25"/>
        <v>Obese</v>
      </c>
      <c r="H1654" t="s">
        <v>1057</v>
      </c>
      <c r="I1654" t="s">
        <v>24</v>
      </c>
      <c r="J1654" t="s">
        <v>20</v>
      </c>
      <c r="K1654" t="s">
        <v>22</v>
      </c>
      <c r="L1654" t="s">
        <v>32</v>
      </c>
      <c r="M1654" t="s">
        <v>19</v>
      </c>
      <c r="N1654" t="s">
        <v>21</v>
      </c>
      <c r="O1654" t="s">
        <v>20</v>
      </c>
      <c r="P1654" t="s">
        <v>19</v>
      </c>
      <c r="Q1654" t="s">
        <v>40</v>
      </c>
    </row>
    <row r="1655" spans="1:17" x14ac:dyDescent="0.35">
      <c r="A1655">
        <v>1834</v>
      </c>
      <c r="B1655">
        <v>29</v>
      </c>
      <c r="C1655" t="s">
        <v>27</v>
      </c>
      <c r="D1655">
        <v>189</v>
      </c>
      <c r="E1655">
        <v>72</v>
      </c>
      <c r="F1655" s="3">
        <v>27.583997460229899</v>
      </c>
      <c r="G1655" s="3" t="str">
        <f t="shared" si="25"/>
        <v>Overweight</v>
      </c>
      <c r="H1655" t="s">
        <v>623</v>
      </c>
      <c r="I1655" t="s">
        <v>31</v>
      </c>
      <c r="J1655" t="s">
        <v>20</v>
      </c>
      <c r="K1655" t="s">
        <v>22</v>
      </c>
      <c r="L1655" t="s">
        <v>29</v>
      </c>
      <c r="M1655" t="s">
        <v>20</v>
      </c>
      <c r="N1655" t="s">
        <v>25</v>
      </c>
      <c r="O1655" t="s">
        <v>20</v>
      </c>
      <c r="P1655" t="s">
        <v>19</v>
      </c>
      <c r="Q1655" t="s">
        <v>22</v>
      </c>
    </row>
    <row r="1656" spans="1:17" x14ac:dyDescent="0.35">
      <c r="A1656">
        <v>1657</v>
      </c>
      <c r="B1656">
        <v>36</v>
      </c>
      <c r="C1656" t="s">
        <v>27</v>
      </c>
      <c r="D1656">
        <v>181</v>
      </c>
      <c r="E1656">
        <v>56</v>
      </c>
      <c r="F1656" s="3">
        <v>22.588905307963898</v>
      </c>
      <c r="G1656" s="3" t="str">
        <f t="shared" si="25"/>
        <v>Normal Weight</v>
      </c>
      <c r="H1656" t="s">
        <v>251</v>
      </c>
      <c r="I1656" t="s">
        <v>31</v>
      </c>
      <c r="J1656" t="s">
        <v>20</v>
      </c>
      <c r="K1656" t="s">
        <v>18</v>
      </c>
      <c r="L1656" t="s">
        <v>32</v>
      </c>
      <c r="M1656" t="s">
        <v>19</v>
      </c>
      <c r="N1656" t="s">
        <v>21</v>
      </c>
      <c r="O1656" t="s">
        <v>19</v>
      </c>
      <c r="P1656" t="s">
        <v>19</v>
      </c>
      <c r="Q1656" t="s">
        <v>22</v>
      </c>
    </row>
    <row r="1657" spans="1:17" x14ac:dyDescent="0.35">
      <c r="A1657">
        <v>1658</v>
      </c>
      <c r="B1657">
        <v>35</v>
      </c>
      <c r="C1657" t="s">
        <v>27</v>
      </c>
      <c r="D1657">
        <v>184</v>
      </c>
      <c r="E1657">
        <v>50</v>
      </c>
      <c r="F1657" s="3">
        <v>19.099622347217998</v>
      </c>
      <c r="G1657" s="3" t="str">
        <f t="shared" si="25"/>
        <v>Normal Weight</v>
      </c>
      <c r="H1657" t="s">
        <v>1132</v>
      </c>
      <c r="I1657" t="s">
        <v>18</v>
      </c>
      <c r="J1657" t="s">
        <v>19</v>
      </c>
      <c r="K1657" t="s">
        <v>18</v>
      </c>
      <c r="L1657" t="s">
        <v>32</v>
      </c>
      <c r="M1657" t="s">
        <v>20</v>
      </c>
      <c r="N1657" t="s">
        <v>21</v>
      </c>
      <c r="O1657" t="s">
        <v>20</v>
      </c>
      <c r="P1657" t="s">
        <v>20</v>
      </c>
      <c r="Q1657" t="s">
        <v>18</v>
      </c>
    </row>
    <row r="1658" spans="1:17" x14ac:dyDescent="0.35">
      <c r="A1658">
        <v>1951</v>
      </c>
      <c r="B1658">
        <v>29</v>
      </c>
      <c r="C1658" t="s">
        <v>27</v>
      </c>
      <c r="D1658">
        <v>170</v>
      </c>
      <c r="E1658">
        <v>58</v>
      </c>
      <c r="F1658" s="3">
        <v>22.311158623712998</v>
      </c>
      <c r="G1658" s="3" t="str">
        <f t="shared" si="25"/>
        <v>Normal Weight</v>
      </c>
      <c r="H1658" t="s">
        <v>256</v>
      </c>
      <c r="I1658" t="s">
        <v>31</v>
      </c>
      <c r="J1658" t="s">
        <v>19</v>
      </c>
      <c r="K1658" t="s">
        <v>22</v>
      </c>
      <c r="L1658" t="s">
        <v>14</v>
      </c>
      <c r="M1658" t="s">
        <v>20</v>
      </c>
      <c r="N1658" t="s">
        <v>21</v>
      </c>
      <c r="O1658" t="s">
        <v>19</v>
      </c>
      <c r="P1658" t="s">
        <v>20</v>
      </c>
      <c r="Q1658" t="s">
        <v>40</v>
      </c>
    </row>
    <row r="1659" spans="1:17" x14ac:dyDescent="0.35">
      <c r="A1659">
        <v>1659</v>
      </c>
      <c r="B1659">
        <v>18</v>
      </c>
      <c r="C1659" t="s">
        <v>27</v>
      </c>
      <c r="D1659">
        <v>164</v>
      </c>
      <c r="E1659">
        <v>82</v>
      </c>
      <c r="F1659" s="3">
        <v>20.180479874849301</v>
      </c>
      <c r="G1659" s="3" t="str">
        <f t="shared" si="25"/>
        <v>Normal Weight</v>
      </c>
      <c r="H1659" t="s">
        <v>1133</v>
      </c>
      <c r="I1659" t="s">
        <v>18</v>
      </c>
      <c r="J1659" t="s">
        <v>19</v>
      </c>
      <c r="K1659" t="s">
        <v>18</v>
      </c>
      <c r="L1659" t="s">
        <v>38</v>
      </c>
      <c r="M1659" t="s">
        <v>20</v>
      </c>
      <c r="N1659" t="s">
        <v>21</v>
      </c>
      <c r="O1659" t="s">
        <v>20</v>
      </c>
      <c r="P1659" t="s">
        <v>20</v>
      </c>
      <c r="Q1659" t="s">
        <v>22</v>
      </c>
    </row>
    <row r="1660" spans="1:17" x14ac:dyDescent="0.35">
      <c r="A1660">
        <v>14</v>
      </c>
      <c r="B1660">
        <v>28</v>
      </c>
      <c r="C1660" t="s">
        <v>16</v>
      </c>
      <c r="D1660">
        <v>183</v>
      </c>
      <c r="E1660">
        <v>61</v>
      </c>
      <c r="F1660" s="3">
        <v>25.5472332484456</v>
      </c>
      <c r="G1660" s="3" t="str">
        <f t="shared" si="25"/>
        <v>Overweight</v>
      </c>
      <c r="H1660" t="s">
        <v>43</v>
      </c>
      <c r="I1660" t="s">
        <v>31</v>
      </c>
      <c r="J1660" t="s">
        <v>20</v>
      </c>
      <c r="K1660" t="s">
        <v>22</v>
      </c>
      <c r="L1660" t="s">
        <v>38</v>
      </c>
      <c r="M1660" t="s">
        <v>19</v>
      </c>
      <c r="N1660" t="s">
        <v>21</v>
      </c>
      <c r="O1660" t="s">
        <v>20</v>
      </c>
      <c r="P1660" t="s">
        <v>20</v>
      </c>
      <c r="Q1660" t="s">
        <v>40</v>
      </c>
    </row>
    <row r="1661" spans="1:17" x14ac:dyDescent="0.35">
      <c r="A1661">
        <v>141</v>
      </c>
      <c r="B1661">
        <v>28</v>
      </c>
      <c r="C1661" t="s">
        <v>16</v>
      </c>
      <c r="D1661">
        <v>152</v>
      </c>
      <c r="E1661">
        <v>50</v>
      </c>
      <c r="F1661" s="3">
        <v>32.425892287043403</v>
      </c>
      <c r="G1661" s="3" t="str">
        <f t="shared" si="25"/>
        <v>Obese</v>
      </c>
      <c r="H1661" t="s">
        <v>165</v>
      </c>
      <c r="I1661" t="s">
        <v>18</v>
      </c>
      <c r="J1661" t="s">
        <v>19</v>
      </c>
      <c r="K1661" t="s">
        <v>22</v>
      </c>
      <c r="L1661" t="s">
        <v>14</v>
      </c>
      <c r="M1661" t="s">
        <v>20</v>
      </c>
      <c r="N1661" t="s">
        <v>21</v>
      </c>
      <c r="O1661" t="s">
        <v>19</v>
      </c>
      <c r="P1661" t="s">
        <v>20</v>
      </c>
      <c r="Q1661" t="s">
        <v>40</v>
      </c>
    </row>
    <row r="1662" spans="1:17" x14ac:dyDescent="0.35">
      <c r="A1662">
        <v>231</v>
      </c>
      <c r="B1662">
        <v>28</v>
      </c>
      <c r="C1662" t="s">
        <v>27</v>
      </c>
      <c r="D1662">
        <v>185</v>
      </c>
      <c r="E1662">
        <v>87</v>
      </c>
      <c r="F1662" s="3">
        <v>29.664184353616299</v>
      </c>
      <c r="G1662" s="3" t="str">
        <f t="shared" si="25"/>
        <v>Overweight</v>
      </c>
      <c r="H1662" t="s">
        <v>246</v>
      </c>
      <c r="I1662" t="s">
        <v>18</v>
      </c>
      <c r="J1662" t="s">
        <v>20</v>
      </c>
      <c r="K1662" t="s">
        <v>22</v>
      </c>
      <c r="L1662" t="s">
        <v>29</v>
      </c>
      <c r="M1662" t="s">
        <v>19</v>
      </c>
      <c r="N1662" t="s">
        <v>21</v>
      </c>
      <c r="O1662" t="s">
        <v>19</v>
      </c>
      <c r="P1662" t="s">
        <v>20</v>
      </c>
      <c r="Q1662" t="s">
        <v>18</v>
      </c>
    </row>
    <row r="1663" spans="1:17" x14ac:dyDescent="0.35">
      <c r="A1663">
        <v>306</v>
      </c>
      <c r="B1663">
        <v>28</v>
      </c>
      <c r="C1663" t="s">
        <v>27</v>
      </c>
      <c r="D1663">
        <v>167</v>
      </c>
      <c r="E1663">
        <v>85</v>
      </c>
      <c r="F1663" s="3">
        <v>32.136666056621003</v>
      </c>
      <c r="G1663" s="3" t="str">
        <f t="shared" si="25"/>
        <v>Obese</v>
      </c>
      <c r="H1663" t="s">
        <v>313</v>
      </c>
      <c r="I1663" t="s">
        <v>31</v>
      </c>
      <c r="J1663" t="s">
        <v>19</v>
      </c>
      <c r="K1663" t="s">
        <v>22</v>
      </c>
      <c r="L1663" t="s">
        <v>14</v>
      </c>
      <c r="M1663" t="s">
        <v>20</v>
      </c>
      <c r="N1663" t="s">
        <v>25</v>
      </c>
      <c r="O1663" t="s">
        <v>20</v>
      </c>
      <c r="P1663" t="s">
        <v>19</v>
      </c>
      <c r="Q1663" t="s">
        <v>18</v>
      </c>
    </row>
    <row r="1664" spans="1:17" x14ac:dyDescent="0.35">
      <c r="A1664">
        <v>317</v>
      </c>
      <c r="B1664">
        <v>28</v>
      </c>
      <c r="C1664" t="s">
        <v>27</v>
      </c>
      <c r="D1664">
        <v>189</v>
      </c>
      <c r="E1664">
        <v>77</v>
      </c>
      <c r="F1664" s="3">
        <v>23.414680073438401</v>
      </c>
      <c r="G1664" s="3" t="str">
        <f t="shared" si="25"/>
        <v>Normal Weight</v>
      </c>
      <c r="H1664" t="s">
        <v>322</v>
      </c>
      <c r="I1664" t="s">
        <v>24</v>
      </c>
      <c r="J1664" t="s">
        <v>19</v>
      </c>
      <c r="K1664" t="s">
        <v>22</v>
      </c>
      <c r="L1664" t="s">
        <v>32</v>
      </c>
      <c r="M1664" t="s">
        <v>20</v>
      </c>
      <c r="N1664" t="s">
        <v>25</v>
      </c>
      <c r="O1664" t="s">
        <v>20</v>
      </c>
      <c r="P1664" t="s">
        <v>20</v>
      </c>
      <c r="Q1664" t="s">
        <v>40</v>
      </c>
    </row>
    <row r="1665" spans="1:17" x14ac:dyDescent="0.35">
      <c r="A1665">
        <v>347</v>
      </c>
      <c r="B1665">
        <v>28</v>
      </c>
      <c r="C1665" t="s">
        <v>27</v>
      </c>
      <c r="D1665">
        <v>157</v>
      </c>
      <c r="E1665">
        <v>67</v>
      </c>
      <c r="F1665" s="3">
        <v>31.071183257228402</v>
      </c>
      <c r="G1665" s="3" t="str">
        <f t="shared" si="25"/>
        <v>Obese</v>
      </c>
      <c r="H1665" t="s">
        <v>349</v>
      </c>
      <c r="I1665" t="s">
        <v>18</v>
      </c>
      <c r="J1665" t="s">
        <v>20</v>
      </c>
      <c r="K1665" t="s">
        <v>22</v>
      </c>
      <c r="L1665" t="s">
        <v>32</v>
      </c>
      <c r="M1665" t="s">
        <v>19</v>
      </c>
      <c r="N1665" t="s">
        <v>21</v>
      </c>
      <c r="O1665" t="s">
        <v>20</v>
      </c>
      <c r="P1665" t="s">
        <v>20</v>
      </c>
      <c r="Q1665" t="s">
        <v>22</v>
      </c>
    </row>
    <row r="1666" spans="1:17" x14ac:dyDescent="0.35">
      <c r="A1666">
        <v>390</v>
      </c>
      <c r="B1666">
        <v>28</v>
      </c>
      <c r="C1666" t="s">
        <v>16</v>
      </c>
      <c r="D1666">
        <v>152</v>
      </c>
      <c r="E1666">
        <v>71</v>
      </c>
      <c r="F1666" s="3">
        <v>27.369412370065699</v>
      </c>
      <c r="G1666" s="3" t="str">
        <f t="shared" si="25"/>
        <v>Overweight</v>
      </c>
      <c r="H1666" t="s">
        <v>384</v>
      </c>
      <c r="I1666" t="s">
        <v>24</v>
      </c>
      <c r="J1666" t="s">
        <v>19</v>
      </c>
      <c r="K1666" t="s">
        <v>22</v>
      </c>
      <c r="L1666" t="s">
        <v>32</v>
      </c>
      <c r="M1666" t="s">
        <v>20</v>
      </c>
      <c r="N1666" t="s">
        <v>21</v>
      </c>
      <c r="O1666" t="s">
        <v>19</v>
      </c>
      <c r="P1666" t="s">
        <v>19</v>
      </c>
      <c r="Q1666" t="s">
        <v>40</v>
      </c>
    </row>
    <row r="1667" spans="1:17" x14ac:dyDescent="0.35">
      <c r="A1667">
        <v>735</v>
      </c>
      <c r="B1667">
        <v>28</v>
      </c>
      <c r="C1667" t="s">
        <v>27</v>
      </c>
      <c r="D1667">
        <v>159</v>
      </c>
      <c r="E1667">
        <v>55</v>
      </c>
      <c r="F1667" s="3">
        <v>22.342505911504901</v>
      </c>
      <c r="G1667" s="3" t="str">
        <f t="shared" ref="G1667:G1730" si="26">_xlfn.IFS(F1667&lt;18.5, "Underweight", F1667&lt;=24.9, "Normal Weight", F1667&lt;=29.9, "Overweight", TRUE, "Obese")</f>
        <v>Normal Weight</v>
      </c>
      <c r="H1667" t="s">
        <v>468</v>
      </c>
      <c r="I1667" t="s">
        <v>31</v>
      </c>
      <c r="J1667" t="s">
        <v>19</v>
      </c>
      <c r="K1667" t="s">
        <v>22</v>
      </c>
      <c r="L1667" t="s">
        <v>14</v>
      </c>
      <c r="M1667" t="s">
        <v>20</v>
      </c>
      <c r="N1667" t="s">
        <v>21</v>
      </c>
      <c r="O1667" t="s">
        <v>20</v>
      </c>
      <c r="P1667" t="s">
        <v>20</v>
      </c>
      <c r="Q1667" t="s">
        <v>22</v>
      </c>
    </row>
    <row r="1668" spans="1:17" x14ac:dyDescent="0.35">
      <c r="A1668">
        <v>1660</v>
      </c>
      <c r="B1668">
        <v>31</v>
      </c>
      <c r="C1668" t="s">
        <v>16</v>
      </c>
      <c r="D1668">
        <v>154</v>
      </c>
      <c r="E1668">
        <v>50</v>
      </c>
      <c r="F1668" s="3">
        <v>30.520149908482701</v>
      </c>
      <c r="G1668" s="3" t="str">
        <f t="shared" si="26"/>
        <v>Obese</v>
      </c>
      <c r="H1668" t="s">
        <v>587</v>
      </c>
      <c r="I1668" t="s">
        <v>18</v>
      </c>
      <c r="J1668" t="s">
        <v>19</v>
      </c>
      <c r="K1668" t="s">
        <v>18</v>
      </c>
      <c r="L1668" t="s">
        <v>29</v>
      </c>
      <c r="M1668" t="s">
        <v>19</v>
      </c>
      <c r="N1668" t="s">
        <v>21</v>
      </c>
      <c r="O1668" t="s">
        <v>20</v>
      </c>
      <c r="P1668" t="s">
        <v>19</v>
      </c>
      <c r="Q1668" t="s">
        <v>40</v>
      </c>
    </row>
    <row r="1669" spans="1:17" x14ac:dyDescent="0.35">
      <c r="A1669">
        <v>1661</v>
      </c>
      <c r="B1669">
        <v>68</v>
      </c>
      <c r="C1669" t="s">
        <v>16</v>
      </c>
      <c r="D1669">
        <v>155</v>
      </c>
      <c r="E1669">
        <v>73</v>
      </c>
      <c r="F1669" s="3">
        <v>21.7945506776706</v>
      </c>
      <c r="G1669" s="3" t="str">
        <f t="shared" si="26"/>
        <v>Normal Weight</v>
      </c>
      <c r="H1669" t="s">
        <v>1134</v>
      </c>
      <c r="I1669" t="s">
        <v>24</v>
      </c>
      <c r="J1669" t="s">
        <v>20</v>
      </c>
      <c r="K1669" t="s">
        <v>18</v>
      </c>
      <c r="L1669" t="s">
        <v>38</v>
      </c>
      <c r="M1669" t="s">
        <v>19</v>
      </c>
      <c r="N1669" t="s">
        <v>21</v>
      </c>
      <c r="O1669" t="s">
        <v>20</v>
      </c>
      <c r="P1669" t="s">
        <v>19</v>
      </c>
      <c r="Q1669" t="s">
        <v>22</v>
      </c>
    </row>
    <row r="1670" spans="1:17" x14ac:dyDescent="0.35">
      <c r="A1670">
        <v>1662</v>
      </c>
      <c r="B1670">
        <v>64</v>
      </c>
      <c r="C1670" t="s">
        <v>27</v>
      </c>
      <c r="D1670">
        <v>174</v>
      </c>
      <c r="E1670">
        <v>53</v>
      </c>
      <c r="F1670" s="3">
        <v>24.625970188338901</v>
      </c>
      <c r="G1670" s="3" t="str">
        <f t="shared" si="26"/>
        <v>Normal Weight</v>
      </c>
      <c r="H1670" t="s">
        <v>1038</v>
      </c>
      <c r="I1670" t="s">
        <v>18</v>
      </c>
      <c r="J1670" t="s">
        <v>20</v>
      </c>
      <c r="K1670" t="s">
        <v>18</v>
      </c>
      <c r="L1670" t="s">
        <v>32</v>
      </c>
      <c r="M1670" t="s">
        <v>19</v>
      </c>
      <c r="N1670" t="s">
        <v>25</v>
      </c>
      <c r="O1670" t="s">
        <v>19</v>
      </c>
      <c r="P1670" t="s">
        <v>19</v>
      </c>
      <c r="Q1670" t="s">
        <v>40</v>
      </c>
    </row>
    <row r="1671" spans="1:17" x14ac:dyDescent="0.35">
      <c r="A1671">
        <v>1663</v>
      </c>
      <c r="B1671">
        <v>67</v>
      </c>
      <c r="C1671" t="s">
        <v>27</v>
      </c>
      <c r="D1671">
        <v>189</v>
      </c>
      <c r="E1671">
        <v>53</v>
      </c>
      <c r="F1671" s="3">
        <v>26.778036239106001</v>
      </c>
      <c r="G1671" s="3" t="str">
        <f t="shared" si="26"/>
        <v>Overweight</v>
      </c>
      <c r="H1671" t="s">
        <v>375</v>
      </c>
      <c r="I1671" t="s">
        <v>18</v>
      </c>
      <c r="J1671" t="s">
        <v>19</v>
      </c>
      <c r="K1671" t="s">
        <v>18</v>
      </c>
      <c r="L1671" t="s">
        <v>38</v>
      </c>
      <c r="M1671" t="s">
        <v>20</v>
      </c>
      <c r="N1671" t="s">
        <v>21</v>
      </c>
      <c r="O1671" t="s">
        <v>19</v>
      </c>
      <c r="P1671" t="s">
        <v>19</v>
      </c>
      <c r="Q1671" t="s">
        <v>22</v>
      </c>
    </row>
    <row r="1672" spans="1:17" x14ac:dyDescent="0.35">
      <c r="A1672">
        <v>1665</v>
      </c>
      <c r="B1672">
        <v>71</v>
      </c>
      <c r="C1672" t="s">
        <v>16</v>
      </c>
      <c r="D1672">
        <v>156</v>
      </c>
      <c r="E1672">
        <v>76</v>
      </c>
      <c r="F1672" s="3">
        <v>20.368315183775501</v>
      </c>
      <c r="G1672" s="3" t="str">
        <f t="shared" si="26"/>
        <v>Normal Weight</v>
      </c>
      <c r="H1672" t="s">
        <v>1125</v>
      </c>
      <c r="I1672" t="s">
        <v>18</v>
      </c>
      <c r="J1672" t="s">
        <v>20</v>
      </c>
      <c r="K1672" t="s">
        <v>40</v>
      </c>
      <c r="L1672" t="s">
        <v>38</v>
      </c>
      <c r="M1672" t="s">
        <v>19</v>
      </c>
      <c r="N1672" t="s">
        <v>21</v>
      </c>
      <c r="O1672" t="s">
        <v>20</v>
      </c>
      <c r="P1672" t="s">
        <v>20</v>
      </c>
      <c r="Q1672" t="s">
        <v>18</v>
      </c>
    </row>
    <row r="1673" spans="1:17" x14ac:dyDescent="0.35">
      <c r="A1673">
        <v>1669</v>
      </c>
      <c r="B1673">
        <v>47</v>
      </c>
      <c r="C1673" t="s">
        <v>16</v>
      </c>
      <c r="D1673">
        <v>167</v>
      </c>
      <c r="E1673">
        <v>77</v>
      </c>
      <c r="F1673" s="3">
        <v>32.002950583020997</v>
      </c>
      <c r="G1673" s="3" t="str">
        <f t="shared" si="26"/>
        <v>Obese</v>
      </c>
      <c r="H1673" t="s">
        <v>1139</v>
      </c>
      <c r="I1673" t="s">
        <v>18</v>
      </c>
      <c r="J1673" t="s">
        <v>19</v>
      </c>
      <c r="K1673" t="s">
        <v>18</v>
      </c>
      <c r="L1673" t="s">
        <v>32</v>
      </c>
      <c r="M1673" t="s">
        <v>19</v>
      </c>
      <c r="N1673" t="s">
        <v>21</v>
      </c>
      <c r="O1673" t="s">
        <v>20</v>
      </c>
      <c r="P1673" t="s">
        <v>19</v>
      </c>
      <c r="Q1673" t="s">
        <v>40</v>
      </c>
    </row>
    <row r="1674" spans="1:17" x14ac:dyDescent="0.35">
      <c r="A1674">
        <v>1670</v>
      </c>
      <c r="B1674">
        <v>55</v>
      </c>
      <c r="C1674" t="s">
        <v>16</v>
      </c>
      <c r="D1674">
        <v>151</v>
      </c>
      <c r="E1674">
        <v>91</v>
      </c>
      <c r="F1674" s="3">
        <v>21.332690218212999</v>
      </c>
      <c r="G1674" s="3" t="str">
        <f t="shared" si="26"/>
        <v>Normal Weight</v>
      </c>
      <c r="H1674" t="s">
        <v>1140</v>
      </c>
      <c r="I1674" t="s">
        <v>18</v>
      </c>
      <c r="J1674" t="s">
        <v>20</v>
      </c>
      <c r="K1674" t="s">
        <v>18</v>
      </c>
      <c r="L1674" t="s">
        <v>38</v>
      </c>
      <c r="M1674" t="s">
        <v>19</v>
      </c>
      <c r="N1674" t="s">
        <v>21</v>
      </c>
      <c r="O1674" t="s">
        <v>19</v>
      </c>
      <c r="P1674" t="s">
        <v>19</v>
      </c>
      <c r="Q1674" t="s">
        <v>18</v>
      </c>
    </row>
    <row r="1675" spans="1:17" x14ac:dyDescent="0.35">
      <c r="A1675">
        <v>1289</v>
      </c>
      <c r="B1675">
        <v>28</v>
      </c>
      <c r="C1675" t="s">
        <v>16</v>
      </c>
      <c r="D1675">
        <v>155</v>
      </c>
      <c r="E1675">
        <v>55</v>
      </c>
      <c r="F1675" s="3">
        <v>30.9892929445957</v>
      </c>
      <c r="G1675" s="3" t="str">
        <f t="shared" si="26"/>
        <v>Obese</v>
      </c>
      <c r="H1675" t="s">
        <v>724</v>
      </c>
      <c r="I1675" t="s">
        <v>24</v>
      </c>
      <c r="J1675" t="s">
        <v>19</v>
      </c>
      <c r="K1675" t="s">
        <v>22</v>
      </c>
      <c r="L1675" t="s">
        <v>14</v>
      </c>
      <c r="M1675" t="s">
        <v>19</v>
      </c>
      <c r="N1675" t="s">
        <v>21</v>
      </c>
      <c r="O1675" t="s">
        <v>20</v>
      </c>
      <c r="P1675" t="s">
        <v>20</v>
      </c>
      <c r="Q1675" t="s">
        <v>18</v>
      </c>
    </row>
    <row r="1676" spans="1:17" x14ac:dyDescent="0.35">
      <c r="A1676">
        <v>1672</v>
      </c>
      <c r="B1676">
        <v>21</v>
      </c>
      <c r="C1676" t="s">
        <v>16</v>
      </c>
      <c r="D1676">
        <v>160</v>
      </c>
      <c r="E1676">
        <v>85</v>
      </c>
      <c r="F1676" s="3">
        <v>29.932494056994699</v>
      </c>
      <c r="G1676" s="3" t="str">
        <f t="shared" si="26"/>
        <v>Obese</v>
      </c>
      <c r="H1676" t="s">
        <v>1141</v>
      </c>
      <c r="I1676" t="s">
        <v>24</v>
      </c>
      <c r="J1676" t="s">
        <v>20</v>
      </c>
      <c r="K1676" t="s">
        <v>18</v>
      </c>
      <c r="L1676" t="s">
        <v>38</v>
      </c>
      <c r="M1676" t="s">
        <v>20</v>
      </c>
      <c r="N1676" t="s">
        <v>21</v>
      </c>
      <c r="O1676" t="s">
        <v>19</v>
      </c>
      <c r="P1676" t="s">
        <v>20</v>
      </c>
      <c r="Q1676" t="s">
        <v>40</v>
      </c>
    </row>
    <row r="1677" spans="1:17" x14ac:dyDescent="0.35">
      <c r="A1677">
        <v>1673</v>
      </c>
      <c r="B1677">
        <v>18</v>
      </c>
      <c r="C1677" t="s">
        <v>27</v>
      </c>
      <c r="D1677">
        <v>182</v>
      </c>
      <c r="E1677">
        <v>55</v>
      </c>
      <c r="F1677" s="3">
        <v>27.6718684342828</v>
      </c>
      <c r="G1677" s="3" t="str">
        <f t="shared" si="26"/>
        <v>Overweight</v>
      </c>
      <c r="H1677" t="s">
        <v>1142</v>
      </c>
      <c r="I1677" t="s">
        <v>24</v>
      </c>
      <c r="J1677" t="s">
        <v>20</v>
      </c>
      <c r="K1677" t="s">
        <v>18</v>
      </c>
      <c r="L1677" t="s">
        <v>32</v>
      </c>
      <c r="M1677" t="s">
        <v>19</v>
      </c>
      <c r="N1677" t="s">
        <v>25</v>
      </c>
      <c r="O1677" t="s">
        <v>20</v>
      </c>
      <c r="P1677" t="s">
        <v>19</v>
      </c>
      <c r="Q1677" t="s">
        <v>40</v>
      </c>
    </row>
    <row r="1678" spans="1:17" x14ac:dyDescent="0.35">
      <c r="A1678">
        <v>1675</v>
      </c>
      <c r="B1678">
        <v>46</v>
      </c>
      <c r="C1678" t="s">
        <v>16</v>
      </c>
      <c r="D1678">
        <v>176</v>
      </c>
      <c r="E1678">
        <v>83</v>
      </c>
      <c r="F1678" s="3">
        <v>25.298292692702301</v>
      </c>
      <c r="G1678" s="3" t="str">
        <f t="shared" si="26"/>
        <v>Overweight</v>
      </c>
      <c r="H1678" t="s">
        <v>134</v>
      </c>
      <c r="I1678" t="s">
        <v>31</v>
      </c>
      <c r="J1678" t="s">
        <v>19</v>
      </c>
      <c r="K1678" t="s">
        <v>18</v>
      </c>
      <c r="L1678" t="s">
        <v>32</v>
      </c>
      <c r="M1678" t="s">
        <v>19</v>
      </c>
      <c r="N1678" t="s">
        <v>25</v>
      </c>
      <c r="O1678" t="s">
        <v>19</v>
      </c>
      <c r="P1678" t="s">
        <v>19</v>
      </c>
      <c r="Q1678" t="s">
        <v>18</v>
      </c>
    </row>
    <row r="1679" spans="1:17" x14ac:dyDescent="0.35">
      <c r="A1679">
        <v>1680</v>
      </c>
      <c r="B1679">
        <v>27</v>
      </c>
      <c r="C1679" t="s">
        <v>16</v>
      </c>
      <c r="D1679">
        <v>181</v>
      </c>
      <c r="E1679">
        <v>98</v>
      </c>
      <c r="F1679" s="3">
        <v>24.076979886970001</v>
      </c>
      <c r="G1679" s="3" t="str">
        <f t="shared" si="26"/>
        <v>Normal Weight</v>
      </c>
      <c r="H1679" t="s">
        <v>612</v>
      </c>
      <c r="I1679" t="s">
        <v>24</v>
      </c>
      <c r="J1679" t="s">
        <v>19</v>
      </c>
      <c r="K1679" t="s">
        <v>18</v>
      </c>
      <c r="L1679" t="s">
        <v>32</v>
      </c>
      <c r="M1679" t="s">
        <v>20</v>
      </c>
      <c r="N1679" t="s">
        <v>25</v>
      </c>
      <c r="O1679" t="s">
        <v>19</v>
      </c>
      <c r="P1679" t="s">
        <v>19</v>
      </c>
      <c r="Q1679" t="s">
        <v>18</v>
      </c>
    </row>
    <row r="1680" spans="1:17" x14ac:dyDescent="0.35">
      <c r="A1680">
        <v>1389</v>
      </c>
      <c r="B1680">
        <v>28</v>
      </c>
      <c r="C1680" t="s">
        <v>16</v>
      </c>
      <c r="D1680">
        <v>153</v>
      </c>
      <c r="E1680">
        <v>54</v>
      </c>
      <c r="F1680" s="3">
        <v>25.392191355054099</v>
      </c>
      <c r="G1680" s="3" t="str">
        <f t="shared" si="26"/>
        <v>Overweight</v>
      </c>
      <c r="H1680" t="s">
        <v>1021</v>
      </c>
      <c r="I1680" t="s">
        <v>18</v>
      </c>
      <c r="J1680" t="s">
        <v>19</v>
      </c>
      <c r="K1680" t="s">
        <v>22</v>
      </c>
      <c r="L1680" t="s">
        <v>32</v>
      </c>
      <c r="M1680" t="s">
        <v>20</v>
      </c>
      <c r="N1680" t="s">
        <v>21</v>
      </c>
      <c r="O1680" t="s">
        <v>20</v>
      </c>
      <c r="P1680" t="s">
        <v>20</v>
      </c>
      <c r="Q1680" t="s">
        <v>40</v>
      </c>
    </row>
    <row r="1681" spans="1:17" x14ac:dyDescent="0.35">
      <c r="A1681">
        <v>1682</v>
      </c>
      <c r="B1681">
        <v>36</v>
      </c>
      <c r="C1681" t="s">
        <v>16</v>
      </c>
      <c r="D1681">
        <v>152</v>
      </c>
      <c r="E1681">
        <v>67</v>
      </c>
      <c r="F1681" s="3">
        <v>28.191602831497001</v>
      </c>
      <c r="G1681" s="3" t="str">
        <f t="shared" si="26"/>
        <v>Overweight</v>
      </c>
      <c r="H1681" t="s">
        <v>535</v>
      </c>
      <c r="I1681" t="s">
        <v>31</v>
      </c>
      <c r="J1681" t="s">
        <v>20</v>
      </c>
      <c r="K1681" t="s">
        <v>18</v>
      </c>
      <c r="L1681" t="s">
        <v>14</v>
      </c>
      <c r="M1681" t="s">
        <v>19</v>
      </c>
      <c r="N1681" t="s">
        <v>21</v>
      </c>
      <c r="O1681" t="s">
        <v>20</v>
      </c>
      <c r="P1681" t="s">
        <v>19</v>
      </c>
      <c r="Q1681" t="s">
        <v>22</v>
      </c>
    </row>
    <row r="1682" spans="1:17" x14ac:dyDescent="0.35">
      <c r="A1682">
        <v>1514</v>
      </c>
      <c r="B1682">
        <v>28</v>
      </c>
      <c r="C1682" t="s">
        <v>27</v>
      </c>
      <c r="D1682">
        <v>181</v>
      </c>
      <c r="E1682">
        <v>88</v>
      </c>
      <c r="F1682" s="3">
        <v>31.144796129196902</v>
      </c>
      <c r="G1682" s="3" t="str">
        <f t="shared" si="26"/>
        <v>Obese</v>
      </c>
      <c r="H1682" t="s">
        <v>1079</v>
      </c>
      <c r="I1682" t="s">
        <v>24</v>
      </c>
      <c r="J1682" t="s">
        <v>19</v>
      </c>
      <c r="K1682" t="s">
        <v>22</v>
      </c>
      <c r="L1682" t="s">
        <v>38</v>
      </c>
      <c r="M1682" t="s">
        <v>20</v>
      </c>
      <c r="N1682" t="s">
        <v>25</v>
      </c>
      <c r="O1682" t="s">
        <v>20</v>
      </c>
      <c r="P1682" t="s">
        <v>20</v>
      </c>
      <c r="Q1682" t="s">
        <v>22</v>
      </c>
    </row>
    <row r="1683" spans="1:17" x14ac:dyDescent="0.35">
      <c r="A1683">
        <v>1683</v>
      </c>
      <c r="B1683">
        <v>63</v>
      </c>
      <c r="C1683" t="s">
        <v>16</v>
      </c>
      <c r="D1683">
        <v>176</v>
      </c>
      <c r="E1683">
        <v>62</v>
      </c>
      <c r="F1683" s="3">
        <v>19.909140990799401</v>
      </c>
      <c r="G1683" s="3" t="str">
        <f t="shared" si="26"/>
        <v>Normal Weight</v>
      </c>
      <c r="H1683" t="s">
        <v>1146</v>
      </c>
      <c r="I1683" t="s">
        <v>24</v>
      </c>
      <c r="J1683" t="s">
        <v>19</v>
      </c>
      <c r="K1683" t="s">
        <v>18</v>
      </c>
      <c r="L1683" t="s">
        <v>29</v>
      </c>
      <c r="M1683" t="s">
        <v>19</v>
      </c>
      <c r="N1683" t="s">
        <v>25</v>
      </c>
      <c r="O1683" t="s">
        <v>20</v>
      </c>
      <c r="P1683" t="s">
        <v>20</v>
      </c>
      <c r="Q1683" t="s">
        <v>40</v>
      </c>
    </row>
    <row r="1684" spans="1:17" x14ac:dyDescent="0.35">
      <c r="A1684">
        <v>1593</v>
      </c>
      <c r="B1684">
        <v>28</v>
      </c>
      <c r="C1684" t="s">
        <v>27</v>
      </c>
      <c r="D1684">
        <v>170</v>
      </c>
      <c r="E1684">
        <v>93</v>
      </c>
      <c r="F1684" s="3">
        <v>20.883201988558699</v>
      </c>
      <c r="G1684" s="3" t="str">
        <f t="shared" si="26"/>
        <v>Normal Weight</v>
      </c>
      <c r="H1684" t="s">
        <v>673</v>
      </c>
      <c r="I1684" t="s">
        <v>24</v>
      </c>
      <c r="J1684" t="s">
        <v>20</v>
      </c>
      <c r="K1684" t="s">
        <v>22</v>
      </c>
      <c r="L1684" t="s">
        <v>32</v>
      </c>
      <c r="M1684" t="s">
        <v>20</v>
      </c>
      <c r="N1684" t="s">
        <v>25</v>
      </c>
      <c r="O1684" t="s">
        <v>20</v>
      </c>
      <c r="P1684" t="s">
        <v>19</v>
      </c>
      <c r="Q1684" t="s">
        <v>40</v>
      </c>
    </row>
    <row r="1685" spans="1:17" x14ac:dyDescent="0.35">
      <c r="A1685">
        <v>1753</v>
      </c>
      <c r="B1685">
        <v>28</v>
      </c>
      <c r="C1685" t="s">
        <v>27</v>
      </c>
      <c r="D1685">
        <v>164</v>
      </c>
      <c r="E1685">
        <v>95</v>
      </c>
      <c r="F1685" s="3">
        <v>29.414192387840199</v>
      </c>
      <c r="G1685" s="3" t="str">
        <f t="shared" si="26"/>
        <v>Overweight</v>
      </c>
      <c r="H1685" t="s">
        <v>1182</v>
      </c>
      <c r="I1685" t="s">
        <v>18</v>
      </c>
      <c r="J1685" t="s">
        <v>19</v>
      </c>
      <c r="K1685" t="s">
        <v>22</v>
      </c>
      <c r="L1685" t="s">
        <v>38</v>
      </c>
      <c r="M1685" t="s">
        <v>19</v>
      </c>
      <c r="N1685" t="s">
        <v>21</v>
      </c>
      <c r="O1685" t="s">
        <v>19</v>
      </c>
      <c r="P1685" t="s">
        <v>20</v>
      </c>
      <c r="Q1685" t="s">
        <v>18</v>
      </c>
    </row>
    <row r="1686" spans="1:17" x14ac:dyDescent="0.35">
      <c r="A1686">
        <v>1684</v>
      </c>
      <c r="B1686">
        <v>51</v>
      </c>
      <c r="C1686" t="s">
        <v>16</v>
      </c>
      <c r="D1686">
        <v>184</v>
      </c>
      <c r="E1686">
        <v>98</v>
      </c>
      <c r="F1686" s="3">
        <v>25.921765846623</v>
      </c>
      <c r="G1686" s="3" t="str">
        <f t="shared" si="26"/>
        <v>Overweight</v>
      </c>
      <c r="H1686" t="s">
        <v>1147</v>
      </c>
      <c r="I1686" t="s">
        <v>31</v>
      </c>
      <c r="J1686" t="s">
        <v>20</v>
      </c>
      <c r="K1686" t="s">
        <v>18</v>
      </c>
      <c r="L1686" t="s">
        <v>38</v>
      </c>
      <c r="M1686" t="s">
        <v>19</v>
      </c>
      <c r="N1686" t="s">
        <v>25</v>
      </c>
      <c r="O1686" t="s">
        <v>20</v>
      </c>
      <c r="P1686" t="s">
        <v>19</v>
      </c>
      <c r="Q1686" t="s">
        <v>18</v>
      </c>
    </row>
    <row r="1687" spans="1:17" x14ac:dyDescent="0.35">
      <c r="A1687">
        <v>1685</v>
      </c>
      <c r="B1687">
        <v>77</v>
      </c>
      <c r="C1687" t="s">
        <v>16</v>
      </c>
      <c r="D1687">
        <v>180</v>
      </c>
      <c r="E1687">
        <v>86</v>
      </c>
      <c r="F1687" s="3">
        <v>30.979874903269899</v>
      </c>
      <c r="G1687" s="3" t="str">
        <f t="shared" si="26"/>
        <v>Obese</v>
      </c>
      <c r="H1687" t="s">
        <v>121</v>
      </c>
      <c r="I1687" t="s">
        <v>31</v>
      </c>
      <c r="J1687" t="s">
        <v>19</v>
      </c>
      <c r="K1687" t="s">
        <v>40</v>
      </c>
      <c r="L1687" t="s">
        <v>32</v>
      </c>
      <c r="M1687" t="s">
        <v>20</v>
      </c>
      <c r="N1687" t="s">
        <v>25</v>
      </c>
      <c r="O1687" t="s">
        <v>20</v>
      </c>
      <c r="P1687" t="s">
        <v>19</v>
      </c>
      <c r="Q1687" t="s">
        <v>22</v>
      </c>
    </row>
    <row r="1688" spans="1:17" x14ac:dyDescent="0.35">
      <c r="A1688">
        <v>1862</v>
      </c>
      <c r="B1688">
        <v>28</v>
      </c>
      <c r="C1688" t="s">
        <v>27</v>
      </c>
      <c r="D1688">
        <v>187</v>
      </c>
      <c r="E1688">
        <v>88</v>
      </c>
      <c r="F1688" s="3">
        <v>33.886315226106802</v>
      </c>
      <c r="G1688" s="3" t="str">
        <f t="shared" si="26"/>
        <v>Obese</v>
      </c>
      <c r="H1688" t="s">
        <v>1222</v>
      </c>
      <c r="I1688" t="s">
        <v>18</v>
      </c>
      <c r="J1688" t="s">
        <v>19</v>
      </c>
      <c r="K1688" t="s">
        <v>22</v>
      </c>
      <c r="L1688" t="s">
        <v>32</v>
      </c>
      <c r="M1688" t="s">
        <v>19</v>
      </c>
      <c r="N1688" t="s">
        <v>25</v>
      </c>
      <c r="O1688" t="s">
        <v>20</v>
      </c>
      <c r="P1688" t="s">
        <v>20</v>
      </c>
      <c r="Q1688" t="s">
        <v>40</v>
      </c>
    </row>
    <row r="1689" spans="1:17" x14ac:dyDescent="0.35">
      <c r="A1689">
        <v>1691</v>
      </c>
      <c r="B1689">
        <v>67</v>
      </c>
      <c r="C1689" t="s">
        <v>16</v>
      </c>
      <c r="D1689">
        <v>170</v>
      </c>
      <c r="E1689">
        <v>67</v>
      </c>
      <c r="F1689" s="3">
        <v>33.326849024387997</v>
      </c>
      <c r="G1689" s="3" t="str">
        <f t="shared" si="26"/>
        <v>Obese</v>
      </c>
      <c r="H1689" t="s">
        <v>1150</v>
      </c>
      <c r="I1689" t="s">
        <v>24</v>
      </c>
      <c r="J1689" t="s">
        <v>19</v>
      </c>
      <c r="K1689" t="s">
        <v>18</v>
      </c>
      <c r="L1689" t="s">
        <v>14</v>
      </c>
      <c r="M1689" t="s">
        <v>20</v>
      </c>
      <c r="N1689" t="s">
        <v>21</v>
      </c>
      <c r="O1689" t="s">
        <v>19</v>
      </c>
      <c r="P1689" t="s">
        <v>20</v>
      </c>
      <c r="Q1689" t="s">
        <v>22</v>
      </c>
    </row>
    <row r="1690" spans="1:17" x14ac:dyDescent="0.35">
      <c r="A1690">
        <v>661</v>
      </c>
      <c r="B1690">
        <v>27</v>
      </c>
      <c r="C1690" t="s">
        <v>16</v>
      </c>
      <c r="D1690">
        <v>179</v>
      </c>
      <c r="E1690">
        <v>83</v>
      </c>
      <c r="F1690" s="3">
        <v>32.9724877164277</v>
      </c>
      <c r="G1690" s="3" t="str">
        <f t="shared" si="26"/>
        <v>Obese</v>
      </c>
      <c r="H1690" t="s">
        <v>596</v>
      </c>
      <c r="I1690" t="s">
        <v>18</v>
      </c>
      <c r="J1690" t="s">
        <v>19</v>
      </c>
      <c r="K1690" t="s">
        <v>22</v>
      </c>
      <c r="L1690" t="s">
        <v>32</v>
      </c>
      <c r="M1690" t="s">
        <v>19</v>
      </c>
      <c r="N1690" t="s">
        <v>21</v>
      </c>
      <c r="O1690" t="s">
        <v>20</v>
      </c>
      <c r="P1690" t="s">
        <v>19</v>
      </c>
      <c r="Q1690" t="s">
        <v>18</v>
      </c>
    </row>
    <row r="1691" spans="1:17" x14ac:dyDescent="0.35">
      <c r="A1691">
        <v>1693</v>
      </c>
      <c r="B1691">
        <v>46</v>
      </c>
      <c r="C1691" t="s">
        <v>27</v>
      </c>
      <c r="D1691">
        <v>179</v>
      </c>
      <c r="E1691">
        <v>79</v>
      </c>
      <c r="F1691" s="3">
        <v>29.814260685607199</v>
      </c>
      <c r="G1691" s="3" t="str">
        <f t="shared" si="26"/>
        <v>Overweight</v>
      </c>
      <c r="H1691" t="s">
        <v>363</v>
      </c>
      <c r="I1691" t="s">
        <v>18</v>
      </c>
      <c r="J1691" t="s">
        <v>20</v>
      </c>
      <c r="K1691" t="s">
        <v>18</v>
      </c>
      <c r="L1691" t="s">
        <v>38</v>
      </c>
      <c r="M1691" t="s">
        <v>20</v>
      </c>
      <c r="N1691" t="s">
        <v>21</v>
      </c>
      <c r="O1691" t="s">
        <v>19</v>
      </c>
      <c r="P1691" t="s">
        <v>20</v>
      </c>
      <c r="Q1691" t="s">
        <v>22</v>
      </c>
    </row>
    <row r="1692" spans="1:17" x14ac:dyDescent="0.35">
      <c r="A1692">
        <v>1694</v>
      </c>
      <c r="B1692">
        <v>25</v>
      </c>
      <c r="C1692" t="s">
        <v>16</v>
      </c>
      <c r="D1692">
        <v>184</v>
      </c>
      <c r="E1692">
        <v>83</v>
      </c>
      <c r="F1692" s="3">
        <v>32.673179027516603</v>
      </c>
      <c r="G1692" s="3" t="str">
        <f t="shared" si="26"/>
        <v>Obese</v>
      </c>
      <c r="H1692" t="s">
        <v>501</v>
      </c>
      <c r="I1692" t="s">
        <v>24</v>
      </c>
      <c r="J1692" t="s">
        <v>20</v>
      </c>
      <c r="K1692" t="s">
        <v>18</v>
      </c>
      <c r="L1692" t="s">
        <v>38</v>
      </c>
      <c r="M1692" t="s">
        <v>19</v>
      </c>
      <c r="N1692" t="s">
        <v>21</v>
      </c>
      <c r="O1692" t="s">
        <v>19</v>
      </c>
      <c r="P1692" t="s">
        <v>19</v>
      </c>
      <c r="Q1692" t="s">
        <v>22</v>
      </c>
    </row>
    <row r="1693" spans="1:17" x14ac:dyDescent="0.35">
      <c r="A1693">
        <v>723</v>
      </c>
      <c r="B1693">
        <v>27</v>
      </c>
      <c r="C1693" t="s">
        <v>16</v>
      </c>
      <c r="D1693">
        <v>162</v>
      </c>
      <c r="E1693">
        <v>72</v>
      </c>
      <c r="F1693" s="3">
        <v>30.251633385423101</v>
      </c>
      <c r="G1693" s="3" t="str">
        <f t="shared" si="26"/>
        <v>Obese</v>
      </c>
      <c r="H1693" t="s">
        <v>411</v>
      </c>
      <c r="I1693" t="s">
        <v>18</v>
      </c>
      <c r="J1693" t="s">
        <v>20</v>
      </c>
      <c r="K1693" t="s">
        <v>22</v>
      </c>
      <c r="L1693" t="s">
        <v>38</v>
      </c>
      <c r="M1693" t="s">
        <v>20</v>
      </c>
      <c r="N1693" t="s">
        <v>21</v>
      </c>
      <c r="O1693" t="s">
        <v>19</v>
      </c>
      <c r="P1693" t="s">
        <v>19</v>
      </c>
      <c r="Q1693" t="s">
        <v>18</v>
      </c>
    </row>
    <row r="1694" spans="1:17" x14ac:dyDescent="0.35">
      <c r="A1694">
        <v>1696</v>
      </c>
      <c r="B1694">
        <v>74</v>
      </c>
      <c r="C1694" t="s">
        <v>16</v>
      </c>
      <c r="D1694">
        <v>187</v>
      </c>
      <c r="E1694">
        <v>52</v>
      </c>
      <c r="F1694" s="3">
        <v>32.772417107428303</v>
      </c>
      <c r="G1694" s="3" t="str">
        <f t="shared" si="26"/>
        <v>Obese</v>
      </c>
      <c r="H1694" t="s">
        <v>1153</v>
      </c>
      <c r="I1694" t="s">
        <v>31</v>
      </c>
      <c r="J1694" t="s">
        <v>19</v>
      </c>
      <c r="K1694" t="s">
        <v>40</v>
      </c>
      <c r="L1694" t="s">
        <v>38</v>
      </c>
      <c r="M1694" t="s">
        <v>19</v>
      </c>
      <c r="N1694" t="s">
        <v>21</v>
      </c>
      <c r="O1694" t="s">
        <v>19</v>
      </c>
      <c r="P1694" t="s">
        <v>19</v>
      </c>
      <c r="Q1694" t="s">
        <v>22</v>
      </c>
    </row>
    <row r="1695" spans="1:17" x14ac:dyDescent="0.35">
      <c r="A1695">
        <v>1697</v>
      </c>
      <c r="B1695">
        <v>72</v>
      </c>
      <c r="C1695" t="s">
        <v>16</v>
      </c>
      <c r="D1695">
        <v>180</v>
      </c>
      <c r="E1695">
        <v>56</v>
      </c>
      <c r="F1695" s="3">
        <v>23.790228458078701</v>
      </c>
      <c r="G1695" s="3" t="str">
        <f t="shared" si="26"/>
        <v>Normal Weight</v>
      </c>
      <c r="H1695" t="s">
        <v>1154</v>
      </c>
      <c r="I1695" t="s">
        <v>31</v>
      </c>
      <c r="J1695" t="s">
        <v>20</v>
      </c>
      <c r="K1695" t="s">
        <v>40</v>
      </c>
      <c r="L1695" t="s">
        <v>38</v>
      </c>
      <c r="M1695" t="s">
        <v>19</v>
      </c>
      <c r="N1695" t="s">
        <v>21</v>
      </c>
      <c r="O1695" t="s">
        <v>19</v>
      </c>
      <c r="P1695" t="s">
        <v>19</v>
      </c>
      <c r="Q1695" t="s">
        <v>40</v>
      </c>
    </row>
    <row r="1696" spans="1:17" x14ac:dyDescent="0.35">
      <c r="A1696">
        <v>872</v>
      </c>
      <c r="B1696">
        <v>27</v>
      </c>
      <c r="C1696" t="s">
        <v>16</v>
      </c>
      <c r="D1696">
        <v>158</v>
      </c>
      <c r="E1696">
        <v>98</v>
      </c>
      <c r="F1696" s="3">
        <v>19.666494035042</v>
      </c>
      <c r="G1696" s="3" t="str">
        <f t="shared" si="26"/>
        <v>Normal Weight</v>
      </c>
      <c r="H1696" t="s">
        <v>541</v>
      </c>
      <c r="I1696" t="s">
        <v>31</v>
      </c>
      <c r="J1696" t="s">
        <v>20</v>
      </c>
      <c r="K1696" t="s">
        <v>22</v>
      </c>
      <c r="L1696" t="s">
        <v>38</v>
      </c>
      <c r="M1696" t="s">
        <v>20</v>
      </c>
      <c r="N1696" t="s">
        <v>21</v>
      </c>
      <c r="O1696" t="s">
        <v>20</v>
      </c>
      <c r="P1696" t="s">
        <v>19</v>
      </c>
      <c r="Q1696" t="s">
        <v>22</v>
      </c>
    </row>
    <row r="1697" spans="1:17" x14ac:dyDescent="0.35">
      <c r="A1697">
        <v>940</v>
      </c>
      <c r="B1697">
        <v>27</v>
      </c>
      <c r="C1697" t="s">
        <v>27</v>
      </c>
      <c r="D1697">
        <v>186</v>
      </c>
      <c r="E1697">
        <v>91</v>
      </c>
      <c r="F1697" s="3">
        <v>22.556006685872401</v>
      </c>
      <c r="G1697" s="3" t="str">
        <f t="shared" si="26"/>
        <v>Normal Weight</v>
      </c>
      <c r="H1697" t="s">
        <v>764</v>
      </c>
      <c r="I1697" t="s">
        <v>18</v>
      </c>
      <c r="J1697" t="s">
        <v>20</v>
      </c>
      <c r="K1697" t="s">
        <v>22</v>
      </c>
      <c r="L1697" t="s">
        <v>29</v>
      </c>
      <c r="M1697" t="s">
        <v>20</v>
      </c>
      <c r="N1697" t="s">
        <v>25</v>
      </c>
      <c r="O1697" t="s">
        <v>20</v>
      </c>
      <c r="P1697" t="s">
        <v>19</v>
      </c>
      <c r="Q1697" t="s">
        <v>40</v>
      </c>
    </row>
    <row r="1698" spans="1:17" x14ac:dyDescent="0.35">
      <c r="A1698">
        <v>1701</v>
      </c>
      <c r="B1698">
        <v>76</v>
      </c>
      <c r="C1698" t="s">
        <v>27</v>
      </c>
      <c r="D1698">
        <v>185</v>
      </c>
      <c r="E1698">
        <v>89</v>
      </c>
      <c r="F1698" s="3">
        <v>22.644668075973701</v>
      </c>
      <c r="G1698" s="3" t="str">
        <f t="shared" si="26"/>
        <v>Normal Weight</v>
      </c>
      <c r="H1698" t="s">
        <v>1155</v>
      </c>
      <c r="I1698" t="s">
        <v>24</v>
      </c>
      <c r="J1698" t="s">
        <v>20</v>
      </c>
      <c r="K1698" t="s">
        <v>40</v>
      </c>
      <c r="L1698" t="s">
        <v>32</v>
      </c>
      <c r="M1698" t="s">
        <v>20</v>
      </c>
      <c r="N1698" t="s">
        <v>25</v>
      </c>
      <c r="O1698" t="s">
        <v>20</v>
      </c>
      <c r="P1698" t="s">
        <v>19</v>
      </c>
      <c r="Q1698" t="s">
        <v>18</v>
      </c>
    </row>
    <row r="1699" spans="1:17" x14ac:dyDescent="0.35">
      <c r="A1699">
        <v>1031</v>
      </c>
      <c r="B1699">
        <v>27</v>
      </c>
      <c r="C1699" t="s">
        <v>16</v>
      </c>
      <c r="D1699">
        <v>154</v>
      </c>
      <c r="E1699">
        <v>79</v>
      </c>
      <c r="F1699" s="3">
        <v>27.853164149352502</v>
      </c>
      <c r="G1699" s="3" t="str">
        <f t="shared" si="26"/>
        <v>Overweight</v>
      </c>
      <c r="H1699" t="s">
        <v>819</v>
      </c>
      <c r="I1699" t="s">
        <v>31</v>
      </c>
      <c r="J1699" t="s">
        <v>20</v>
      </c>
      <c r="K1699" t="s">
        <v>22</v>
      </c>
      <c r="L1699" t="s">
        <v>29</v>
      </c>
      <c r="M1699" t="s">
        <v>19</v>
      </c>
      <c r="N1699" t="s">
        <v>25</v>
      </c>
      <c r="O1699" t="s">
        <v>20</v>
      </c>
      <c r="P1699" t="s">
        <v>19</v>
      </c>
      <c r="Q1699" t="s">
        <v>40</v>
      </c>
    </row>
    <row r="1700" spans="1:17" x14ac:dyDescent="0.35">
      <c r="A1700">
        <v>1704</v>
      </c>
      <c r="B1700">
        <v>71</v>
      </c>
      <c r="C1700" t="s">
        <v>27</v>
      </c>
      <c r="D1700">
        <v>184</v>
      </c>
      <c r="E1700">
        <v>50</v>
      </c>
      <c r="F1700" s="3">
        <v>23.386916631723398</v>
      </c>
      <c r="G1700" s="3" t="str">
        <f t="shared" si="26"/>
        <v>Normal Weight</v>
      </c>
      <c r="H1700" t="s">
        <v>1158</v>
      </c>
      <c r="I1700" t="s">
        <v>24</v>
      </c>
      <c r="J1700" t="s">
        <v>19</v>
      </c>
      <c r="K1700" t="s">
        <v>40</v>
      </c>
      <c r="L1700" t="s">
        <v>14</v>
      </c>
      <c r="M1700" t="s">
        <v>19</v>
      </c>
      <c r="N1700" t="s">
        <v>25</v>
      </c>
      <c r="O1700" t="s">
        <v>20</v>
      </c>
      <c r="P1700" t="s">
        <v>19</v>
      </c>
      <c r="Q1700" t="s">
        <v>22</v>
      </c>
    </row>
    <row r="1701" spans="1:17" x14ac:dyDescent="0.35">
      <c r="A1701">
        <v>1110</v>
      </c>
      <c r="B1701">
        <v>27</v>
      </c>
      <c r="C1701" t="s">
        <v>16</v>
      </c>
      <c r="D1701">
        <v>181</v>
      </c>
      <c r="E1701">
        <v>69</v>
      </c>
      <c r="F1701" s="3">
        <v>31.600258897807201</v>
      </c>
      <c r="G1701" s="3" t="str">
        <f t="shared" si="26"/>
        <v>Obese</v>
      </c>
      <c r="H1701" t="s">
        <v>869</v>
      </c>
      <c r="I1701" t="s">
        <v>18</v>
      </c>
      <c r="J1701" t="s">
        <v>19</v>
      </c>
      <c r="K1701" t="s">
        <v>22</v>
      </c>
      <c r="L1701" t="s">
        <v>14</v>
      </c>
      <c r="M1701" t="s">
        <v>19</v>
      </c>
      <c r="N1701" t="s">
        <v>21</v>
      </c>
      <c r="O1701" t="s">
        <v>20</v>
      </c>
      <c r="P1701" t="s">
        <v>19</v>
      </c>
      <c r="Q1701" t="s">
        <v>18</v>
      </c>
    </row>
    <row r="1702" spans="1:17" x14ac:dyDescent="0.35">
      <c r="A1702">
        <v>1113</v>
      </c>
      <c r="B1702">
        <v>27</v>
      </c>
      <c r="C1702" t="s">
        <v>16</v>
      </c>
      <c r="D1702">
        <v>166</v>
      </c>
      <c r="E1702">
        <v>70</v>
      </c>
      <c r="F1702" s="3">
        <v>20.2625463839058</v>
      </c>
      <c r="G1702" s="3" t="str">
        <f t="shared" si="26"/>
        <v>Normal Weight</v>
      </c>
      <c r="H1702" t="s">
        <v>63</v>
      </c>
      <c r="I1702" t="s">
        <v>24</v>
      </c>
      <c r="J1702" t="s">
        <v>19</v>
      </c>
      <c r="K1702" t="s">
        <v>22</v>
      </c>
      <c r="L1702" t="s">
        <v>38</v>
      </c>
      <c r="M1702" t="s">
        <v>19</v>
      </c>
      <c r="N1702" t="s">
        <v>25</v>
      </c>
      <c r="O1702" t="s">
        <v>19</v>
      </c>
      <c r="P1702" t="s">
        <v>20</v>
      </c>
      <c r="Q1702" t="s">
        <v>40</v>
      </c>
    </row>
    <row r="1703" spans="1:17" x14ac:dyDescent="0.35">
      <c r="A1703">
        <v>1706</v>
      </c>
      <c r="B1703">
        <v>64</v>
      </c>
      <c r="C1703" t="s">
        <v>16</v>
      </c>
      <c r="D1703">
        <v>165</v>
      </c>
      <c r="E1703">
        <v>95</v>
      </c>
      <c r="F1703" s="3">
        <v>25.790586183502501</v>
      </c>
      <c r="G1703" s="3" t="str">
        <f t="shared" si="26"/>
        <v>Overweight</v>
      </c>
      <c r="H1703" t="s">
        <v>844</v>
      </c>
      <c r="I1703" t="s">
        <v>24</v>
      </c>
      <c r="J1703" t="s">
        <v>19</v>
      </c>
      <c r="K1703" t="s">
        <v>18</v>
      </c>
      <c r="L1703" t="s">
        <v>32</v>
      </c>
      <c r="M1703" t="s">
        <v>19</v>
      </c>
      <c r="N1703" t="s">
        <v>25</v>
      </c>
      <c r="O1703" t="s">
        <v>20</v>
      </c>
      <c r="P1703" t="s">
        <v>20</v>
      </c>
      <c r="Q1703" t="s">
        <v>22</v>
      </c>
    </row>
    <row r="1704" spans="1:17" x14ac:dyDescent="0.35">
      <c r="A1704">
        <v>1249</v>
      </c>
      <c r="B1704">
        <v>27</v>
      </c>
      <c r="C1704" t="s">
        <v>27</v>
      </c>
      <c r="D1704">
        <v>167</v>
      </c>
      <c r="E1704">
        <v>57</v>
      </c>
      <c r="F1704" s="3">
        <v>19.991913133562399</v>
      </c>
      <c r="G1704" s="3" t="str">
        <f t="shared" si="26"/>
        <v>Normal Weight</v>
      </c>
      <c r="H1704" t="s">
        <v>293</v>
      </c>
      <c r="I1704" t="s">
        <v>31</v>
      </c>
      <c r="J1704" t="s">
        <v>20</v>
      </c>
      <c r="K1704" t="s">
        <v>22</v>
      </c>
      <c r="L1704" t="s">
        <v>29</v>
      </c>
      <c r="M1704" t="s">
        <v>19</v>
      </c>
      <c r="N1704" t="s">
        <v>21</v>
      </c>
      <c r="O1704" t="s">
        <v>20</v>
      </c>
      <c r="P1704" t="s">
        <v>19</v>
      </c>
      <c r="Q1704" t="s">
        <v>18</v>
      </c>
    </row>
    <row r="1705" spans="1:17" x14ac:dyDescent="0.35">
      <c r="A1705">
        <v>1707</v>
      </c>
      <c r="B1705">
        <v>54</v>
      </c>
      <c r="C1705" t="s">
        <v>27</v>
      </c>
      <c r="D1705">
        <v>154</v>
      </c>
      <c r="E1705">
        <v>98</v>
      </c>
      <c r="F1705" s="3">
        <v>24.220859560392501</v>
      </c>
      <c r="G1705" s="3" t="str">
        <f t="shared" si="26"/>
        <v>Normal Weight</v>
      </c>
      <c r="H1705" t="s">
        <v>161</v>
      </c>
      <c r="I1705" t="s">
        <v>24</v>
      </c>
      <c r="J1705" t="s">
        <v>20</v>
      </c>
      <c r="K1705" t="s">
        <v>18</v>
      </c>
      <c r="L1705" t="s">
        <v>38</v>
      </c>
      <c r="M1705" t="s">
        <v>19</v>
      </c>
      <c r="N1705" t="s">
        <v>25</v>
      </c>
      <c r="O1705" t="s">
        <v>19</v>
      </c>
      <c r="P1705" t="s">
        <v>19</v>
      </c>
      <c r="Q1705" t="s">
        <v>22</v>
      </c>
    </row>
    <row r="1706" spans="1:17" x14ac:dyDescent="0.35">
      <c r="A1706">
        <v>1360</v>
      </c>
      <c r="B1706">
        <v>27</v>
      </c>
      <c r="C1706" t="s">
        <v>27</v>
      </c>
      <c r="D1706">
        <v>152</v>
      </c>
      <c r="E1706">
        <v>55</v>
      </c>
      <c r="F1706" s="3">
        <v>33.901316595887003</v>
      </c>
      <c r="G1706" s="3" t="str">
        <f t="shared" si="26"/>
        <v>Obese</v>
      </c>
      <c r="H1706" t="s">
        <v>679</v>
      </c>
      <c r="I1706" t="s">
        <v>31</v>
      </c>
      <c r="J1706" t="s">
        <v>19</v>
      </c>
      <c r="K1706" t="s">
        <v>22</v>
      </c>
      <c r="L1706" t="s">
        <v>38</v>
      </c>
      <c r="M1706" t="s">
        <v>20</v>
      </c>
      <c r="N1706" t="s">
        <v>25</v>
      </c>
      <c r="O1706" t="s">
        <v>20</v>
      </c>
      <c r="P1706" t="s">
        <v>20</v>
      </c>
      <c r="Q1706" t="s">
        <v>22</v>
      </c>
    </row>
    <row r="1707" spans="1:17" x14ac:dyDescent="0.35">
      <c r="A1707">
        <v>1478</v>
      </c>
      <c r="B1707">
        <v>27</v>
      </c>
      <c r="C1707" t="s">
        <v>16</v>
      </c>
      <c r="D1707">
        <v>177</v>
      </c>
      <c r="E1707">
        <v>57</v>
      </c>
      <c r="F1707" s="3">
        <v>27.000671731280502</v>
      </c>
      <c r="G1707" s="3" t="str">
        <f t="shared" si="26"/>
        <v>Overweight</v>
      </c>
      <c r="H1707" t="s">
        <v>347</v>
      </c>
      <c r="I1707" t="s">
        <v>31</v>
      </c>
      <c r="J1707" t="s">
        <v>19</v>
      </c>
      <c r="K1707" t="s">
        <v>22</v>
      </c>
      <c r="L1707" t="s">
        <v>38</v>
      </c>
      <c r="M1707" t="s">
        <v>19</v>
      </c>
      <c r="N1707" t="s">
        <v>21</v>
      </c>
      <c r="O1707" t="s">
        <v>19</v>
      </c>
      <c r="P1707" t="s">
        <v>19</v>
      </c>
      <c r="Q1707" t="s">
        <v>22</v>
      </c>
    </row>
    <row r="1708" spans="1:17" x14ac:dyDescent="0.35">
      <c r="A1708">
        <v>1481</v>
      </c>
      <c r="B1708">
        <v>27</v>
      </c>
      <c r="C1708" t="s">
        <v>27</v>
      </c>
      <c r="D1708">
        <v>158</v>
      </c>
      <c r="E1708">
        <v>65</v>
      </c>
      <c r="F1708" s="3">
        <v>27.619614185751399</v>
      </c>
      <c r="G1708" s="3" t="str">
        <f t="shared" si="26"/>
        <v>Overweight</v>
      </c>
      <c r="H1708" t="s">
        <v>742</v>
      </c>
      <c r="I1708" t="s">
        <v>31</v>
      </c>
      <c r="J1708" t="s">
        <v>20</v>
      </c>
      <c r="K1708" t="s">
        <v>22</v>
      </c>
      <c r="L1708" t="s">
        <v>32</v>
      </c>
      <c r="M1708" t="s">
        <v>20</v>
      </c>
      <c r="N1708" t="s">
        <v>21</v>
      </c>
      <c r="O1708" t="s">
        <v>20</v>
      </c>
      <c r="P1708" t="s">
        <v>20</v>
      </c>
      <c r="Q1708" t="s">
        <v>40</v>
      </c>
    </row>
    <row r="1709" spans="1:17" x14ac:dyDescent="0.35">
      <c r="A1709">
        <v>1516</v>
      </c>
      <c r="B1709">
        <v>27</v>
      </c>
      <c r="C1709" t="s">
        <v>16</v>
      </c>
      <c r="D1709">
        <v>165</v>
      </c>
      <c r="E1709">
        <v>57</v>
      </c>
      <c r="F1709" s="3">
        <v>32.094290296806903</v>
      </c>
      <c r="G1709" s="3" t="str">
        <f t="shared" si="26"/>
        <v>Obese</v>
      </c>
      <c r="H1709" t="s">
        <v>941</v>
      </c>
      <c r="I1709" t="s">
        <v>31</v>
      </c>
      <c r="J1709" t="s">
        <v>19</v>
      </c>
      <c r="K1709" t="s">
        <v>22</v>
      </c>
      <c r="L1709" t="s">
        <v>38</v>
      </c>
      <c r="M1709" t="s">
        <v>19</v>
      </c>
      <c r="N1709" t="s">
        <v>21</v>
      </c>
      <c r="O1709" t="s">
        <v>20</v>
      </c>
      <c r="P1709" t="s">
        <v>19</v>
      </c>
      <c r="Q1709" t="s">
        <v>40</v>
      </c>
    </row>
    <row r="1710" spans="1:17" x14ac:dyDescent="0.35">
      <c r="A1710">
        <v>1709</v>
      </c>
      <c r="B1710">
        <v>68</v>
      </c>
      <c r="C1710" t="s">
        <v>16</v>
      </c>
      <c r="D1710">
        <v>159</v>
      </c>
      <c r="E1710">
        <v>92</v>
      </c>
      <c r="F1710" s="3">
        <v>33.242914527989697</v>
      </c>
      <c r="G1710" s="3" t="str">
        <f t="shared" si="26"/>
        <v>Obese</v>
      </c>
      <c r="H1710" t="s">
        <v>1159</v>
      </c>
      <c r="I1710" t="s">
        <v>18</v>
      </c>
      <c r="J1710" t="s">
        <v>19</v>
      </c>
      <c r="K1710" t="s">
        <v>18</v>
      </c>
      <c r="L1710" t="s">
        <v>29</v>
      </c>
      <c r="M1710" t="s">
        <v>20</v>
      </c>
      <c r="N1710" t="s">
        <v>21</v>
      </c>
      <c r="O1710" t="s">
        <v>20</v>
      </c>
      <c r="P1710" t="s">
        <v>20</v>
      </c>
      <c r="Q1710" t="s">
        <v>18</v>
      </c>
    </row>
    <row r="1711" spans="1:17" x14ac:dyDescent="0.35">
      <c r="A1711">
        <v>1710</v>
      </c>
      <c r="B1711">
        <v>50</v>
      </c>
      <c r="C1711" t="s">
        <v>16</v>
      </c>
      <c r="D1711">
        <v>168</v>
      </c>
      <c r="E1711">
        <v>78</v>
      </c>
      <c r="F1711" s="3">
        <v>30.9870221778895</v>
      </c>
      <c r="G1711" s="3" t="str">
        <f t="shared" si="26"/>
        <v>Obese</v>
      </c>
      <c r="H1711" t="s">
        <v>1160</v>
      </c>
      <c r="I1711" t="s">
        <v>24</v>
      </c>
      <c r="J1711" t="s">
        <v>20</v>
      </c>
      <c r="K1711" t="s">
        <v>18</v>
      </c>
      <c r="L1711" t="s">
        <v>32</v>
      </c>
      <c r="M1711" t="s">
        <v>19</v>
      </c>
      <c r="N1711" t="s">
        <v>21</v>
      </c>
      <c r="O1711" t="s">
        <v>19</v>
      </c>
      <c r="P1711" t="s">
        <v>19</v>
      </c>
      <c r="Q1711" t="s">
        <v>18</v>
      </c>
    </row>
    <row r="1712" spans="1:17" x14ac:dyDescent="0.35">
      <c r="A1712">
        <v>1681</v>
      </c>
      <c r="B1712">
        <v>27</v>
      </c>
      <c r="C1712" t="s">
        <v>27</v>
      </c>
      <c r="D1712">
        <v>159</v>
      </c>
      <c r="E1712">
        <v>62</v>
      </c>
      <c r="F1712" s="3">
        <v>33.463298526107202</v>
      </c>
      <c r="G1712" s="3" t="str">
        <f t="shared" si="26"/>
        <v>Obese</v>
      </c>
      <c r="H1712" t="s">
        <v>1145</v>
      </c>
      <c r="I1712" t="s">
        <v>24</v>
      </c>
      <c r="J1712" t="s">
        <v>20</v>
      </c>
      <c r="K1712" t="s">
        <v>22</v>
      </c>
      <c r="L1712" t="s">
        <v>14</v>
      </c>
      <c r="M1712" t="s">
        <v>19</v>
      </c>
      <c r="N1712" t="s">
        <v>25</v>
      </c>
      <c r="O1712" t="s">
        <v>19</v>
      </c>
      <c r="P1712" t="s">
        <v>19</v>
      </c>
      <c r="Q1712" t="s">
        <v>18</v>
      </c>
    </row>
    <row r="1713" spans="1:17" x14ac:dyDescent="0.35">
      <c r="A1713">
        <v>1714</v>
      </c>
      <c r="B1713">
        <v>51</v>
      </c>
      <c r="C1713" t="s">
        <v>27</v>
      </c>
      <c r="D1713">
        <v>168</v>
      </c>
      <c r="E1713">
        <v>58</v>
      </c>
      <c r="F1713" s="3">
        <v>20.650246803506299</v>
      </c>
      <c r="G1713" s="3" t="str">
        <f t="shared" si="26"/>
        <v>Normal Weight</v>
      </c>
      <c r="H1713" t="s">
        <v>1164</v>
      </c>
      <c r="I1713" t="s">
        <v>18</v>
      </c>
      <c r="J1713" t="s">
        <v>19</v>
      </c>
      <c r="K1713" t="s">
        <v>18</v>
      </c>
      <c r="L1713" t="s">
        <v>32</v>
      </c>
      <c r="M1713" t="s">
        <v>19</v>
      </c>
      <c r="N1713" t="s">
        <v>25</v>
      </c>
      <c r="O1713" t="s">
        <v>20</v>
      </c>
      <c r="P1713" t="s">
        <v>20</v>
      </c>
      <c r="Q1713" t="s">
        <v>18</v>
      </c>
    </row>
    <row r="1714" spans="1:17" x14ac:dyDescent="0.35">
      <c r="A1714">
        <v>1715</v>
      </c>
      <c r="B1714">
        <v>52</v>
      </c>
      <c r="C1714" t="s">
        <v>27</v>
      </c>
      <c r="D1714">
        <v>151</v>
      </c>
      <c r="E1714">
        <v>96</v>
      </c>
      <c r="F1714" s="3">
        <v>24.202846111096601</v>
      </c>
      <c r="G1714" s="3" t="str">
        <f t="shared" si="26"/>
        <v>Normal Weight</v>
      </c>
      <c r="H1714" t="s">
        <v>1165</v>
      </c>
      <c r="I1714" t="s">
        <v>31</v>
      </c>
      <c r="J1714" t="s">
        <v>19</v>
      </c>
      <c r="K1714" t="s">
        <v>18</v>
      </c>
      <c r="L1714" t="s">
        <v>29</v>
      </c>
      <c r="M1714" t="s">
        <v>19</v>
      </c>
      <c r="N1714" t="s">
        <v>21</v>
      </c>
      <c r="O1714" t="s">
        <v>19</v>
      </c>
      <c r="P1714" t="s">
        <v>19</v>
      </c>
      <c r="Q1714" t="s">
        <v>22</v>
      </c>
    </row>
    <row r="1715" spans="1:17" x14ac:dyDescent="0.35">
      <c r="A1715">
        <v>1719</v>
      </c>
      <c r="B1715">
        <v>49</v>
      </c>
      <c r="C1715" t="s">
        <v>16</v>
      </c>
      <c r="D1715">
        <v>168</v>
      </c>
      <c r="E1715">
        <v>69</v>
      </c>
      <c r="F1715" s="3">
        <v>20.673207330904798</v>
      </c>
      <c r="G1715" s="3" t="str">
        <f t="shared" si="26"/>
        <v>Normal Weight</v>
      </c>
      <c r="H1715" t="s">
        <v>1166</v>
      </c>
      <c r="I1715" t="s">
        <v>24</v>
      </c>
      <c r="J1715" t="s">
        <v>19</v>
      </c>
      <c r="K1715" t="s">
        <v>18</v>
      </c>
      <c r="L1715" t="s">
        <v>14</v>
      </c>
      <c r="M1715" t="s">
        <v>20</v>
      </c>
      <c r="N1715" t="s">
        <v>21</v>
      </c>
      <c r="O1715" t="s">
        <v>19</v>
      </c>
      <c r="P1715" t="s">
        <v>19</v>
      </c>
      <c r="Q1715" t="s">
        <v>40</v>
      </c>
    </row>
    <row r="1716" spans="1:17" x14ac:dyDescent="0.35">
      <c r="A1716">
        <v>1928</v>
      </c>
      <c r="B1716">
        <v>27</v>
      </c>
      <c r="C1716" t="s">
        <v>27</v>
      </c>
      <c r="D1716">
        <v>179</v>
      </c>
      <c r="E1716">
        <v>73</v>
      </c>
      <c r="F1716" s="3">
        <v>26.180535045254999</v>
      </c>
      <c r="G1716" s="3" t="str">
        <f t="shared" si="26"/>
        <v>Overweight</v>
      </c>
      <c r="H1716" t="s">
        <v>1246</v>
      </c>
      <c r="I1716" t="s">
        <v>24</v>
      </c>
      <c r="J1716" t="s">
        <v>19</v>
      </c>
      <c r="K1716" t="s">
        <v>22</v>
      </c>
      <c r="L1716" t="s">
        <v>29</v>
      </c>
      <c r="M1716" t="s">
        <v>20</v>
      </c>
      <c r="N1716" t="s">
        <v>21</v>
      </c>
      <c r="O1716" t="s">
        <v>20</v>
      </c>
      <c r="P1716" t="s">
        <v>19</v>
      </c>
      <c r="Q1716" t="s">
        <v>22</v>
      </c>
    </row>
    <row r="1717" spans="1:17" x14ac:dyDescent="0.35">
      <c r="A1717">
        <v>1721</v>
      </c>
      <c r="B1717">
        <v>63</v>
      </c>
      <c r="C1717" t="s">
        <v>16</v>
      </c>
      <c r="D1717">
        <v>173</v>
      </c>
      <c r="E1717">
        <v>76</v>
      </c>
      <c r="F1717" s="3">
        <v>28.957424198330202</v>
      </c>
      <c r="G1717" s="3" t="str">
        <f t="shared" si="26"/>
        <v>Overweight</v>
      </c>
      <c r="H1717" t="s">
        <v>876</v>
      </c>
      <c r="I1717" t="s">
        <v>18</v>
      </c>
      <c r="J1717" t="s">
        <v>19</v>
      </c>
      <c r="K1717" t="s">
        <v>18</v>
      </c>
      <c r="L1717" t="s">
        <v>38</v>
      </c>
      <c r="M1717" t="s">
        <v>20</v>
      </c>
      <c r="N1717" t="s">
        <v>25</v>
      </c>
      <c r="O1717" t="s">
        <v>20</v>
      </c>
      <c r="P1717" t="s">
        <v>19</v>
      </c>
      <c r="Q1717" t="s">
        <v>22</v>
      </c>
    </row>
    <row r="1718" spans="1:17" x14ac:dyDescent="0.35">
      <c r="A1718">
        <v>1723</v>
      </c>
      <c r="B1718">
        <v>33</v>
      </c>
      <c r="C1718" t="s">
        <v>27</v>
      </c>
      <c r="D1718">
        <v>183</v>
      </c>
      <c r="E1718">
        <v>57</v>
      </c>
      <c r="F1718" s="3">
        <v>27.662381117914901</v>
      </c>
      <c r="G1718" s="3" t="str">
        <f t="shared" si="26"/>
        <v>Overweight</v>
      </c>
      <c r="H1718" t="s">
        <v>109</v>
      </c>
      <c r="I1718" t="s">
        <v>24</v>
      </c>
      <c r="J1718" t="s">
        <v>19</v>
      </c>
      <c r="K1718" t="s">
        <v>18</v>
      </c>
      <c r="L1718" t="s">
        <v>32</v>
      </c>
      <c r="M1718" t="s">
        <v>20</v>
      </c>
      <c r="N1718" t="s">
        <v>21</v>
      </c>
      <c r="O1718" t="s">
        <v>19</v>
      </c>
      <c r="P1718" t="s">
        <v>19</v>
      </c>
      <c r="Q1718" t="s">
        <v>22</v>
      </c>
    </row>
    <row r="1719" spans="1:17" x14ac:dyDescent="0.35">
      <c r="A1719">
        <v>69</v>
      </c>
      <c r="B1719">
        <v>26</v>
      </c>
      <c r="C1719" t="s">
        <v>27</v>
      </c>
      <c r="D1719">
        <v>157</v>
      </c>
      <c r="E1719">
        <v>92</v>
      </c>
      <c r="F1719" s="3">
        <v>33.847725847231999</v>
      </c>
      <c r="G1719" s="3" t="str">
        <f t="shared" si="26"/>
        <v>Obese</v>
      </c>
      <c r="H1719" t="s">
        <v>98</v>
      </c>
      <c r="I1719" t="s">
        <v>31</v>
      </c>
      <c r="J1719" t="s">
        <v>20</v>
      </c>
      <c r="K1719" t="s">
        <v>22</v>
      </c>
      <c r="L1719" t="s">
        <v>29</v>
      </c>
      <c r="M1719" t="s">
        <v>20</v>
      </c>
      <c r="N1719" t="s">
        <v>21</v>
      </c>
      <c r="O1719" t="s">
        <v>19</v>
      </c>
      <c r="P1719" t="s">
        <v>19</v>
      </c>
      <c r="Q1719" t="s">
        <v>18</v>
      </c>
    </row>
    <row r="1720" spans="1:17" x14ac:dyDescent="0.35">
      <c r="A1720">
        <v>1724</v>
      </c>
      <c r="B1720">
        <v>21</v>
      </c>
      <c r="C1720" t="s">
        <v>16</v>
      </c>
      <c r="D1720">
        <v>177</v>
      </c>
      <c r="E1720">
        <v>50</v>
      </c>
      <c r="F1720" s="3">
        <v>27.205063770018199</v>
      </c>
      <c r="G1720" s="3" t="str">
        <f t="shared" si="26"/>
        <v>Overweight</v>
      </c>
      <c r="H1720" t="s">
        <v>1169</v>
      </c>
      <c r="I1720" t="s">
        <v>18</v>
      </c>
      <c r="J1720" t="s">
        <v>20</v>
      </c>
      <c r="K1720" t="s">
        <v>18</v>
      </c>
      <c r="L1720" t="s">
        <v>29</v>
      </c>
      <c r="M1720" t="s">
        <v>19</v>
      </c>
      <c r="N1720" t="s">
        <v>25</v>
      </c>
      <c r="O1720" t="s">
        <v>20</v>
      </c>
      <c r="P1720" t="s">
        <v>19</v>
      </c>
      <c r="Q1720" t="s">
        <v>18</v>
      </c>
    </row>
    <row r="1721" spans="1:17" x14ac:dyDescent="0.35">
      <c r="A1721">
        <v>156</v>
      </c>
      <c r="B1721">
        <v>26</v>
      </c>
      <c r="C1721" t="s">
        <v>27</v>
      </c>
      <c r="D1721">
        <v>171</v>
      </c>
      <c r="E1721">
        <v>64</v>
      </c>
      <c r="F1721" s="3">
        <v>32.773673139693997</v>
      </c>
      <c r="G1721" s="3" t="str">
        <f t="shared" si="26"/>
        <v>Obese</v>
      </c>
      <c r="H1721" t="s">
        <v>178</v>
      </c>
      <c r="I1721" t="s">
        <v>18</v>
      </c>
      <c r="J1721" t="s">
        <v>20</v>
      </c>
      <c r="K1721" t="s">
        <v>22</v>
      </c>
      <c r="L1721" t="s">
        <v>32</v>
      </c>
      <c r="M1721" t="s">
        <v>19</v>
      </c>
      <c r="N1721" t="s">
        <v>25</v>
      </c>
      <c r="O1721" t="s">
        <v>20</v>
      </c>
      <c r="P1721" t="s">
        <v>19</v>
      </c>
      <c r="Q1721" t="s">
        <v>22</v>
      </c>
    </row>
    <row r="1722" spans="1:17" x14ac:dyDescent="0.35">
      <c r="A1722">
        <v>186</v>
      </c>
      <c r="B1722">
        <v>26</v>
      </c>
      <c r="C1722" t="s">
        <v>27</v>
      </c>
      <c r="D1722">
        <v>163</v>
      </c>
      <c r="E1722">
        <v>54</v>
      </c>
      <c r="F1722" s="3">
        <v>20.580902819194201</v>
      </c>
      <c r="G1722" s="3" t="str">
        <f t="shared" si="26"/>
        <v>Normal Weight</v>
      </c>
      <c r="H1722" t="s">
        <v>206</v>
      </c>
      <c r="I1722" t="s">
        <v>24</v>
      </c>
      <c r="J1722" t="s">
        <v>19</v>
      </c>
      <c r="K1722" t="s">
        <v>22</v>
      </c>
      <c r="L1722" t="s">
        <v>14</v>
      </c>
      <c r="M1722" t="s">
        <v>19</v>
      </c>
      <c r="N1722" t="s">
        <v>21</v>
      </c>
      <c r="O1722" t="s">
        <v>20</v>
      </c>
      <c r="P1722" t="s">
        <v>19</v>
      </c>
      <c r="Q1722" t="s">
        <v>18</v>
      </c>
    </row>
    <row r="1723" spans="1:17" x14ac:dyDescent="0.35">
      <c r="A1723">
        <v>1726</v>
      </c>
      <c r="B1723">
        <v>54</v>
      </c>
      <c r="C1723" t="s">
        <v>16</v>
      </c>
      <c r="D1723">
        <v>154</v>
      </c>
      <c r="E1723">
        <v>98</v>
      </c>
      <c r="F1723" s="3">
        <v>22.347594647956601</v>
      </c>
      <c r="G1723" s="3" t="str">
        <f t="shared" si="26"/>
        <v>Normal Weight</v>
      </c>
      <c r="H1723" t="s">
        <v>1170</v>
      </c>
      <c r="I1723" t="s">
        <v>18</v>
      </c>
      <c r="J1723" t="s">
        <v>20</v>
      </c>
      <c r="K1723" t="s">
        <v>18</v>
      </c>
      <c r="L1723" t="s">
        <v>38</v>
      </c>
      <c r="M1723" t="s">
        <v>20</v>
      </c>
      <c r="N1723" t="s">
        <v>21</v>
      </c>
      <c r="O1723" t="s">
        <v>20</v>
      </c>
      <c r="P1723" t="s">
        <v>19</v>
      </c>
      <c r="Q1723" t="s">
        <v>22</v>
      </c>
    </row>
    <row r="1724" spans="1:17" x14ac:dyDescent="0.35">
      <c r="A1724">
        <v>321</v>
      </c>
      <c r="B1724">
        <v>26</v>
      </c>
      <c r="C1724" t="s">
        <v>27</v>
      </c>
      <c r="D1724">
        <v>162</v>
      </c>
      <c r="E1724">
        <v>75</v>
      </c>
      <c r="F1724" s="3">
        <v>21.242052493560799</v>
      </c>
      <c r="G1724" s="3" t="str">
        <f t="shared" si="26"/>
        <v>Normal Weight</v>
      </c>
      <c r="H1724" t="s">
        <v>326</v>
      </c>
      <c r="I1724" t="s">
        <v>18</v>
      </c>
      <c r="J1724" t="s">
        <v>19</v>
      </c>
      <c r="K1724" t="s">
        <v>22</v>
      </c>
      <c r="L1724" t="s">
        <v>29</v>
      </c>
      <c r="M1724" t="s">
        <v>19</v>
      </c>
      <c r="N1724" t="s">
        <v>25</v>
      </c>
      <c r="O1724" t="s">
        <v>20</v>
      </c>
      <c r="P1724" t="s">
        <v>20</v>
      </c>
      <c r="Q1724" t="s">
        <v>40</v>
      </c>
    </row>
    <row r="1725" spans="1:17" x14ac:dyDescent="0.35">
      <c r="A1725">
        <v>1727</v>
      </c>
      <c r="B1725">
        <v>71</v>
      </c>
      <c r="C1725" t="s">
        <v>27</v>
      </c>
      <c r="D1725">
        <v>170</v>
      </c>
      <c r="E1725">
        <v>73</v>
      </c>
      <c r="F1725" s="3">
        <v>32.7626492887075</v>
      </c>
      <c r="G1725" s="3" t="str">
        <f t="shared" si="26"/>
        <v>Obese</v>
      </c>
      <c r="H1725" t="s">
        <v>607</v>
      </c>
      <c r="I1725" t="s">
        <v>31</v>
      </c>
      <c r="J1725" t="s">
        <v>20</v>
      </c>
      <c r="K1725" t="s">
        <v>40</v>
      </c>
      <c r="L1725" t="s">
        <v>14</v>
      </c>
      <c r="M1725" t="s">
        <v>19</v>
      </c>
      <c r="N1725" t="s">
        <v>25</v>
      </c>
      <c r="O1725" t="s">
        <v>19</v>
      </c>
      <c r="P1725" t="s">
        <v>20</v>
      </c>
      <c r="Q1725" t="s">
        <v>22</v>
      </c>
    </row>
    <row r="1726" spans="1:17" x14ac:dyDescent="0.35">
      <c r="A1726">
        <v>1730</v>
      </c>
      <c r="B1726">
        <v>48</v>
      </c>
      <c r="C1726" t="s">
        <v>16</v>
      </c>
      <c r="D1726">
        <v>169</v>
      </c>
      <c r="E1726">
        <v>68</v>
      </c>
      <c r="F1726" s="3">
        <v>18.766056665141502</v>
      </c>
      <c r="G1726" s="3" t="str">
        <f t="shared" si="26"/>
        <v>Normal Weight</v>
      </c>
      <c r="H1726" t="s">
        <v>1172</v>
      </c>
      <c r="I1726" t="s">
        <v>18</v>
      </c>
      <c r="J1726" t="s">
        <v>19</v>
      </c>
      <c r="K1726" t="s">
        <v>18</v>
      </c>
      <c r="L1726" t="s">
        <v>32</v>
      </c>
      <c r="M1726" t="s">
        <v>19</v>
      </c>
      <c r="N1726" t="s">
        <v>21</v>
      </c>
      <c r="O1726" t="s">
        <v>19</v>
      </c>
      <c r="P1726" t="s">
        <v>20</v>
      </c>
      <c r="Q1726" t="s">
        <v>40</v>
      </c>
    </row>
    <row r="1727" spans="1:17" x14ac:dyDescent="0.35">
      <c r="A1727">
        <v>603</v>
      </c>
      <c r="B1727">
        <v>26</v>
      </c>
      <c r="C1727" t="s">
        <v>27</v>
      </c>
      <c r="D1727">
        <v>185</v>
      </c>
      <c r="E1727">
        <v>80</v>
      </c>
      <c r="F1727" s="3">
        <v>23.0391315457255</v>
      </c>
      <c r="G1727" s="3" t="str">
        <f t="shared" si="26"/>
        <v>Normal Weight</v>
      </c>
      <c r="H1727" t="s">
        <v>550</v>
      </c>
      <c r="I1727" t="s">
        <v>31</v>
      </c>
      <c r="J1727" t="s">
        <v>20</v>
      </c>
      <c r="K1727" t="s">
        <v>22</v>
      </c>
      <c r="L1727" t="s">
        <v>32</v>
      </c>
      <c r="M1727" t="s">
        <v>19</v>
      </c>
      <c r="N1727" t="s">
        <v>21</v>
      </c>
      <c r="O1727" t="s">
        <v>20</v>
      </c>
      <c r="P1727" t="s">
        <v>19</v>
      </c>
      <c r="Q1727" t="s">
        <v>18</v>
      </c>
    </row>
    <row r="1728" spans="1:17" x14ac:dyDescent="0.35">
      <c r="A1728">
        <v>1731</v>
      </c>
      <c r="B1728">
        <v>72</v>
      </c>
      <c r="C1728" t="s">
        <v>16</v>
      </c>
      <c r="D1728">
        <v>187</v>
      </c>
      <c r="E1728">
        <v>71</v>
      </c>
      <c r="F1728" s="3">
        <v>24.648842643253399</v>
      </c>
      <c r="G1728" s="3" t="str">
        <f t="shared" si="26"/>
        <v>Normal Weight</v>
      </c>
      <c r="H1728" t="s">
        <v>858</v>
      </c>
      <c r="I1728" t="s">
        <v>24</v>
      </c>
      <c r="J1728" t="s">
        <v>20</v>
      </c>
      <c r="K1728" t="s">
        <v>40</v>
      </c>
      <c r="L1728" t="s">
        <v>29</v>
      </c>
      <c r="M1728" t="s">
        <v>19</v>
      </c>
      <c r="N1728" t="s">
        <v>25</v>
      </c>
      <c r="O1728" t="s">
        <v>20</v>
      </c>
      <c r="P1728" t="s">
        <v>20</v>
      </c>
      <c r="Q1728" t="s">
        <v>18</v>
      </c>
    </row>
    <row r="1729" spans="1:17" x14ac:dyDescent="0.35">
      <c r="A1729">
        <v>1732</v>
      </c>
      <c r="B1729">
        <v>65</v>
      </c>
      <c r="C1729" t="s">
        <v>27</v>
      </c>
      <c r="D1729">
        <v>174</v>
      </c>
      <c r="E1729">
        <v>84</v>
      </c>
      <c r="F1729" s="3">
        <v>24.3032119963203</v>
      </c>
      <c r="G1729" s="3" t="str">
        <f t="shared" si="26"/>
        <v>Normal Weight</v>
      </c>
      <c r="H1729" t="s">
        <v>1173</v>
      </c>
      <c r="I1729" t="s">
        <v>24</v>
      </c>
      <c r="J1729" t="s">
        <v>20</v>
      </c>
      <c r="K1729" t="s">
        <v>18</v>
      </c>
      <c r="L1729" t="s">
        <v>29</v>
      </c>
      <c r="M1729" t="s">
        <v>20</v>
      </c>
      <c r="N1729" t="s">
        <v>21</v>
      </c>
      <c r="O1729" t="s">
        <v>19</v>
      </c>
      <c r="P1729" t="s">
        <v>20</v>
      </c>
      <c r="Q1729" t="s">
        <v>40</v>
      </c>
    </row>
    <row r="1730" spans="1:17" x14ac:dyDescent="0.35">
      <c r="A1730">
        <v>829</v>
      </c>
      <c r="B1730">
        <v>26</v>
      </c>
      <c r="C1730" t="s">
        <v>16</v>
      </c>
      <c r="D1730">
        <v>161</v>
      </c>
      <c r="E1730">
        <v>76</v>
      </c>
      <c r="F1730" s="3">
        <v>18.779061198706501</v>
      </c>
      <c r="G1730" s="3" t="str">
        <f t="shared" si="26"/>
        <v>Normal Weight</v>
      </c>
      <c r="H1730" t="s">
        <v>707</v>
      </c>
      <c r="I1730" t="s">
        <v>24</v>
      </c>
      <c r="J1730" t="s">
        <v>20</v>
      </c>
      <c r="K1730" t="s">
        <v>22</v>
      </c>
      <c r="L1730" t="s">
        <v>29</v>
      </c>
      <c r="M1730" t="s">
        <v>20</v>
      </c>
      <c r="N1730" t="s">
        <v>21</v>
      </c>
      <c r="O1730" t="s">
        <v>20</v>
      </c>
      <c r="P1730" t="s">
        <v>19</v>
      </c>
      <c r="Q1730" t="s">
        <v>18</v>
      </c>
    </row>
    <row r="1731" spans="1:17" x14ac:dyDescent="0.35">
      <c r="A1731">
        <v>841</v>
      </c>
      <c r="B1731">
        <v>26</v>
      </c>
      <c r="C1731" t="s">
        <v>16</v>
      </c>
      <c r="D1731">
        <v>161</v>
      </c>
      <c r="E1731">
        <v>57</v>
      </c>
      <c r="F1731" s="3">
        <v>20.7398065761483</v>
      </c>
      <c r="G1731" s="3" t="str">
        <f t="shared" ref="G1731:G1794" si="27">_xlfn.IFS(F1731&lt;18.5, "Underweight", F1731&lt;=24.9, "Normal Weight", F1731&lt;=29.9, "Overweight", TRUE, "Obese")</f>
        <v>Normal Weight</v>
      </c>
      <c r="H1731" t="s">
        <v>227</v>
      </c>
      <c r="I1731" t="s">
        <v>24</v>
      </c>
      <c r="J1731" t="s">
        <v>20</v>
      </c>
      <c r="K1731" t="s">
        <v>22</v>
      </c>
      <c r="L1731" t="s">
        <v>14</v>
      </c>
      <c r="M1731" t="s">
        <v>20</v>
      </c>
      <c r="N1731" t="s">
        <v>21</v>
      </c>
      <c r="O1731" t="s">
        <v>19</v>
      </c>
      <c r="P1731" t="s">
        <v>20</v>
      </c>
      <c r="Q1731" t="s">
        <v>22</v>
      </c>
    </row>
    <row r="1732" spans="1:17" x14ac:dyDescent="0.35">
      <c r="A1732">
        <v>966</v>
      </c>
      <c r="B1732">
        <v>26</v>
      </c>
      <c r="C1732" t="s">
        <v>27</v>
      </c>
      <c r="D1732">
        <v>169</v>
      </c>
      <c r="E1732">
        <v>79</v>
      </c>
      <c r="F1732" s="3">
        <v>34.436305035325098</v>
      </c>
      <c r="G1732" s="3" t="str">
        <f t="shared" si="27"/>
        <v>Obese</v>
      </c>
      <c r="H1732" t="s">
        <v>779</v>
      </c>
      <c r="I1732" t="s">
        <v>18</v>
      </c>
      <c r="J1732" t="s">
        <v>19</v>
      </c>
      <c r="K1732" t="s">
        <v>22</v>
      </c>
      <c r="L1732" t="s">
        <v>38</v>
      </c>
      <c r="M1732" t="s">
        <v>20</v>
      </c>
      <c r="N1732" t="s">
        <v>21</v>
      </c>
      <c r="O1732" t="s">
        <v>19</v>
      </c>
      <c r="P1732" t="s">
        <v>20</v>
      </c>
      <c r="Q1732" t="s">
        <v>22</v>
      </c>
    </row>
    <row r="1733" spans="1:17" x14ac:dyDescent="0.35">
      <c r="A1733">
        <v>1037</v>
      </c>
      <c r="B1733">
        <v>26</v>
      </c>
      <c r="C1733" t="s">
        <v>16</v>
      </c>
      <c r="D1733">
        <v>168</v>
      </c>
      <c r="E1733">
        <v>78</v>
      </c>
      <c r="F1733" s="3">
        <v>26.0827891288411</v>
      </c>
      <c r="G1733" s="3" t="str">
        <f t="shared" si="27"/>
        <v>Overweight</v>
      </c>
      <c r="H1733" t="s">
        <v>654</v>
      </c>
      <c r="I1733" t="s">
        <v>24</v>
      </c>
      <c r="J1733" t="s">
        <v>20</v>
      </c>
      <c r="K1733" t="s">
        <v>22</v>
      </c>
      <c r="L1733" t="s">
        <v>38</v>
      </c>
      <c r="M1733" t="s">
        <v>20</v>
      </c>
      <c r="N1733" t="s">
        <v>25</v>
      </c>
      <c r="O1733" t="s">
        <v>19</v>
      </c>
      <c r="P1733" t="s">
        <v>19</v>
      </c>
      <c r="Q1733" t="s">
        <v>22</v>
      </c>
    </row>
    <row r="1734" spans="1:17" x14ac:dyDescent="0.35">
      <c r="A1734">
        <v>1177</v>
      </c>
      <c r="B1734">
        <v>26</v>
      </c>
      <c r="C1734" t="s">
        <v>27</v>
      </c>
      <c r="D1734">
        <v>165</v>
      </c>
      <c r="E1734">
        <v>53</v>
      </c>
      <c r="F1734" s="3">
        <v>27.404419516901999</v>
      </c>
      <c r="G1734" s="3" t="str">
        <f t="shared" si="27"/>
        <v>Overweight</v>
      </c>
      <c r="H1734" t="s">
        <v>121</v>
      </c>
      <c r="I1734" t="s">
        <v>24</v>
      </c>
      <c r="J1734" t="s">
        <v>19</v>
      </c>
      <c r="K1734" t="s">
        <v>22</v>
      </c>
      <c r="L1734" t="s">
        <v>38</v>
      </c>
      <c r="M1734" t="s">
        <v>20</v>
      </c>
      <c r="N1734" t="s">
        <v>21</v>
      </c>
      <c r="O1734" t="s">
        <v>19</v>
      </c>
      <c r="P1734" t="s">
        <v>19</v>
      </c>
      <c r="Q1734" t="s">
        <v>40</v>
      </c>
    </row>
    <row r="1735" spans="1:17" x14ac:dyDescent="0.35">
      <c r="A1735">
        <v>1296</v>
      </c>
      <c r="B1735">
        <v>26</v>
      </c>
      <c r="C1735" t="s">
        <v>27</v>
      </c>
      <c r="D1735">
        <v>175</v>
      </c>
      <c r="E1735">
        <v>89</v>
      </c>
      <c r="F1735" s="3">
        <v>21.3706270921097</v>
      </c>
      <c r="G1735" s="3" t="str">
        <f t="shared" si="27"/>
        <v>Normal Weight</v>
      </c>
      <c r="H1735" t="s">
        <v>299</v>
      </c>
      <c r="I1735" t="s">
        <v>24</v>
      </c>
      <c r="J1735" t="s">
        <v>20</v>
      </c>
      <c r="K1735" t="s">
        <v>22</v>
      </c>
      <c r="L1735" t="s">
        <v>32</v>
      </c>
      <c r="M1735" t="s">
        <v>20</v>
      </c>
      <c r="N1735" t="s">
        <v>25</v>
      </c>
      <c r="O1735" t="s">
        <v>19</v>
      </c>
      <c r="P1735" t="s">
        <v>19</v>
      </c>
      <c r="Q1735" t="s">
        <v>22</v>
      </c>
    </row>
    <row r="1736" spans="1:17" x14ac:dyDescent="0.35">
      <c r="A1736">
        <v>1369</v>
      </c>
      <c r="B1736">
        <v>26</v>
      </c>
      <c r="C1736" t="s">
        <v>16</v>
      </c>
      <c r="D1736">
        <v>174</v>
      </c>
      <c r="E1736">
        <v>91</v>
      </c>
      <c r="F1736" s="3">
        <v>19.844319312263501</v>
      </c>
      <c r="G1736" s="3" t="str">
        <f t="shared" si="27"/>
        <v>Normal Weight</v>
      </c>
      <c r="H1736" t="s">
        <v>454</v>
      </c>
      <c r="I1736" t="s">
        <v>24</v>
      </c>
      <c r="J1736" t="s">
        <v>20</v>
      </c>
      <c r="K1736" t="s">
        <v>22</v>
      </c>
      <c r="L1736" t="s">
        <v>29</v>
      </c>
      <c r="M1736" t="s">
        <v>20</v>
      </c>
      <c r="N1736" t="s">
        <v>25</v>
      </c>
      <c r="O1736" t="s">
        <v>20</v>
      </c>
      <c r="P1736" t="s">
        <v>20</v>
      </c>
      <c r="Q1736" t="s">
        <v>18</v>
      </c>
    </row>
    <row r="1737" spans="1:17" x14ac:dyDescent="0.35">
      <c r="A1737">
        <v>1734</v>
      </c>
      <c r="B1737">
        <v>24</v>
      </c>
      <c r="C1737" t="s">
        <v>27</v>
      </c>
      <c r="D1737">
        <v>160</v>
      </c>
      <c r="E1737">
        <v>78</v>
      </c>
      <c r="F1737" s="3">
        <v>19.700148319323699</v>
      </c>
      <c r="G1737" s="3" t="str">
        <f t="shared" si="27"/>
        <v>Normal Weight</v>
      </c>
      <c r="H1737" t="s">
        <v>1174</v>
      </c>
      <c r="I1737" t="s">
        <v>24</v>
      </c>
      <c r="J1737" t="s">
        <v>19</v>
      </c>
      <c r="K1737" t="s">
        <v>18</v>
      </c>
      <c r="L1737" t="s">
        <v>29</v>
      </c>
      <c r="M1737" t="s">
        <v>19</v>
      </c>
      <c r="N1737" t="s">
        <v>25</v>
      </c>
      <c r="O1737" t="s">
        <v>19</v>
      </c>
      <c r="P1737" t="s">
        <v>20</v>
      </c>
      <c r="Q1737" t="s">
        <v>22</v>
      </c>
    </row>
    <row r="1738" spans="1:17" x14ac:dyDescent="0.35">
      <c r="A1738">
        <v>1390</v>
      </c>
      <c r="B1738">
        <v>26</v>
      </c>
      <c r="C1738" t="s">
        <v>16</v>
      </c>
      <c r="D1738">
        <v>171</v>
      </c>
      <c r="E1738">
        <v>69</v>
      </c>
      <c r="F1738" s="3">
        <v>19.705904001931401</v>
      </c>
      <c r="G1738" s="3" t="str">
        <f t="shared" si="27"/>
        <v>Normal Weight</v>
      </c>
      <c r="H1738" t="s">
        <v>314</v>
      </c>
      <c r="I1738" t="s">
        <v>31</v>
      </c>
      <c r="J1738" t="s">
        <v>20</v>
      </c>
      <c r="K1738" t="s">
        <v>22</v>
      </c>
      <c r="L1738" t="s">
        <v>14</v>
      </c>
      <c r="M1738" t="s">
        <v>20</v>
      </c>
      <c r="N1738" t="s">
        <v>25</v>
      </c>
      <c r="O1738" t="s">
        <v>19</v>
      </c>
      <c r="P1738" t="s">
        <v>19</v>
      </c>
      <c r="Q1738" t="s">
        <v>22</v>
      </c>
    </row>
    <row r="1739" spans="1:17" x14ac:dyDescent="0.35">
      <c r="A1739">
        <v>1552</v>
      </c>
      <c r="B1739">
        <v>26</v>
      </c>
      <c r="C1739" t="s">
        <v>27</v>
      </c>
      <c r="D1739">
        <v>178</v>
      </c>
      <c r="E1739">
        <v>54</v>
      </c>
      <c r="F1739" s="3">
        <v>33.5997905366807</v>
      </c>
      <c r="G1739" s="3" t="str">
        <f t="shared" si="27"/>
        <v>Obese</v>
      </c>
      <c r="H1739" t="s">
        <v>1095</v>
      </c>
      <c r="I1739" t="s">
        <v>18</v>
      </c>
      <c r="J1739" t="s">
        <v>19</v>
      </c>
      <c r="K1739" t="s">
        <v>22</v>
      </c>
      <c r="L1739" t="s">
        <v>32</v>
      </c>
      <c r="M1739" t="s">
        <v>19</v>
      </c>
      <c r="N1739" t="s">
        <v>21</v>
      </c>
      <c r="O1739" t="s">
        <v>19</v>
      </c>
      <c r="P1739" t="s">
        <v>19</v>
      </c>
      <c r="Q1739" t="s">
        <v>18</v>
      </c>
    </row>
    <row r="1740" spans="1:17" x14ac:dyDescent="0.35">
      <c r="A1740">
        <v>1580</v>
      </c>
      <c r="B1740">
        <v>26</v>
      </c>
      <c r="C1740" t="s">
        <v>16</v>
      </c>
      <c r="D1740">
        <v>168</v>
      </c>
      <c r="E1740">
        <v>62</v>
      </c>
      <c r="F1740" s="3">
        <v>22.630919037919099</v>
      </c>
      <c r="G1740" s="3" t="str">
        <f t="shared" si="27"/>
        <v>Normal Weight</v>
      </c>
      <c r="H1740" t="s">
        <v>1110</v>
      </c>
      <c r="I1740" t="s">
        <v>18</v>
      </c>
      <c r="J1740" t="s">
        <v>20</v>
      </c>
      <c r="K1740" t="s">
        <v>22</v>
      </c>
      <c r="L1740" t="s">
        <v>14</v>
      </c>
      <c r="M1740" t="s">
        <v>20</v>
      </c>
      <c r="N1740" t="s">
        <v>21</v>
      </c>
      <c r="O1740" t="s">
        <v>19</v>
      </c>
      <c r="P1740" t="s">
        <v>19</v>
      </c>
      <c r="Q1740" t="s">
        <v>18</v>
      </c>
    </row>
    <row r="1741" spans="1:17" x14ac:dyDescent="0.35">
      <c r="A1741">
        <v>1582</v>
      </c>
      <c r="B1741">
        <v>26</v>
      </c>
      <c r="C1741" t="s">
        <v>27</v>
      </c>
      <c r="D1741">
        <v>156</v>
      </c>
      <c r="E1741">
        <v>83</v>
      </c>
      <c r="F1741" s="3">
        <v>33.156491242439799</v>
      </c>
      <c r="G1741" s="3" t="str">
        <f t="shared" si="27"/>
        <v>Obese</v>
      </c>
      <c r="H1741" t="s">
        <v>275</v>
      </c>
      <c r="I1741" t="s">
        <v>31</v>
      </c>
      <c r="J1741" t="s">
        <v>20</v>
      </c>
      <c r="K1741" t="s">
        <v>22</v>
      </c>
      <c r="L1741" t="s">
        <v>29</v>
      </c>
      <c r="M1741" t="s">
        <v>19</v>
      </c>
      <c r="N1741" t="s">
        <v>21</v>
      </c>
      <c r="O1741" t="s">
        <v>19</v>
      </c>
      <c r="P1741" t="s">
        <v>20</v>
      </c>
      <c r="Q1741" t="s">
        <v>22</v>
      </c>
    </row>
    <row r="1742" spans="1:17" x14ac:dyDescent="0.35">
      <c r="A1742">
        <v>1765</v>
      </c>
      <c r="B1742">
        <v>26</v>
      </c>
      <c r="C1742" t="s">
        <v>27</v>
      </c>
      <c r="D1742">
        <v>189</v>
      </c>
      <c r="E1742">
        <v>86</v>
      </c>
      <c r="F1742" s="3">
        <v>31.242414687818801</v>
      </c>
      <c r="G1742" s="3" t="str">
        <f t="shared" si="27"/>
        <v>Obese</v>
      </c>
      <c r="H1742" t="s">
        <v>995</v>
      </c>
      <c r="I1742" t="s">
        <v>31</v>
      </c>
      <c r="J1742" t="s">
        <v>19</v>
      </c>
      <c r="K1742" t="s">
        <v>22</v>
      </c>
      <c r="L1742" t="s">
        <v>38</v>
      </c>
      <c r="M1742" t="s">
        <v>20</v>
      </c>
      <c r="N1742" t="s">
        <v>21</v>
      </c>
      <c r="O1742" t="s">
        <v>19</v>
      </c>
      <c r="P1742" t="s">
        <v>20</v>
      </c>
      <c r="Q1742" t="s">
        <v>40</v>
      </c>
    </row>
    <row r="1743" spans="1:17" x14ac:dyDescent="0.35">
      <c r="A1743">
        <v>1788</v>
      </c>
      <c r="B1743">
        <v>26</v>
      </c>
      <c r="C1743" t="s">
        <v>27</v>
      </c>
      <c r="D1743">
        <v>189</v>
      </c>
      <c r="E1743">
        <v>95</v>
      </c>
      <c r="F1743" s="3">
        <v>32.720423084364697</v>
      </c>
      <c r="G1743" s="3" t="str">
        <f t="shared" si="27"/>
        <v>Obese</v>
      </c>
      <c r="H1743" t="s">
        <v>1123</v>
      </c>
      <c r="I1743" t="s">
        <v>24</v>
      </c>
      <c r="J1743" t="s">
        <v>20</v>
      </c>
      <c r="K1743" t="s">
        <v>22</v>
      </c>
      <c r="L1743" t="s">
        <v>38</v>
      </c>
      <c r="M1743" t="s">
        <v>20</v>
      </c>
      <c r="N1743" t="s">
        <v>21</v>
      </c>
      <c r="O1743" t="s">
        <v>19</v>
      </c>
      <c r="P1743" t="s">
        <v>20</v>
      </c>
      <c r="Q1743" t="s">
        <v>18</v>
      </c>
    </row>
    <row r="1744" spans="1:17" x14ac:dyDescent="0.35">
      <c r="A1744">
        <v>1794</v>
      </c>
      <c r="B1744">
        <v>26</v>
      </c>
      <c r="C1744" t="s">
        <v>16</v>
      </c>
      <c r="D1744">
        <v>156</v>
      </c>
      <c r="E1744">
        <v>56</v>
      </c>
      <c r="F1744" s="3">
        <v>25.2302549068731</v>
      </c>
      <c r="G1744" s="3" t="str">
        <f t="shared" si="27"/>
        <v>Overweight</v>
      </c>
      <c r="H1744" t="s">
        <v>1197</v>
      </c>
      <c r="I1744" t="s">
        <v>31</v>
      </c>
      <c r="J1744" t="s">
        <v>20</v>
      </c>
      <c r="K1744" t="s">
        <v>22</v>
      </c>
      <c r="L1744" t="s">
        <v>29</v>
      </c>
      <c r="M1744" t="s">
        <v>19</v>
      </c>
      <c r="N1744" t="s">
        <v>25</v>
      </c>
      <c r="O1744" t="s">
        <v>19</v>
      </c>
      <c r="P1744" t="s">
        <v>20</v>
      </c>
      <c r="Q1744" t="s">
        <v>22</v>
      </c>
    </row>
    <row r="1745" spans="1:17" x14ac:dyDescent="0.35">
      <c r="A1745">
        <v>1735</v>
      </c>
      <c r="B1745">
        <v>27</v>
      </c>
      <c r="C1745" t="s">
        <v>27</v>
      </c>
      <c r="D1745">
        <v>181</v>
      </c>
      <c r="E1745">
        <v>71</v>
      </c>
      <c r="F1745" s="3">
        <v>31.537167666480698</v>
      </c>
      <c r="G1745" s="3" t="str">
        <f t="shared" si="27"/>
        <v>Obese</v>
      </c>
      <c r="H1745" t="s">
        <v>812</v>
      </c>
      <c r="I1745" t="s">
        <v>31</v>
      </c>
      <c r="J1745" t="s">
        <v>20</v>
      </c>
      <c r="K1745" t="s">
        <v>18</v>
      </c>
      <c r="L1745" t="s">
        <v>14</v>
      </c>
      <c r="M1745" t="s">
        <v>19</v>
      </c>
      <c r="N1745" t="s">
        <v>21</v>
      </c>
      <c r="O1745" t="s">
        <v>20</v>
      </c>
      <c r="P1745" t="s">
        <v>19</v>
      </c>
      <c r="Q1745" t="s">
        <v>40</v>
      </c>
    </row>
    <row r="1746" spans="1:17" x14ac:dyDescent="0.35">
      <c r="A1746">
        <v>1741</v>
      </c>
      <c r="B1746">
        <v>65</v>
      </c>
      <c r="C1746" t="s">
        <v>27</v>
      </c>
      <c r="D1746">
        <v>160</v>
      </c>
      <c r="E1746">
        <v>83</v>
      </c>
      <c r="F1746" s="3">
        <v>29.420695151547498</v>
      </c>
      <c r="G1746" s="3" t="str">
        <f t="shared" si="27"/>
        <v>Overweight</v>
      </c>
      <c r="H1746" t="s">
        <v>1047</v>
      </c>
      <c r="I1746" t="s">
        <v>31</v>
      </c>
      <c r="J1746" t="s">
        <v>19</v>
      </c>
      <c r="K1746" t="s">
        <v>18</v>
      </c>
      <c r="L1746" t="s">
        <v>38</v>
      </c>
      <c r="M1746" t="s">
        <v>20</v>
      </c>
      <c r="N1746" t="s">
        <v>25</v>
      </c>
      <c r="O1746" t="s">
        <v>20</v>
      </c>
      <c r="P1746" t="s">
        <v>19</v>
      </c>
      <c r="Q1746" t="s">
        <v>18</v>
      </c>
    </row>
    <row r="1747" spans="1:17" x14ac:dyDescent="0.35">
      <c r="A1747">
        <v>1742</v>
      </c>
      <c r="B1747">
        <v>78</v>
      </c>
      <c r="C1747" t="s">
        <v>27</v>
      </c>
      <c r="D1747">
        <v>170</v>
      </c>
      <c r="E1747">
        <v>50</v>
      </c>
      <c r="F1747" s="3">
        <v>24.3662416530081</v>
      </c>
      <c r="G1747" s="3" t="str">
        <f t="shared" si="27"/>
        <v>Normal Weight</v>
      </c>
      <c r="H1747" t="s">
        <v>78</v>
      </c>
      <c r="I1747" t="s">
        <v>18</v>
      </c>
      <c r="J1747" t="s">
        <v>20</v>
      </c>
      <c r="K1747" t="s">
        <v>40</v>
      </c>
      <c r="L1747" t="s">
        <v>14</v>
      </c>
      <c r="M1747" t="s">
        <v>20</v>
      </c>
      <c r="N1747" t="s">
        <v>25</v>
      </c>
      <c r="O1747" t="s">
        <v>19</v>
      </c>
      <c r="P1747" t="s">
        <v>19</v>
      </c>
      <c r="Q1747" t="s">
        <v>22</v>
      </c>
    </row>
    <row r="1748" spans="1:17" x14ac:dyDescent="0.35">
      <c r="A1748">
        <v>1743</v>
      </c>
      <c r="B1748">
        <v>36</v>
      </c>
      <c r="C1748" t="s">
        <v>16</v>
      </c>
      <c r="D1748">
        <v>154</v>
      </c>
      <c r="E1748">
        <v>80</v>
      </c>
      <c r="F1748" s="3">
        <v>31.846165894053801</v>
      </c>
      <c r="G1748" s="3" t="str">
        <f t="shared" si="27"/>
        <v>Obese</v>
      </c>
      <c r="H1748" t="s">
        <v>539</v>
      </c>
      <c r="I1748" t="s">
        <v>24</v>
      </c>
      <c r="J1748" t="s">
        <v>20</v>
      </c>
      <c r="K1748" t="s">
        <v>18</v>
      </c>
      <c r="L1748" t="s">
        <v>29</v>
      </c>
      <c r="M1748" t="s">
        <v>19</v>
      </c>
      <c r="N1748" t="s">
        <v>21</v>
      </c>
      <c r="O1748" t="s">
        <v>19</v>
      </c>
      <c r="P1748" t="s">
        <v>19</v>
      </c>
      <c r="Q1748" t="s">
        <v>22</v>
      </c>
    </row>
    <row r="1749" spans="1:17" x14ac:dyDescent="0.35">
      <c r="A1749">
        <v>6</v>
      </c>
      <c r="B1749">
        <v>25</v>
      </c>
      <c r="C1749" t="s">
        <v>16</v>
      </c>
      <c r="D1749">
        <v>182</v>
      </c>
      <c r="E1749">
        <v>93</v>
      </c>
      <c r="F1749" s="3">
        <v>21.8670624110189</v>
      </c>
      <c r="G1749" s="3" t="str">
        <f t="shared" si="27"/>
        <v>Normal Weight</v>
      </c>
      <c r="H1749" t="s">
        <v>33</v>
      </c>
      <c r="I1749" t="s">
        <v>18</v>
      </c>
      <c r="J1749" t="s">
        <v>19</v>
      </c>
      <c r="K1749" t="s">
        <v>22</v>
      </c>
      <c r="L1749" t="s">
        <v>32</v>
      </c>
      <c r="M1749" t="s">
        <v>20</v>
      </c>
      <c r="N1749" t="s">
        <v>25</v>
      </c>
      <c r="O1749" t="s">
        <v>20</v>
      </c>
      <c r="P1749" t="s">
        <v>20</v>
      </c>
      <c r="Q1749" t="s">
        <v>18</v>
      </c>
    </row>
    <row r="1750" spans="1:17" x14ac:dyDescent="0.35">
      <c r="A1750">
        <v>80</v>
      </c>
      <c r="B1750">
        <v>25</v>
      </c>
      <c r="C1750" t="s">
        <v>27</v>
      </c>
      <c r="D1750">
        <v>169</v>
      </c>
      <c r="E1750">
        <v>89</v>
      </c>
      <c r="F1750" s="3">
        <v>24.765667179557202</v>
      </c>
      <c r="G1750" s="3" t="str">
        <f t="shared" si="27"/>
        <v>Normal Weight</v>
      </c>
      <c r="H1750" t="s">
        <v>108</v>
      </c>
      <c r="I1750" t="s">
        <v>31</v>
      </c>
      <c r="J1750" t="s">
        <v>19</v>
      </c>
      <c r="K1750" t="s">
        <v>22</v>
      </c>
      <c r="L1750" t="s">
        <v>29</v>
      </c>
      <c r="M1750" t="s">
        <v>19</v>
      </c>
      <c r="N1750" t="s">
        <v>21</v>
      </c>
      <c r="O1750" t="s">
        <v>19</v>
      </c>
      <c r="P1750" t="s">
        <v>19</v>
      </c>
      <c r="Q1750" t="s">
        <v>22</v>
      </c>
    </row>
    <row r="1751" spans="1:17" x14ac:dyDescent="0.35">
      <c r="A1751">
        <v>1747</v>
      </c>
      <c r="B1751">
        <v>35</v>
      </c>
      <c r="C1751" t="s">
        <v>27</v>
      </c>
      <c r="D1751">
        <v>171</v>
      </c>
      <c r="E1751">
        <v>66</v>
      </c>
      <c r="F1751" s="3">
        <v>24.752772511906301</v>
      </c>
      <c r="G1751" s="3" t="str">
        <f t="shared" si="27"/>
        <v>Normal Weight</v>
      </c>
      <c r="H1751" t="s">
        <v>1178</v>
      </c>
      <c r="I1751" t="s">
        <v>24</v>
      </c>
      <c r="J1751" t="s">
        <v>20</v>
      </c>
      <c r="K1751" t="s">
        <v>18</v>
      </c>
      <c r="L1751" t="s">
        <v>29</v>
      </c>
      <c r="M1751" t="s">
        <v>20</v>
      </c>
      <c r="N1751" t="s">
        <v>25</v>
      </c>
      <c r="O1751" t="s">
        <v>20</v>
      </c>
      <c r="P1751" t="s">
        <v>19</v>
      </c>
      <c r="Q1751" t="s">
        <v>22</v>
      </c>
    </row>
    <row r="1752" spans="1:17" x14ac:dyDescent="0.35">
      <c r="A1752">
        <v>1751</v>
      </c>
      <c r="B1752">
        <v>22</v>
      </c>
      <c r="C1752" t="s">
        <v>16</v>
      </c>
      <c r="D1752">
        <v>153</v>
      </c>
      <c r="E1752">
        <v>74</v>
      </c>
      <c r="F1752" s="3">
        <v>33.843709091903399</v>
      </c>
      <c r="G1752" s="3" t="str">
        <f t="shared" si="27"/>
        <v>Obese</v>
      </c>
      <c r="H1752" t="s">
        <v>1120</v>
      </c>
      <c r="I1752" t="s">
        <v>18</v>
      </c>
      <c r="J1752" t="s">
        <v>20</v>
      </c>
      <c r="K1752" t="s">
        <v>18</v>
      </c>
      <c r="L1752" t="s">
        <v>32</v>
      </c>
      <c r="M1752" t="s">
        <v>19</v>
      </c>
      <c r="N1752" t="s">
        <v>21</v>
      </c>
      <c r="O1752" t="s">
        <v>20</v>
      </c>
      <c r="P1752" t="s">
        <v>20</v>
      </c>
      <c r="Q1752" t="s">
        <v>22</v>
      </c>
    </row>
    <row r="1753" spans="1:17" x14ac:dyDescent="0.35">
      <c r="A1753">
        <v>1754</v>
      </c>
      <c r="B1753">
        <v>59</v>
      </c>
      <c r="C1753" t="s">
        <v>27</v>
      </c>
      <c r="D1753">
        <v>189</v>
      </c>
      <c r="E1753">
        <v>71</v>
      </c>
      <c r="F1753" s="3">
        <v>33.404014766941998</v>
      </c>
      <c r="G1753" s="3" t="str">
        <f t="shared" si="27"/>
        <v>Obese</v>
      </c>
      <c r="H1753" t="s">
        <v>1085</v>
      </c>
      <c r="I1753" t="s">
        <v>18</v>
      </c>
      <c r="J1753" t="s">
        <v>19</v>
      </c>
      <c r="K1753" t="s">
        <v>18</v>
      </c>
      <c r="L1753" t="s">
        <v>29</v>
      </c>
      <c r="M1753" t="s">
        <v>20</v>
      </c>
      <c r="N1753" t="s">
        <v>21</v>
      </c>
      <c r="O1753" t="s">
        <v>20</v>
      </c>
      <c r="P1753" t="s">
        <v>19</v>
      </c>
      <c r="Q1753" t="s">
        <v>18</v>
      </c>
    </row>
    <row r="1754" spans="1:17" x14ac:dyDescent="0.35">
      <c r="A1754">
        <v>157</v>
      </c>
      <c r="B1754">
        <v>25</v>
      </c>
      <c r="C1754" t="s">
        <v>16</v>
      </c>
      <c r="D1754">
        <v>166</v>
      </c>
      <c r="E1754">
        <v>95</v>
      </c>
      <c r="F1754" s="3">
        <v>28.413070464103701</v>
      </c>
      <c r="G1754" s="3" t="str">
        <f t="shared" si="27"/>
        <v>Overweight</v>
      </c>
      <c r="H1754" t="s">
        <v>179</v>
      </c>
      <c r="I1754" t="s">
        <v>18</v>
      </c>
      <c r="J1754" t="s">
        <v>20</v>
      </c>
      <c r="K1754" t="s">
        <v>22</v>
      </c>
      <c r="L1754" t="s">
        <v>29</v>
      </c>
      <c r="M1754" t="s">
        <v>19</v>
      </c>
      <c r="N1754" t="s">
        <v>25</v>
      </c>
      <c r="O1754" t="s">
        <v>20</v>
      </c>
      <c r="P1754" t="s">
        <v>19</v>
      </c>
      <c r="Q1754" t="s">
        <v>40</v>
      </c>
    </row>
    <row r="1755" spans="1:17" x14ac:dyDescent="0.35">
      <c r="A1755">
        <v>1758</v>
      </c>
      <c r="B1755">
        <v>72</v>
      </c>
      <c r="C1755" t="s">
        <v>27</v>
      </c>
      <c r="D1755">
        <v>166</v>
      </c>
      <c r="E1755">
        <v>83</v>
      </c>
      <c r="F1755" s="3">
        <v>32.091783621552899</v>
      </c>
      <c r="G1755" s="3" t="str">
        <f t="shared" si="27"/>
        <v>Obese</v>
      </c>
      <c r="H1755" t="s">
        <v>297</v>
      </c>
      <c r="I1755" t="s">
        <v>24</v>
      </c>
      <c r="J1755" t="s">
        <v>20</v>
      </c>
      <c r="K1755" t="s">
        <v>40</v>
      </c>
      <c r="L1755" t="s">
        <v>32</v>
      </c>
      <c r="M1755" t="s">
        <v>20</v>
      </c>
      <c r="N1755" t="s">
        <v>25</v>
      </c>
      <c r="O1755" t="s">
        <v>20</v>
      </c>
      <c r="P1755" t="s">
        <v>19</v>
      </c>
      <c r="Q1755" t="s">
        <v>40</v>
      </c>
    </row>
    <row r="1756" spans="1:17" x14ac:dyDescent="0.35">
      <c r="A1756">
        <v>1761</v>
      </c>
      <c r="B1756">
        <v>22</v>
      </c>
      <c r="C1756" t="s">
        <v>27</v>
      </c>
      <c r="D1756">
        <v>169</v>
      </c>
      <c r="E1756">
        <v>50</v>
      </c>
      <c r="F1756" s="3">
        <v>19.9741083878158</v>
      </c>
      <c r="G1756" s="3" t="str">
        <f t="shared" si="27"/>
        <v>Normal Weight</v>
      </c>
      <c r="H1756" t="s">
        <v>259</v>
      </c>
      <c r="I1756" t="s">
        <v>31</v>
      </c>
      <c r="J1756" t="s">
        <v>19</v>
      </c>
      <c r="K1756" t="s">
        <v>18</v>
      </c>
      <c r="L1756" t="s">
        <v>29</v>
      </c>
      <c r="M1756" t="s">
        <v>20</v>
      </c>
      <c r="N1756" t="s">
        <v>25</v>
      </c>
      <c r="O1756" t="s">
        <v>19</v>
      </c>
      <c r="P1756" t="s">
        <v>20</v>
      </c>
      <c r="Q1756" t="s">
        <v>22</v>
      </c>
    </row>
    <row r="1757" spans="1:17" x14ac:dyDescent="0.35">
      <c r="A1757">
        <v>423</v>
      </c>
      <c r="B1757">
        <v>25</v>
      </c>
      <c r="C1757" t="s">
        <v>16</v>
      </c>
      <c r="D1757">
        <v>183</v>
      </c>
      <c r="E1757">
        <v>97</v>
      </c>
      <c r="F1757" s="3">
        <v>31.8646492707772</v>
      </c>
      <c r="G1757" s="3" t="str">
        <f t="shared" si="27"/>
        <v>Obese</v>
      </c>
      <c r="H1757" t="s">
        <v>314</v>
      </c>
      <c r="I1757" t="s">
        <v>24</v>
      </c>
      <c r="J1757" t="s">
        <v>19</v>
      </c>
      <c r="K1757" t="s">
        <v>22</v>
      </c>
      <c r="L1757" t="s">
        <v>38</v>
      </c>
      <c r="M1757" t="s">
        <v>20</v>
      </c>
      <c r="N1757" t="s">
        <v>25</v>
      </c>
      <c r="O1757" t="s">
        <v>19</v>
      </c>
      <c r="P1757" t="s">
        <v>20</v>
      </c>
      <c r="Q1757" t="s">
        <v>22</v>
      </c>
    </row>
    <row r="1758" spans="1:17" x14ac:dyDescent="0.35">
      <c r="A1758">
        <v>1762</v>
      </c>
      <c r="B1758">
        <v>54</v>
      </c>
      <c r="C1758" t="s">
        <v>27</v>
      </c>
      <c r="D1758">
        <v>182</v>
      </c>
      <c r="E1758">
        <v>70</v>
      </c>
      <c r="F1758" s="3">
        <v>25.7233943754437</v>
      </c>
      <c r="G1758" s="3" t="str">
        <f t="shared" si="27"/>
        <v>Overweight</v>
      </c>
      <c r="H1758" t="s">
        <v>650</v>
      </c>
      <c r="I1758" t="s">
        <v>31</v>
      </c>
      <c r="J1758" t="s">
        <v>19</v>
      </c>
      <c r="K1758" t="s">
        <v>18</v>
      </c>
      <c r="L1758" t="s">
        <v>29</v>
      </c>
      <c r="M1758" t="s">
        <v>20</v>
      </c>
      <c r="N1758" t="s">
        <v>25</v>
      </c>
      <c r="O1758" t="s">
        <v>20</v>
      </c>
      <c r="P1758" t="s">
        <v>20</v>
      </c>
      <c r="Q1758" t="s">
        <v>22</v>
      </c>
    </row>
    <row r="1759" spans="1:17" x14ac:dyDescent="0.35">
      <c r="A1759">
        <v>533</v>
      </c>
      <c r="B1759">
        <v>25</v>
      </c>
      <c r="C1759" t="s">
        <v>16</v>
      </c>
      <c r="D1759">
        <v>161</v>
      </c>
      <c r="E1759">
        <v>62</v>
      </c>
      <c r="F1759" s="3">
        <v>28.559751486550301</v>
      </c>
      <c r="G1759" s="3" t="str">
        <f t="shared" si="27"/>
        <v>Overweight</v>
      </c>
      <c r="H1759" t="s">
        <v>65</v>
      </c>
      <c r="I1759" t="s">
        <v>18</v>
      </c>
      <c r="J1759" t="s">
        <v>20</v>
      </c>
      <c r="K1759" t="s">
        <v>22</v>
      </c>
      <c r="L1759" t="s">
        <v>14</v>
      </c>
      <c r="M1759" t="s">
        <v>19</v>
      </c>
      <c r="N1759" t="s">
        <v>25</v>
      </c>
      <c r="O1759" t="s">
        <v>20</v>
      </c>
      <c r="P1759" t="s">
        <v>19</v>
      </c>
      <c r="Q1759" t="s">
        <v>22</v>
      </c>
    </row>
    <row r="1760" spans="1:17" x14ac:dyDescent="0.35">
      <c r="A1760">
        <v>1764</v>
      </c>
      <c r="B1760">
        <v>47</v>
      </c>
      <c r="C1760" t="s">
        <v>27</v>
      </c>
      <c r="D1760">
        <v>161</v>
      </c>
      <c r="E1760">
        <v>55</v>
      </c>
      <c r="F1760" s="3">
        <v>23.304741507444199</v>
      </c>
      <c r="G1760" s="3" t="str">
        <f t="shared" si="27"/>
        <v>Normal Weight</v>
      </c>
      <c r="H1760" t="s">
        <v>1185</v>
      </c>
      <c r="I1760" t="s">
        <v>24</v>
      </c>
      <c r="J1760" t="s">
        <v>19</v>
      </c>
      <c r="K1760" t="s">
        <v>18</v>
      </c>
      <c r="L1760" t="s">
        <v>38</v>
      </c>
      <c r="M1760" t="s">
        <v>20</v>
      </c>
      <c r="N1760" t="s">
        <v>25</v>
      </c>
      <c r="O1760" t="s">
        <v>20</v>
      </c>
      <c r="P1760" t="s">
        <v>20</v>
      </c>
      <c r="Q1760" t="s">
        <v>22</v>
      </c>
    </row>
    <row r="1761" spans="1:17" x14ac:dyDescent="0.35">
      <c r="A1761">
        <v>720</v>
      </c>
      <c r="B1761">
        <v>25</v>
      </c>
      <c r="C1761" t="s">
        <v>27</v>
      </c>
      <c r="D1761">
        <v>185</v>
      </c>
      <c r="E1761">
        <v>67</v>
      </c>
      <c r="F1761" s="3">
        <v>19.051488945185799</v>
      </c>
      <c r="G1761" s="3" t="str">
        <f t="shared" si="27"/>
        <v>Normal Weight</v>
      </c>
      <c r="H1761" t="s">
        <v>635</v>
      </c>
      <c r="I1761" t="s">
        <v>31</v>
      </c>
      <c r="J1761" t="s">
        <v>20</v>
      </c>
      <c r="K1761" t="s">
        <v>22</v>
      </c>
      <c r="L1761" t="s">
        <v>14</v>
      </c>
      <c r="M1761" t="s">
        <v>20</v>
      </c>
      <c r="N1761" t="s">
        <v>21</v>
      </c>
      <c r="O1761" t="s">
        <v>19</v>
      </c>
      <c r="P1761" t="s">
        <v>19</v>
      </c>
      <c r="Q1761" t="s">
        <v>18</v>
      </c>
    </row>
    <row r="1762" spans="1:17" x14ac:dyDescent="0.35">
      <c r="A1762">
        <v>1766</v>
      </c>
      <c r="B1762">
        <v>51</v>
      </c>
      <c r="C1762" t="s">
        <v>16</v>
      </c>
      <c r="D1762">
        <v>169</v>
      </c>
      <c r="E1762">
        <v>50</v>
      </c>
      <c r="F1762" s="3">
        <v>19.746196919427099</v>
      </c>
      <c r="G1762" s="3" t="str">
        <f t="shared" si="27"/>
        <v>Normal Weight</v>
      </c>
      <c r="H1762" t="s">
        <v>1186</v>
      </c>
      <c r="I1762" t="s">
        <v>31</v>
      </c>
      <c r="J1762" t="s">
        <v>19</v>
      </c>
      <c r="K1762" t="s">
        <v>18</v>
      </c>
      <c r="L1762" t="s">
        <v>29</v>
      </c>
      <c r="M1762" t="s">
        <v>20</v>
      </c>
      <c r="N1762" t="s">
        <v>25</v>
      </c>
      <c r="O1762" t="s">
        <v>19</v>
      </c>
      <c r="P1762" t="s">
        <v>19</v>
      </c>
      <c r="Q1762" t="s">
        <v>40</v>
      </c>
    </row>
    <row r="1763" spans="1:17" x14ac:dyDescent="0.35">
      <c r="A1763">
        <v>886</v>
      </c>
      <c r="B1763">
        <v>25</v>
      </c>
      <c r="C1763" t="s">
        <v>27</v>
      </c>
      <c r="D1763">
        <v>159</v>
      </c>
      <c r="E1763">
        <v>75</v>
      </c>
      <c r="F1763" s="3">
        <v>20.881148720843399</v>
      </c>
      <c r="G1763" s="3" t="str">
        <f t="shared" si="27"/>
        <v>Normal Weight</v>
      </c>
      <c r="H1763" t="s">
        <v>565</v>
      </c>
      <c r="I1763" t="s">
        <v>18</v>
      </c>
      <c r="J1763" t="s">
        <v>20</v>
      </c>
      <c r="K1763" t="s">
        <v>22</v>
      </c>
      <c r="L1763" t="s">
        <v>29</v>
      </c>
      <c r="M1763" t="s">
        <v>20</v>
      </c>
      <c r="N1763" t="s">
        <v>21</v>
      </c>
      <c r="O1763" t="s">
        <v>19</v>
      </c>
      <c r="P1763" t="s">
        <v>19</v>
      </c>
      <c r="Q1763" t="s">
        <v>18</v>
      </c>
    </row>
    <row r="1764" spans="1:17" x14ac:dyDescent="0.35">
      <c r="A1764">
        <v>1770</v>
      </c>
      <c r="B1764">
        <v>69</v>
      </c>
      <c r="C1764" t="s">
        <v>16</v>
      </c>
      <c r="D1764">
        <v>177</v>
      </c>
      <c r="E1764">
        <v>65</v>
      </c>
      <c r="F1764" s="3">
        <v>19.9792618153887</v>
      </c>
      <c r="G1764" s="3" t="str">
        <f t="shared" si="27"/>
        <v>Normal Weight</v>
      </c>
      <c r="H1764" t="s">
        <v>45</v>
      </c>
      <c r="I1764" t="s">
        <v>24</v>
      </c>
      <c r="J1764" t="s">
        <v>20</v>
      </c>
      <c r="K1764" t="s">
        <v>18</v>
      </c>
      <c r="L1764" t="s">
        <v>38</v>
      </c>
      <c r="M1764" t="s">
        <v>20</v>
      </c>
      <c r="N1764" t="s">
        <v>21</v>
      </c>
      <c r="O1764" t="s">
        <v>20</v>
      </c>
      <c r="P1764" t="s">
        <v>19</v>
      </c>
      <c r="Q1764" t="s">
        <v>40</v>
      </c>
    </row>
    <row r="1765" spans="1:17" x14ac:dyDescent="0.35">
      <c r="A1765">
        <v>1771</v>
      </c>
      <c r="B1765">
        <v>75</v>
      </c>
      <c r="C1765" t="s">
        <v>27</v>
      </c>
      <c r="D1765">
        <v>175</v>
      </c>
      <c r="E1765">
        <v>93</v>
      </c>
      <c r="F1765" s="3">
        <v>24.066424792895099</v>
      </c>
      <c r="G1765" s="3" t="str">
        <f t="shared" si="27"/>
        <v>Normal Weight</v>
      </c>
      <c r="H1765" t="s">
        <v>601</v>
      </c>
      <c r="I1765" t="s">
        <v>31</v>
      </c>
      <c r="J1765" t="s">
        <v>19</v>
      </c>
      <c r="K1765" t="s">
        <v>40</v>
      </c>
      <c r="L1765" t="s">
        <v>38</v>
      </c>
      <c r="M1765" t="s">
        <v>20</v>
      </c>
      <c r="N1765" t="s">
        <v>21</v>
      </c>
      <c r="O1765" t="s">
        <v>20</v>
      </c>
      <c r="P1765" t="s">
        <v>20</v>
      </c>
      <c r="Q1765" t="s">
        <v>40</v>
      </c>
    </row>
    <row r="1766" spans="1:17" x14ac:dyDescent="0.35">
      <c r="A1766">
        <v>954</v>
      </c>
      <c r="B1766">
        <v>25</v>
      </c>
      <c r="C1766" t="s">
        <v>27</v>
      </c>
      <c r="D1766">
        <v>151</v>
      </c>
      <c r="E1766">
        <v>82</v>
      </c>
      <c r="F1766" s="3">
        <v>21.215339964083999</v>
      </c>
      <c r="G1766" s="3" t="str">
        <f t="shared" si="27"/>
        <v>Normal Weight</v>
      </c>
      <c r="H1766" t="s">
        <v>773</v>
      </c>
      <c r="I1766" t="s">
        <v>24</v>
      </c>
      <c r="J1766" t="s">
        <v>20</v>
      </c>
      <c r="K1766" t="s">
        <v>22</v>
      </c>
      <c r="L1766" t="s">
        <v>29</v>
      </c>
      <c r="M1766" t="s">
        <v>20</v>
      </c>
      <c r="N1766" t="s">
        <v>25</v>
      </c>
      <c r="O1766" t="s">
        <v>20</v>
      </c>
      <c r="P1766" t="s">
        <v>20</v>
      </c>
      <c r="Q1766" t="s">
        <v>18</v>
      </c>
    </row>
    <row r="1767" spans="1:17" x14ac:dyDescent="0.35">
      <c r="A1767">
        <v>1776</v>
      </c>
      <c r="B1767">
        <v>27</v>
      </c>
      <c r="C1767" t="s">
        <v>27</v>
      </c>
      <c r="D1767">
        <v>186</v>
      </c>
      <c r="E1767">
        <v>50</v>
      </c>
      <c r="F1767" s="3">
        <v>22.189442047340499</v>
      </c>
      <c r="G1767" s="3" t="str">
        <f t="shared" si="27"/>
        <v>Normal Weight</v>
      </c>
      <c r="H1767" t="s">
        <v>1191</v>
      </c>
      <c r="I1767" t="s">
        <v>31</v>
      </c>
      <c r="J1767" t="s">
        <v>19</v>
      </c>
      <c r="K1767" t="s">
        <v>18</v>
      </c>
      <c r="L1767" t="s">
        <v>32</v>
      </c>
      <c r="M1767" t="s">
        <v>20</v>
      </c>
      <c r="N1767" t="s">
        <v>21</v>
      </c>
      <c r="O1767" t="s">
        <v>19</v>
      </c>
      <c r="P1767" t="s">
        <v>19</v>
      </c>
      <c r="Q1767" t="s">
        <v>22</v>
      </c>
    </row>
    <row r="1768" spans="1:17" x14ac:dyDescent="0.35">
      <c r="A1768">
        <v>1139</v>
      </c>
      <c r="B1768">
        <v>25</v>
      </c>
      <c r="C1768" t="s">
        <v>16</v>
      </c>
      <c r="D1768">
        <v>183</v>
      </c>
      <c r="E1768">
        <v>65</v>
      </c>
      <c r="F1768" s="3">
        <v>21.882157341627501</v>
      </c>
      <c r="G1768" s="3" t="str">
        <f t="shared" si="27"/>
        <v>Normal Weight</v>
      </c>
      <c r="H1768" t="s">
        <v>597</v>
      </c>
      <c r="I1768" t="s">
        <v>18</v>
      </c>
      <c r="J1768" t="s">
        <v>19</v>
      </c>
      <c r="K1768" t="s">
        <v>22</v>
      </c>
      <c r="L1768" t="s">
        <v>38</v>
      </c>
      <c r="M1768" t="s">
        <v>20</v>
      </c>
      <c r="N1768" t="s">
        <v>21</v>
      </c>
      <c r="O1768" t="s">
        <v>19</v>
      </c>
      <c r="P1768" t="s">
        <v>19</v>
      </c>
      <c r="Q1768" t="s">
        <v>40</v>
      </c>
    </row>
    <row r="1769" spans="1:17" x14ac:dyDescent="0.35">
      <c r="A1769">
        <v>1777</v>
      </c>
      <c r="B1769">
        <v>47</v>
      </c>
      <c r="C1769" t="s">
        <v>27</v>
      </c>
      <c r="D1769">
        <v>187</v>
      </c>
      <c r="E1769">
        <v>85</v>
      </c>
      <c r="F1769" s="3">
        <v>33.902009236622497</v>
      </c>
      <c r="G1769" s="3" t="str">
        <f t="shared" si="27"/>
        <v>Obese</v>
      </c>
      <c r="H1769" t="s">
        <v>961</v>
      </c>
      <c r="I1769" t="s">
        <v>18</v>
      </c>
      <c r="J1769" t="s">
        <v>20</v>
      </c>
      <c r="K1769" t="s">
        <v>18</v>
      </c>
      <c r="L1769" t="s">
        <v>14</v>
      </c>
      <c r="M1769" t="s">
        <v>20</v>
      </c>
      <c r="N1769" t="s">
        <v>21</v>
      </c>
      <c r="O1769" t="s">
        <v>20</v>
      </c>
      <c r="P1769" t="s">
        <v>19</v>
      </c>
      <c r="Q1769" t="s">
        <v>40</v>
      </c>
    </row>
    <row r="1770" spans="1:17" x14ac:dyDescent="0.35">
      <c r="A1770">
        <v>1260</v>
      </c>
      <c r="B1770">
        <v>25</v>
      </c>
      <c r="C1770" t="s">
        <v>27</v>
      </c>
      <c r="D1770">
        <v>165</v>
      </c>
      <c r="E1770">
        <v>72</v>
      </c>
      <c r="F1770" s="3">
        <v>31.75231344194</v>
      </c>
      <c r="G1770" s="3" t="str">
        <f t="shared" si="27"/>
        <v>Obese</v>
      </c>
      <c r="H1770" t="s">
        <v>958</v>
      </c>
      <c r="I1770" t="s">
        <v>18</v>
      </c>
      <c r="J1770" t="s">
        <v>19</v>
      </c>
      <c r="K1770" t="s">
        <v>22</v>
      </c>
      <c r="L1770" t="s">
        <v>38</v>
      </c>
      <c r="M1770" t="s">
        <v>19</v>
      </c>
      <c r="N1770" t="s">
        <v>25</v>
      </c>
      <c r="O1770" t="s">
        <v>19</v>
      </c>
      <c r="P1770" t="s">
        <v>19</v>
      </c>
      <c r="Q1770" t="s">
        <v>18</v>
      </c>
    </row>
    <row r="1771" spans="1:17" x14ac:dyDescent="0.35">
      <c r="A1771">
        <v>1779</v>
      </c>
      <c r="B1771">
        <v>76</v>
      </c>
      <c r="C1771" t="s">
        <v>27</v>
      </c>
      <c r="D1771">
        <v>185</v>
      </c>
      <c r="E1771">
        <v>92</v>
      </c>
      <c r="F1771" s="3">
        <v>21.156243122841602</v>
      </c>
      <c r="G1771" s="3" t="str">
        <f t="shared" si="27"/>
        <v>Normal Weight</v>
      </c>
      <c r="H1771" t="s">
        <v>1192</v>
      </c>
      <c r="I1771" t="s">
        <v>18</v>
      </c>
      <c r="J1771" t="s">
        <v>19</v>
      </c>
      <c r="K1771" t="s">
        <v>40</v>
      </c>
      <c r="L1771" t="s">
        <v>29</v>
      </c>
      <c r="M1771" t="s">
        <v>19</v>
      </c>
      <c r="N1771" t="s">
        <v>21</v>
      </c>
      <c r="O1771" t="s">
        <v>19</v>
      </c>
      <c r="P1771" t="s">
        <v>19</v>
      </c>
      <c r="Q1771" t="s">
        <v>18</v>
      </c>
    </row>
    <row r="1772" spans="1:17" x14ac:dyDescent="0.35">
      <c r="A1772">
        <v>1400</v>
      </c>
      <c r="B1772">
        <v>25</v>
      </c>
      <c r="C1772" t="s">
        <v>16</v>
      </c>
      <c r="D1772">
        <v>150</v>
      </c>
      <c r="E1772">
        <v>59</v>
      </c>
      <c r="F1772" s="3">
        <v>34.478915653256699</v>
      </c>
      <c r="G1772" s="3" t="str">
        <f t="shared" si="27"/>
        <v>Obese</v>
      </c>
      <c r="H1772" t="s">
        <v>897</v>
      </c>
      <c r="I1772" t="s">
        <v>31</v>
      </c>
      <c r="J1772" t="s">
        <v>19</v>
      </c>
      <c r="K1772" t="s">
        <v>22</v>
      </c>
      <c r="L1772" t="s">
        <v>29</v>
      </c>
      <c r="M1772" t="s">
        <v>20</v>
      </c>
      <c r="N1772" t="s">
        <v>21</v>
      </c>
      <c r="O1772" t="s">
        <v>20</v>
      </c>
      <c r="P1772" t="s">
        <v>19</v>
      </c>
      <c r="Q1772" t="s">
        <v>40</v>
      </c>
    </row>
    <row r="1773" spans="1:17" x14ac:dyDescent="0.35">
      <c r="A1773">
        <v>1780</v>
      </c>
      <c r="B1773">
        <v>63</v>
      </c>
      <c r="C1773" t="s">
        <v>16</v>
      </c>
      <c r="D1773">
        <v>175</v>
      </c>
      <c r="E1773">
        <v>66</v>
      </c>
      <c r="F1773" s="3">
        <v>27.792212409490201</v>
      </c>
      <c r="G1773" s="3" t="str">
        <f t="shared" si="27"/>
        <v>Overweight</v>
      </c>
      <c r="H1773" t="s">
        <v>654</v>
      </c>
      <c r="I1773" t="s">
        <v>18</v>
      </c>
      <c r="J1773" t="s">
        <v>20</v>
      </c>
      <c r="K1773" t="s">
        <v>18</v>
      </c>
      <c r="L1773" t="s">
        <v>29</v>
      </c>
      <c r="M1773" t="s">
        <v>19</v>
      </c>
      <c r="N1773" t="s">
        <v>21</v>
      </c>
      <c r="O1773" t="s">
        <v>19</v>
      </c>
      <c r="P1773" t="s">
        <v>20</v>
      </c>
      <c r="Q1773" t="s">
        <v>18</v>
      </c>
    </row>
    <row r="1774" spans="1:17" x14ac:dyDescent="0.35">
      <c r="A1774">
        <v>1453</v>
      </c>
      <c r="B1774">
        <v>25</v>
      </c>
      <c r="C1774" t="s">
        <v>16</v>
      </c>
      <c r="D1774">
        <v>172</v>
      </c>
      <c r="E1774">
        <v>68</v>
      </c>
      <c r="F1774" s="3">
        <v>26.949461515527901</v>
      </c>
      <c r="G1774" s="3" t="str">
        <f t="shared" si="27"/>
        <v>Overweight</v>
      </c>
      <c r="H1774" t="s">
        <v>1050</v>
      </c>
      <c r="I1774" t="s">
        <v>18</v>
      </c>
      <c r="J1774" t="s">
        <v>19</v>
      </c>
      <c r="K1774" t="s">
        <v>22</v>
      </c>
      <c r="L1774" t="s">
        <v>14</v>
      </c>
      <c r="M1774" t="s">
        <v>19</v>
      </c>
      <c r="N1774" t="s">
        <v>25</v>
      </c>
      <c r="O1774" t="s">
        <v>20</v>
      </c>
      <c r="P1774" t="s">
        <v>19</v>
      </c>
      <c r="Q1774" t="s">
        <v>40</v>
      </c>
    </row>
    <row r="1775" spans="1:17" x14ac:dyDescent="0.35">
      <c r="A1775">
        <v>1495</v>
      </c>
      <c r="B1775">
        <v>25</v>
      </c>
      <c r="C1775" t="s">
        <v>27</v>
      </c>
      <c r="D1775">
        <v>162</v>
      </c>
      <c r="E1775">
        <v>67</v>
      </c>
      <c r="F1775" s="3">
        <v>32.378086815165602</v>
      </c>
      <c r="G1775" s="3" t="str">
        <f t="shared" si="27"/>
        <v>Obese</v>
      </c>
      <c r="H1775" t="s">
        <v>439</v>
      </c>
      <c r="I1775" t="s">
        <v>31</v>
      </c>
      <c r="J1775" t="s">
        <v>19</v>
      </c>
      <c r="K1775" t="s">
        <v>22</v>
      </c>
      <c r="L1775" t="s">
        <v>14</v>
      </c>
      <c r="M1775" t="s">
        <v>20</v>
      </c>
      <c r="N1775" t="s">
        <v>21</v>
      </c>
      <c r="O1775" t="s">
        <v>19</v>
      </c>
      <c r="P1775" t="s">
        <v>19</v>
      </c>
      <c r="Q1775" t="s">
        <v>40</v>
      </c>
    </row>
    <row r="1776" spans="1:17" x14ac:dyDescent="0.35">
      <c r="A1776">
        <v>1520</v>
      </c>
      <c r="B1776">
        <v>25</v>
      </c>
      <c r="C1776" t="s">
        <v>16</v>
      </c>
      <c r="D1776">
        <v>150</v>
      </c>
      <c r="E1776">
        <v>71</v>
      </c>
      <c r="F1776" s="3">
        <v>33.756867058106998</v>
      </c>
      <c r="G1776" s="3" t="str">
        <f t="shared" si="27"/>
        <v>Obese</v>
      </c>
      <c r="H1776" t="s">
        <v>1082</v>
      </c>
      <c r="I1776" t="s">
        <v>31</v>
      </c>
      <c r="J1776" t="s">
        <v>20</v>
      </c>
      <c r="K1776" t="s">
        <v>22</v>
      </c>
      <c r="L1776" t="s">
        <v>29</v>
      </c>
      <c r="M1776" t="s">
        <v>19</v>
      </c>
      <c r="N1776" t="s">
        <v>25</v>
      </c>
      <c r="O1776" t="s">
        <v>20</v>
      </c>
      <c r="P1776" t="s">
        <v>19</v>
      </c>
      <c r="Q1776" t="s">
        <v>22</v>
      </c>
    </row>
    <row r="1777" spans="1:17" x14ac:dyDescent="0.35">
      <c r="A1777">
        <v>1781</v>
      </c>
      <c r="B1777">
        <v>40</v>
      </c>
      <c r="C1777" t="s">
        <v>16</v>
      </c>
      <c r="D1777">
        <v>160</v>
      </c>
      <c r="E1777">
        <v>72</v>
      </c>
      <c r="F1777" s="3">
        <v>34.072272985689402</v>
      </c>
      <c r="G1777" s="3" t="str">
        <f t="shared" si="27"/>
        <v>Obese</v>
      </c>
      <c r="H1777" t="s">
        <v>607</v>
      </c>
      <c r="I1777" t="s">
        <v>18</v>
      </c>
      <c r="J1777" t="s">
        <v>19</v>
      </c>
      <c r="K1777" t="s">
        <v>18</v>
      </c>
      <c r="L1777" t="s">
        <v>32</v>
      </c>
      <c r="M1777" t="s">
        <v>20</v>
      </c>
      <c r="N1777" t="s">
        <v>25</v>
      </c>
      <c r="O1777" t="s">
        <v>20</v>
      </c>
      <c r="P1777" t="s">
        <v>20</v>
      </c>
      <c r="Q1777" t="s">
        <v>22</v>
      </c>
    </row>
    <row r="1778" spans="1:17" x14ac:dyDescent="0.35">
      <c r="A1778">
        <v>1674</v>
      </c>
      <c r="B1778">
        <v>25</v>
      </c>
      <c r="C1778" t="s">
        <v>16</v>
      </c>
      <c r="D1778">
        <v>187</v>
      </c>
      <c r="E1778">
        <v>65</v>
      </c>
      <c r="F1778" s="3">
        <v>30.042209861642402</v>
      </c>
      <c r="G1778" s="3" t="str">
        <f t="shared" si="27"/>
        <v>Obese</v>
      </c>
      <c r="H1778" t="s">
        <v>1143</v>
      </c>
      <c r="I1778" t="s">
        <v>18</v>
      </c>
      <c r="J1778" t="s">
        <v>19</v>
      </c>
      <c r="K1778" t="s">
        <v>22</v>
      </c>
      <c r="L1778" t="s">
        <v>38</v>
      </c>
      <c r="M1778" t="s">
        <v>19</v>
      </c>
      <c r="N1778" t="s">
        <v>25</v>
      </c>
      <c r="O1778" t="s">
        <v>20</v>
      </c>
      <c r="P1778" t="s">
        <v>19</v>
      </c>
      <c r="Q1778" t="s">
        <v>40</v>
      </c>
    </row>
    <row r="1779" spans="1:17" x14ac:dyDescent="0.35">
      <c r="A1779">
        <v>1784</v>
      </c>
      <c r="B1779">
        <v>67</v>
      </c>
      <c r="C1779" t="s">
        <v>16</v>
      </c>
      <c r="D1779">
        <v>171</v>
      </c>
      <c r="E1779">
        <v>56</v>
      </c>
      <c r="F1779" s="3">
        <v>33.984386066771698</v>
      </c>
      <c r="G1779" s="3" t="str">
        <f t="shared" si="27"/>
        <v>Obese</v>
      </c>
      <c r="H1779" t="s">
        <v>424</v>
      </c>
      <c r="I1779" t="s">
        <v>31</v>
      </c>
      <c r="J1779" t="s">
        <v>19</v>
      </c>
      <c r="K1779" t="s">
        <v>18</v>
      </c>
      <c r="L1779" t="s">
        <v>29</v>
      </c>
      <c r="M1779" t="s">
        <v>20</v>
      </c>
      <c r="N1779" t="s">
        <v>25</v>
      </c>
      <c r="O1779" t="s">
        <v>19</v>
      </c>
      <c r="P1779" t="s">
        <v>20</v>
      </c>
      <c r="Q1779" t="s">
        <v>40</v>
      </c>
    </row>
    <row r="1780" spans="1:17" x14ac:dyDescent="0.35">
      <c r="A1780">
        <v>1703</v>
      </c>
      <c r="B1780">
        <v>25</v>
      </c>
      <c r="C1780" t="s">
        <v>27</v>
      </c>
      <c r="D1780">
        <v>164</v>
      </c>
      <c r="E1780">
        <v>71</v>
      </c>
      <c r="F1780" s="3">
        <v>20.727145020182</v>
      </c>
      <c r="G1780" s="3" t="str">
        <f t="shared" si="27"/>
        <v>Normal Weight</v>
      </c>
      <c r="H1780" t="s">
        <v>1157</v>
      </c>
      <c r="I1780" t="s">
        <v>24</v>
      </c>
      <c r="J1780" t="s">
        <v>20</v>
      </c>
      <c r="K1780" t="s">
        <v>22</v>
      </c>
      <c r="L1780" t="s">
        <v>32</v>
      </c>
      <c r="M1780" t="s">
        <v>20</v>
      </c>
      <c r="N1780" t="s">
        <v>25</v>
      </c>
      <c r="O1780" t="s">
        <v>20</v>
      </c>
      <c r="P1780" t="s">
        <v>20</v>
      </c>
      <c r="Q1780" t="s">
        <v>22</v>
      </c>
    </row>
    <row r="1781" spans="1:17" x14ac:dyDescent="0.35">
      <c r="A1781">
        <v>1713</v>
      </c>
      <c r="B1781">
        <v>25</v>
      </c>
      <c r="C1781" t="s">
        <v>16</v>
      </c>
      <c r="D1781">
        <v>178</v>
      </c>
      <c r="E1781">
        <v>63</v>
      </c>
      <c r="F1781" s="3">
        <v>21.007673010821801</v>
      </c>
      <c r="G1781" s="3" t="str">
        <f t="shared" si="27"/>
        <v>Normal Weight</v>
      </c>
      <c r="H1781" t="s">
        <v>1163</v>
      </c>
      <c r="I1781" t="s">
        <v>24</v>
      </c>
      <c r="J1781" t="s">
        <v>20</v>
      </c>
      <c r="K1781" t="s">
        <v>22</v>
      </c>
      <c r="L1781" t="s">
        <v>32</v>
      </c>
      <c r="M1781" t="s">
        <v>20</v>
      </c>
      <c r="N1781" t="s">
        <v>21</v>
      </c>
      <c r="O1781" t="s">
        <v>19</v>
      </c>
      <c r="P1781" t="s">
        <v>19</v>
      </c>
      <c r="Q1781" t="s">
        <v>18</v>
      </c>
    </row>
    <row r="1782" spans="1:17" x14ac:dyDescent="0.35">
      <c r="A1782">
        <v>1938</v>
      </c>
      <c r="B1782">
        <v>25</v>
      </c>
      <c r="C1782" t="s">
        <v>27</v>
      </c>
      <c r="D1782">
        <v>157</v>
      </c>
      <c r="E1782">
        <v>67</v>
      </c>
      <c r="F1782" s="3">
        <v>24.828861951620301</v>
      </c>
      <c r="G1782" s="3" t="str">
        <f t="shared" si="27"/>
        <v>Normal Weight</v>
      </c>
      <c r="H1782" t="s">
        <v>415</v>
      </c>
      <c r="I1782" t="s">
        <v>18</v>
      </c>
      <c r="J1782" t="s">
        <v>20</v>
      </c>
      <c r="K1782" t="s">
        <v>22</v>
      </c>
      <c r="L1782" t="s">
        <v>14</v>
      </c>
      <c r="M1782" t="s">
        <v>19</v>
      </c>
      <c r="N1782" t="s">
        <v>21</v>
      </c>
      <c r="O1782" t="s">
        <v>19</v>
      </c>
      <c r="P1782" t="s">
        <v>19</v>
      </c>
      <c r="Q1782" t="s">
        <v>40</v>
      </c>
    </row>
    <row r="1783" spans="1:17" x14ac:dyDescent="0.35">
      <c r="A1783">
        <v>1785</v>
      </c>
      <c r="B1783">
        <v>68</v>
      </c>
      <c r="C1783" t="s">
        <v>16</v>
      </c>
      <c r="D1783">
        <v>169</v>
      </c>
      <c r="E1783">
        <v>93</v>
      </c>
      <c r="F1783" s="3">
        <v>21.3229184531431</v>
      </c>
      <c r="G1783" s="3" t="str">
        <f t="shared" si="27"/>
        <v>Normal Weight</v>
      </c>
      <c r="H1783" t="s">
        <v>55</v>
      </c>
      <c r="I1783" t="s">
        <v>18</v>
      </c>
      <c r="J1783" t="s">
        <v>19</v>
      </c>
      <c r="K1783" t="s">
        <v>18</v>
      </c>
      <c r="L1783" t="s">
        <v>38</v>
      </c>
      <c r="M1783" t="s">
        <v>20</v>
      </c>
      <c r="N1783" t="s">
        <v>25</v>
      </c>
      <c r="O1783" t="s">
        <v>20</v>
      </c>
      <c r="P1783" t="s">
        <v>20</v>
      </c>
      <c r="Q1783" t="s">
        <v>22</v>
      </c>
    </row>
    <row r="1784" spans="1:17" x14ac:dyDescent="0.35">
      <c r="A1784">
        <v>1789</v>
      </c>
      <c r="B1784">
        <v>57</v>
      </c>
      <c r="C1784" t="s">
        <v>16</v>
      </c>
      <c r="D1784">
        <v>175</v>
      </c>
      <c r="E1784">
        <v>94</v>
      </c>
      <c r="F1784" s="3">
        <v>26.372311991949701</v>
      </c>
      <c r="G1784" s="3" t="str">
        <f t="shared" si="27"/>
        <v>Overweight</v>
      </c>
      <c r="H1784" t="s">
        <v>892</v>
      </c>
      <c r="I1784" t="s">
        <v>31</v>
      </c>
      <c r="J1784" t="s">
        <v>20</v>
      </c>
      <c r="K1784" t="s">
        <v>18</v>
      </c>
      <c r="L1784" t="s">
        <v>38</v>
      </c>
      <c r="M1784" t="s">
        <v>19</v>
      </c>
      <c r="N1784" t="s">
        <v>25</v>
      </c>
      <c r="O1784" t="s">
        <v>20</v>
      </c>
      <c r="P1784" t="s">
        <v>20</v>
      </c>
      <c r="Q1784" t="s">
        <v>22</v>
      </c>
    </row>
    <row r="1785" spans="1:17" x14ac:dyDescent="0.35">
      <c r="A1785">
        <v>58</v>
      </c>
      <c r="B1785">
        <v>24</v>
      </c>
      <c r="C1785" t="s">
        <v>16</v>
      </c>
      <c r="D1785">
        <v>182</v>
      </c>
      <c r="E1785">
        <v>55</v>
      </c>
      <c r="F1785" s="3">
        <v>28.982835220687299</v>
      </c>
      <c r="G1785" s="3" t="str">
        <f t="shared" si="27"/>
        <v>Overweight</v>
      </c>
      <c r="H1785" t="s">
        <v>87</v>
      </c>
      <c r="I1785" t="s">
        <v>18</v>
      </c>
      <c r="J1785" t="s">
        <v>19</v>
      </c>
      <c r="K1785" t="s">
        <v>22</v>
      </c>
      <c r="L1785" t="s">
        <v>38</v>
      </c>
      <c r="M1785" t="s">
        <v>20</v>
      </c>
      <c r="N1785" t="s">
        <v>25</v>
      </c>
      <c r="O1785" t="s">
        <v>20</v>
      </c>
      <c r="P1785" t="s">
        <v>20</v>
      </c>
      <c r="Q1785" t="s">
        <v>22</v>
      </c>
    </row>
    <row r="1786" spans="1:17" x14ac:dyDescent="0.35">
      <c r="A1786">
        <v>77</v>
      </c>
      <c r="B1786">
        <v>24</v>
      </c>
      <c r="C1786" t="s">
        <v>27</v>
      </c>
      <c r="D1786">
        <v>164</v>
      </c>
      <c r="E1786">
        <v>68</v>
      </c>
      <c r="F1786" s="3">
        <v>27.812873698365799</v>
      </c>
      <c r="G1786" s="3" t="str">
        <f t="shared" si="27"/>
        <v>Overweight</v>
      </c>
      <c r="H1786" t="s">
        <v>106</v>
      </c>
      <c r="I1786" t="s">
        <v>18</v>
      </c>
      <c r="J1786" t="s">
        <v>20</v>
      </c>
      <c r="K1786" t="s">
        <v>22</v>
      </c>
      <c r="L1786" t="s">
        <v>32</v>
      </c>
      <c r="M1786" t="s">
        <v>20</v>
      </c>
      <c r="N1786" t="s">
        <v>25</v>
      </c>
      <c r="O1786" t="s">
        <v>20</v>
      </c>
      <c r="P1786" t="s">
        <v>19</v>
      </c>
      <c r="Q1786" t="s">
        <v>40</v>
      </c>
    </row>
    <row r="1787" spans="1:17" x14ac:dyDescent="0.35">
      <c r="A1787">
        <v>134</v>
      </c>
      <c r="B1787">
        <v>24</v>
      </c>
      <c r="C1787" t="s">
        <v>16</v>
      </c>
      <c r="D1787">
        <v>160</v>
      </c>
      <c r="E1787">
        <v>69</v>
      </c>
      <c r="F1787" s="3">
        <v>20.466972306869401</v>
      </c>
      <c r="G1787" s="3" t="str">
        <f t="shared" si="27"/>
        <v>Normal Weight</v>
      </c>
      <c r="H1787" t="s">
        <v>158</v>
      </c>
      <c r="I1787" t="s">
        <v>18</v>
      </c>
      <c r="J1787" t="s">
        <v>20</v>
      </c>
      <c r="K1787" t="s">
        <v>22</v>
      </c>
      <c r="L1787" t="s">
        <v>29</v>
      </c>
      <c r="M1787" t="s">
        <v>20</v>
      </c>
      <c r="N1787" t="s">
        <v>25</v>
      </c>
      <c r="O1787" t="s">
        <v>19</v>
      </c>
      <c r="P1787" t="s">
        <v>20</v>
      </c>
      <c r="Q1787" t="s">
        <v>22</v>
      </c>
    </row>
    <row r="1788" spans="1:17" x14ac:dyDescent="0.35">
      <c r="A1788">
        <v>1790</v>
      </c>
      <c r="B1788">
        <v>19</v>
      </c>
      <c r="C1788" t="s">
        <v>27</v>
      </c>
      <c r="D1788">
        <v>179</v>
      </c>
      <c r="E1788">
        <v>53</v>
      </c>
      <c r="F1788" s="3">
        <v>34.910310235294602</v>
      </c>
      <c r="G1788" s="3" t="str">
        <f t="shared" si="27"/>
        <v>Obese</v>
      </c>
      <c r="H1788" t="s">
        <v>1074</v>
      </c>
      <c r="I1788" t="s">
        <v>18</v>
      </c>
      <c r="J1788" t="s">
        <v>19</v>
      </c>
      <c r="K1788" t="s">
        <v>18</v>
      </c>
      <c r="L1788" t="s">
        <v>29</v>
      </c>
      <c r="M1788" t="s">
        <v>20</v>
      </c>
      <c r="N1788" t="s">
        <v>21</v>
      </c>
      <c r="O1788" t="s">
        <v>19</v>
      </c>
      <c r="P1788" t="s">
        <v>20</v>
      </c>
      <c r="Q1788" t="s">
        <v>40</v>
      </c>
    </row>
    <row r="1789" spans="1:17" x14ac:dyDescent="0.35">
      <c r="A1789">
        <v>212</v>
      </c>
      <c r="B1789">
        <v>24</v>
      </c>
      <c r="C1789" t="s">
        <v>27</v>
      </c>
      <c r="D1789">
        <v>189</v>
      </c>
      <c r="E1789">
        <v>70</v>
      </c>
      <c r="F1789" s="3">
        <v>20.650826645713799</v>
      </c>
      <c r="G1789" s="3" t="str">
        <f t="shared" si="27"/>
        <v>Normal Weight</v>
      </c>
      <c r="H1789" t="s">
        <v>228</v>
      </c>
      <c r="I1789" t="s">
        <v>31</v>
      </c>
      <c r="J1789" t="s">
        <v>20</v>
      </c>
      <c r="K1789" t="s">
        <v>22</v>
      </c>
      <c r="L1789" t="s">
        <v>38</v>
      </c>
      <c r="M1789" t="s">
        <v>20</v>
      </c>
      <c r="N1789" t="s">
        <v>25</v>
      </c>
      <c r="O1789" t="s">
        <v>20</v>
      </c>
      <c r="P1789" t="s">
        <v>19</v>
      </c>
      <c r="Q1789" t="s">
        <v>22</v>
      </c>
    </row>
    <row r="1790" spans="1:17" x14ac:dyDescent="0.35">
      <c r="A1790">
        <v>1791</v>
      </c>
      <c r="B1790">
        <v>62</v>
      </c>
      <c r="C1790" t="s">
        <v>16</v>
      </c>
      <c r="D1790">
        <v>166</v>
      </c>
      <c r="E1790">
        <v>63</v>
      </c>
      <c r="F1790" s="3">
        <v>29.706333042376802</v>
      </c>
      <c r="G1790" s="3" t="str">
        <f t="shared" si="27"/>
        <v>Overweight</v>
      </c>
      <c r="H1790" t="s">
        <v>192</v>
      </c>
      <c r="I1790" t="s">
        <v>31</v>
      </c>
      <c r="J1790" t="s">
        <v>20</v>
      </c>
      <c r="K1790" t="s">
        <v>18</v>
      </c>
      <c r="L1790" t="s">
        <v>32</v>
      </c>
      <c r="M1790" t="s">
        <v>20</v>
      </c>
      <c r="N1790" t="s">
        <v>25</v>
      </c>
      <c r="O1790" t="s">
        <v>19</v>
      </c>
      <c r="P1790" t="s">
        <v>20</v>
      </c>
      <c r="Q1790" t="s">
        <v>18</v>
      </c>
    </row>
    <row r="1791" spans="1:17" x14ac:dyDescent="0.35">
      <c r="A1791">
        <v>1797</v>
      </c>
      <c r="B1791">
        <v>60</v>
      </c>
      <c r="C1791" t="s">
        <v>27</v>
      </c>
      <c r="D1791">
        <v>172</v>
      </c>
      <c r="E1791">
        <v>51</v>
      </c>
      <c r="F1791" s="3">
        <v>23.5210752650442</v>
      </c>
      <c r="G1791" s="3" t="str">
        <f t="shared" si="27"/>
        <v>Normal Weight</v>
      </c>
      <c r="H1791" t="s">
        <v>1199</v>
      </c>
      <c r="I1791" t="s">
        <v>18</v>
      </c>
      <c r="J1791" t="s">
        <v>20</v>
      </c>
      <c r="K1791" t="s">
        <v>18</v>
      </c>
      <c r="L1791" t="s">
        <v>29</v>
      </c>
      <c r="M1791" t="s">
        <v>19</v>
      </c>
      <c r="N1791" t="s">
        <v>25</v>
      </c>
      <c r="O1791" t="s">
        <v>19</v>
      </c>
      <c r="P1791" t="s">
        <v>19</v>
      </c>
      <c r="Q1791" t="s">
        <v>22</v>
      </c>
    </row>
    <row r="1792" spans="1:17" x14ac:dyDescent="0.35">
      <c r="A1792">
        <v>1798</v>
      </c>
      <c r="B1792">
        <v>63</v>
      </c>
      <c r="C1792" t="s">
        <v>27</v>
      </c>
      <c r="D1792">
        <v>173</v>
      </c>
      <c r="E1792">
        <v>59</v>
      </c>
      <c r="F1792" s="3">
        <v>19.926548867482499</v>
      </c>
      <c r="G1792" s="3" t="str">
        <f t="shared" si="27"/>
        <v>Normal Weight</v>
      </c>
      <c r="H1792" t="s">
        <v>477</v>
      </c>
      <c r="I1792" t="s">
        <v>31</v>
      </c>
      <c r="J1792" t="s">
        <v>20</v>
      </c>
      <c r="K1792" t="s">
        <v>18</v>
      </c>
      <c r="L1792" t="s">
        <v>29</v>
      </c>
      <c r="M1792" t="s">
        <v>20</v>
      </c>
      <c r="N1792" t="s">
        <v>25</v>
      </c>
      <c r="O1792" t="s">
        <v>20</v>
      </c>
      <c r="P1792" t="s">
        <v>20</v>
      </c>
      <c r="Q1792" t="s">
        <v>22</v>
      </c>
    </row>
    <row r="1793" spans="1:17" x14ac:dyDescent="0.35">
      <c r="A1793">
        <v>1799</v>
      </c>
      <c r="B1793">
        <v>21</v>
      </c>
      <c r="C1793" t="s">
        <v>27</v>
      </c>
      <c r="D1793">
        <v>158</v>
      </c>
      <c r="E1793">
        <v>99</v>
      </c>
      <c r="F1793" s="3">
        <v>18.5235676608064</v>
      </c>
      <c r="G1793" s="3" t="str">
        <f t="shared" si="27"/>
        <v>Normal Weight</v>
      </c>
      <c r="H1793" t="s">
        <v>286</v>
      </c>
      <c r="I1793" t="s">
        <v>31</v>
      </c>
      <c r="J1793" t="s">
        <v>20</v>
      </c>
      <c r="K1793" t="s">
        <v>18</v>
      </c>
      <c r="L1793" t="s">
        <v>32</v>
      </c>
      <c r="M1793" t="s">
        <v>19</v>
      </c>
      <c r="N1793" t="s">
        <v>25</v>
      </c>
      <c r="O1793" t="s">
        <v>19</v>
      </c>
      <c r="P1793" t="s">
        <v>20</v>
      </c>
      <c r="Q1793" t="s">
        <v>22</v>
      </c>
    </row>
    <row r="1794" spans="1:17" x14ac:dyDescent="0.35">
      <c r="A1794">
        <v>729</v>
      </c>
      <c r="B1794">
        <v>24</v>
      </c>
      <c r="C1794" t="s">
        <v>27</v>
      </c>
      <c r="D1794">
        <v>172</v>
      </c>
      <c r="E1794">
        <v>70</v>
      </c>
      <c r="F1794" s="3">
        <v>20.879960348448702</v>
      </c>
      <c r="G1794" s="3" t="str">
        <f t="shared" si="27"/>
        <v>Normal Weight</v>
      </c>
      <c r="H1794" t="s">
        <v>277</v>
      </c>
      <c r="I1794" t="s">
        <v>24</v>
      </c>
      <c r="J1794" t="s">
        <v>19</v>
      </c>
      <c r="K1794" t="s">
        <v>22</v>
      </c>
      <c r="L1794" t="s">
        <v>32</v>
      </c>
      <c r="M1794" t="s">
        <v>19</v>
      </c>
      <c r="N1794" t="s">
        <v>21</v>
      </c>
      <c r="O1794" t="s">
        <v>19</v>
      </c>
      <c r="P1794" t="s">
        <v>20</v>
      </c>
      <c r="Q1794" t="s">
        <v>18</v>
      </c>
    </row>
    <row r="1795" spans="1:17" x14ac:dyDescent="0.35">
      <c r="A1795">
        <v>789</v>
      </c>
      <c r="B1795">
        <v>24</v>
      </c>
      <c r="C1795" t="s">
        <v>16</v>
      </c>
      <c r="D1795">
        <v>155</v>
      </c>
      <c r="E1795">
        <v>72</v>
      </c>
      <c r="F1795" s="3">
        <v>21.199667368281499</v>
      </c>
      <c r="G1795" s="3" t="str">
        <f t="shared" ref="G1795:G1858" si="28">_xlfn.IFS(F1795&lt;18.5, "Underweight", F1795&lt;=24.9, "Normal Weight", F1795&lt;=29.9, "Overweight", TRUE, "Obese")</f>
        <v>Normal Weight</v>
      </c>
      <c r="H1795" t="s">
        <v>683</v>
      </c>
      <c r="I1795" t="s">
        <v>31</v>
      </c>
      <c r="J1795" t="s">
        <v>20</v>
      </c>
      <c r="K1795" t="s">
        <v>22</v>
      </c>
      <c r="L1795" t="s">
        <v>32</v>
      </c>
      <c r="M1795" t="s">
        <v>20</v>
      </c>
      <c r="N1795" t="s">
        <v>25</v>
      </c>
      <c r="O1795" t="s">
        <v>20</v>
      </c>
      <c r="P1795" t="s">
        <v>19</v>
      </c>
      <c r="Q1795" t="s">
        <v>18</v>
      </c>
    </row>
    <row r="1796" spans="1:17" x14ac:dyDescent="0.35">
      <c r="A1796">
        <v>836</v>
      </c>
      <c r="B1796">
        <v>24</v>
      </c>
      <c r="C1796" t="s">
        <v>27</v>
      </c>
      <c r="D1796">
        <v>181</v>
      </c>
      <c r="E1796">
        <v>96</v>
      </c>
      <c r="F1796" s="3">
        <v>29.437186495971901</v>
      </c>
      <c r="G1796" s="3" t="str">
        <f t="shared" si="28"/>
        <v>Overweight</v>
      </c>
      <c r="H1796" t="s">
        <v>713</v>
      </c>
      <c r="I1796" t="s">
        <v>18</v>
      </c>
      <c r="J1796" t="s">
        <v>20</v>
      </c>
      <c r="K1796" t="s">
        <v>22</v>
      </c>
      <c r="L1796" t="s">
        <v>29</v>
      </c>
      <c r="M1796" t="s">
        <v>19</v>
      </c>
      <c r="N1796" t="s">
        <v>21</v>
      </c>
      <c r="O1796" t="s">
        <v>20</v>
      </c>
      <c r="P1796" t="s">
        <v>19</v>
      </c>
      <c r="Q1796" t="s">
        <v>18</v>
      </c>
    </row>
    <row r="1797" spans="1:17" x14ac:dyDescent="0.35">
      <c r="A1797">
        <v>858</v>
      </c>
      <c r="B1797">
        <v>24</v>
      </c>
      <c r="C1797" t="s">
        <v>27</v>
      </c>
      <c r="D1797">
        <v>189</v>
      </c>
      <c r="E1797">
        <v>80</v>
      </c>
      <c r="F1797" s="3">
        <v>23.144375490440101</v>
      </c>
      <c r="G1797" s="3" t="str">
        <f t="shared" si="28"/>
        <v>Normal Weight</v>
      </c>
      <c r="H1797" t="s">
        <v>165</v>
      </c>
      <c r="I1797" t="s">
        <v>31</v>
      </c>
      <c r="J1797" t="s">
        <v>19</v>
      </c>
      <c r="K1797" t="s">
        <v>22</v>
      </c>
      <c r="L1797" t="s">
        <v>29</v>
      </c>
      <c r="M1797" t="s">
        <v>19</v>
      </c>
      <c r="N1797" t="s">
        <v>25</v>
      </c>
      <c r="O1797" t="s">
        <v>20</v>
      </c>
      <c r="P1797" t="s">
        <v>20</v>
      </c>
      <c r="Q1797" t="s">
        <v>40</v>
      </c>
    </row>
    <row r="1798" spans="1:17" x14ac:dyDescent="0.35">
      <c r="A1798">
        <v>1801</v>
      </c>
      <c r="B1798">
        <v>75</v>
      </c>
      <c r="C1798" t="s">
        <v>27</v>
      </c>
      <c r="D1798">
        <v>169</v>
      </c>
      <c r="E1798">
        <v>86</v>
      </c>
      <c r="F1798" s="3">
        <v>32.308246466738701</v>
      </c>
      <c r="G1798" s="3" t="str">
        <f t="shared" si="28"/>
        <v>Obese</v>
      </c>
      <c r="H1798" t="s">
        <v>597</v>
      </c>
      <c r="I1798" t="s">
        <v>24</v>
      </c>
      <c r="J1798" t="s">
        <v>19</v>
      </c>
      <c r="K1798" t="s">
        <v>40</v>
      </c>
      <c r="L1798" t="s">
        <v>29</v>
      </c>
      <c r="M1798" t="s">
        <v>20</v>
      </c>
      <c r="N1798" t="s">
        <v>25</v>
      </c>
      <c r="O1798" t="s">
        <v>20</v>
      </c>
      <c r="P1798" t="s">
        <v>19</v>
      </c>
      <c r="Q1798" t="s">
        <v>18</v>
      </c>
    </row>
    <row r="1799" spans="1:17" x14ac:dyDescent="0.35">
      <c r="A1799">
        <v>1803</v>
      </c>
      <c r="B1799">
        <v>62</v>
      </c>
      <c r="C1799" t="s">
        <v>16</v>
      </c>
      <c r="D1799">
        <v>166</v>
      </c>
      <c r="E1799">
        <v>55</v>
      </c>
      <c r="F1799" s="3">
        <v>34.986920432566698</v>
      </c>
      <c r="G1799" s="3" t="str">
        <f t="shared" si="28"/>
        <v>Obese</v>
      </c>
      <c r="H1799" t="s">
        <v>1201</v>
      </c>
      <c r="I1799" t="s">
        <v>18</v>
      </c>
      <c r="J1799" t="s">
        <v>20</v>
      </c>
      <c r="K1799" t="s">
        <v>18</v>
      </c>
      <c r="L1799" t="s">
        <v>14</v>
      </c>
      <c r="M1799" t="s">
        <v>19</v>
      </c>
      <c r="N1799" t="s">
        <v>21</v>
      </c>
      <c r="O1799" t="s">
        <v>19</v>
      </c>
      <c r="P1799" t="s">
        <v>20</v>
      </c>
      <c r="Q1799" t="s">
        <v>18</v>
      </c>
    </row>
    <row r="1800" spans="1:17" x14ac:dyDescent="0.35">
      <c r="A1800">
        <v>1596</v>
      </c>
      <c r="B1800">
        <v>24</v>
      </c>
      <c r="C1800" t="s">
        <v>16</v>
      </c>
      <c r="D1800">
        <v>186</v>
      </c>
      <c r="E1800">
        <v>83</v>
      </c>
      <c r="F1800" s="3">
        <v>27.110209442535599</v>
      </c>
      <c r="G1800" s="3" t="str">
        <f t="shared" si="28"/>
        <v>Overweight</v>
      </c>
      <c r="H1800" t="s">
        <v>278</v>
      </c>
      <c r="I1800" t="s">
        <v>31</v>
      </c>
      <c r="J1800" t="s">
        <v>19</v>
      </c>
      <c r="K1800" t="s">
        <v>22</v>
      </c>
      <c r="L1800" t="s">
        <v>14</v>
      </c>
      <c r="M1800" t="s">
        <v>19</v>
      </c>
      <c r="N1800" t="s">
        <v>25</v>
      </c>
      <c r="O1800" t="s">
        <v>19</v>
      </c>
      <c r="P1800" t="s">
        <v>20</v>
      </c>
      <c r="Q1800" t="s">
        <v>22</v>
      </c>
    </row>
    <row r="1801" spans="1:17" x14ac:dyDescent="0.35">
      <c r="A1801">
        <v>1610</v>
      </c>
      <c r="B1801">
        <v>24</v>
      </c>
      <c r="C1801" t="s">
        <v>16</v>
      </c>
      <c r="D1801">
        <v>160</v>
      </c>
      <c r="E1801">
        <v>74</v>
      </c>
      <c r="F1801" s="3">
        <v>24.3772000671127</v>
      </c>
      <c r="G1801" s="3" t="str">
        <f t="shared" si="28"/>
        <v>Normal Weight</v>
      </c>
      <c r="H1801" t="s">
        <v>1119</v>
      </c>
      <c r="I1801" t="s">
        <v>24</v>
      </c>
      <c r="J1801" t="s">
        <v>19</v>
      </c>
      <c r="K1801" t="s">
        <v>22</v>
      </c>
      <c r="L1801" t="s">
        <v>14</v>
      </c>
      <c r="M1801" t="s">
        <v>19</v>
      </c>
      <c r="N1801" t="s">
        <v>21</v>
      </c>
      <c r="O1801" t="s">
        <v>19</v>
      </c>
      <c r="P1801" t="s">
        <v>19</v>
      </c>
      <c r="Q1801" t="s">
        <v>40</v>
      </c>
    </row>
    <row r="1802" spans="1:17" x14ac:dyDescent="0.35">
      <c r="A1802">
        <v>1804</v>
      </c>
      <c r="B1802">
        <v>51</v>
      </c>
      <c r="C1802" t="s">
        <v>16</v>
      </c>
      <c r="D1802">
        <v>180</v>
      </c>
      <c r="E1802">
        <v>71</v>
      </c>
      <c r="F1802" s="3">
        <v>23.232969653178799</v>
      </c>
      <c r="G1802" s="3" t="str">
        <f t="shared" si="28"/>
        <v>Normal Weight</v>
      </c>
      <c r="H1802" t="s">
        <v>351</v>
      </c>
      <c r="I1802" t="s">
        <v>24</v>
      </c>
      <c r="J1802" t="s">
        <v>20</v>
      </c>
      <c r="K1802" t="s">
        <v>18</v>
      </c>
      <c r="L1802" t="s">
        <v>38</v>
      </c>
      <c r="M1802" t="s">
        <v>20</v>
      </c>
      <c r="N1802" t="s">
        <v>21</v>
      </c>
      <c r="O1802" t="s">
        <v>20</v>
      </c>
      <c r="P1802" t="s">
        <v>19</v>
      </c>
      <c r="Q1802" t="s">
        <v>22</v>
      </c>
    </row>
    <row r="1803" spans="1:17" x14ac:dyDescent="0.35">
      <c r="A1803">
        <v>1806</v>
      </c>
      <c r="B1803">
        <v>54</v>
      </c>
      <c r="C1803" t="s">
        <v>27</v>
      </c>
      <c r="D1803">
        <v>164</v>
      </c>
      <c r="E1803">
        <v>90</v>
      </c>
      <c r="F1803" s="3">
        <v>21.135866093859999</v>
      </c>
      <c r="G1803" s="3" t="str">
        <f t="shared" si="28"/>
        <v>Normal Weight</v>
      </c>
      <c r="H1803" t="s">
        <v>1202</v>
      </c>
      <c r="I1803" t="s">
        <v>31</v>
      </c>
      <c r="J1803" t="s">
        <v>19</v>
      </c>
      <c r="K1803" t="s">
        <v>18</v>
      </c>
      <c r="L1803" t="s">
        <v>14</v>
      </c>
      <c r="M1803" t="s">
        <v>20</v>
      </c>
      <c r="N1803" t="s">
        <v>21</v>
      </c>
      <c r="O1803" t="s">
        <v>20</v>
      </c>
      <c r="P1803" t="s">
        <v>19</v>
      </c>
      <c r="Q1803" t="s">
        <v>18</v>
      </c>
    </row>
    <row r="1804" spans="1:17" x14ac:dyDescent="0.35">
      <c r="A1804">
        <v>1692</v>
      </c>
      <c r="B1804">
        <v>24</v>
      </c>
      <c r="C1804" t="s">
        <v>16</v>
      </c>
      <c r="D1804">
        <v>160</v>
      </c>
      <c r="E1804">
        <v>72</v>
      </c>
      <c r="F1804" s="3">
        <v>33.288235821781001</v>
      </c>
      <c r="G1804" s="3" t="str">
        <f t="shared" si="28"/>
        <v>Obese</v>
      </c>
      <c r="H1804" t="s">
        <v>1151</v>
      </c>
      <c r="I1804" t="s">
        <v>24</v>
      </c>
      <c r="J1804" t="s">
        <v>19</v>
      </c>
      <c r="K1804" t="s">
        <v>22</v>
      </c>
      <c r="L1804" t="s">
        <v>29</v>
      </c>
      <c r="M1804" t="s">
        <v>19</v>
      </c>
      <c r="N1804" t="s">
        <v>21</v>
      </c>
      <c r="O1804" t="s">
        <v>20</v>
      </c>
      <c r="P1804" t="s">
        <v>20</v>
      </c>
      <c r="Q1804" t="s">
        <v>18</v>
      </c>
    </row>
    <row r="1805" spans="1:17" x14ac:dyDescent="0.35">
      <c r="A1805">
        <v>1807</v>
      </c>
      <c r="B1805">
        <v>28</v>
      </c>
      <c r="C1805" t="s">
        <v>16</v>
      </c>
      <c r="D1805">
        <v>180</v>
      </c>
      <c r="E1805">
        <v>69</v>
      </c>
      <c r="F1805" s="3">
        <v>21.207049206377999</v>
      </c>
      <c r="G1805" s="3" t="str">
        <f t="shared" si="28"/>
        <v>Normal Weight</v>
      </c>
      <c r="H1805" t="s">
        <v>1203</v>
      </c>
      <c r="I1805" t="s">
        <v>24</v>
      </c>
      <c r="J1805" t="s">
        <v>19</v>
      </c>
      <c r="K1805" t="s">
        <v>18</v>
      </c>
      <c r="L1805" t="s">
        <v>32</v>
      </c>
      <c r="M1805" t="s">
        <v>19</v>
      </c>
      <c r="N1805" t="s">
        <v>21</v>
      </c>
      <c r="O1805" t="s">
        <v>19</v>
      </c>
      <c r="P1805" t="s">
        <v>20</v>
      </c>
      <c r="Q1805" t="s">
        <v>40</v>
      </c>
    </row>
    <row r="1806" spans="1:17" x14ac:dyDescent="0.35">
      <c r="A1806">
        <v>1736</v>
      </c>
      <c r="B1806">
        <v>24</v>
      </c>
      <c r="C1806" t="s">
        <v>27</v>
      </c>
      <c r="D1806">
        <v>160</v>
      </c>
      <c r="E1806">
        <v>60</v>
      </c>
      <c r="F1806" s="3">
        <v>22.0933832291648</v>
      </c>
      <c r="G1806" s="3" t="str">
        <f t="shared" si="28"/>
        <v>Normal Weight</v>
      </c>
      <c r="H1806" t="s">
        <v>1081</v>
      </c>
      <c r="I1806" t="s">
        <v>31</v>
      </c>
      <c r="J1806" t="s">
        <v>19</v>
      </c>
      <c r="K1806" t="s">
        <v>22</v>
      </c>
      <c r="L1806" t="s">
        <v>32</v>
      </c>
      <c r="M1806" t="s">
        <v>20</v>
      </c>
      <c r="N1806" t="s">
        <v>21</v>
      </c>
      <c r="O1806" t="s">
        <v>20</v>
      </c>
      <c r="P1806" t="s">
        <v>19</v>
      </c>
      <c r="Q1806" t="s">
        <v>22</v>
      </c>
    </row>
    <row r="1807" spans="1:17" x14ac:dyDescent="0.35">
      <c r="A1807">
        <v>1808</v>
      </c>
      <c r="B1807">
        <v>23</v>
      </c>
      <c r="C1807" t="s">
        <v>16</v>
      </c>
      <c r="D1807">
        <v>179</v>
      </c>
      <c r="E1807">
        <v>50</v>
      </c>
      <c r="F1807" s="3">
        <v>23.205578834165699</v>
      </c>
      <c r="G1807" s="3" t="str">
        <f t="shared" si="28"/>
        <v>Normal Weight</v>
      </c>
      <c r="H1807" t="s">
        <v>1204</v>
      </c>
      <c r="I1807" t="s">
        <v>18</v>
      </c>
      <c r="J1807" t="s">
        <v>19</v>
      </c>
      <c r="K1807" t="s">
        <v>18</v>
      </c>
      <c r="L1807" t="s">
        <v>14</v>
      </c>
      <c r="M1807" t="s">
        <v>20</v>
      </c>
      <c r="N1807" t="s">
        <v>25</v>
      </c>
      <c r="O1807" t="s">
        <v>19</v>
      </c>
      <c r="P1807" t="s">
        <v>20</v>
      </c>
      <c r="Q1807" t="s">
        <v>40</v>
      </c>
    </row>
    <row r="1808" spans="1:17" x14ac:dyDescent="0.35">
      <c r="A1808">
        <v>1809</v>
      </c>
      <c r="B1808">
        <v>35</v>
      </c>
      <c r="C1808" t="s">
        <v>16</v>
      </c>
      <c r="D1808">
        <v>169</v>
      </c>
      <c r="E1808">
        <v>96</v>
      </c>
      <c r="F1808" s="3">
        <v>31.581860747013199</v>
      </c>
      <c r="G1808" s="3" t="str">
        <f t="shared" si="28"/>
        <v>Obese</v>
      </c>
      <c r="H1808" t="s">
        <v>567</v>
      </c>
      <c r="I1808" t="s">
        <v>18</v>
      </c>
      <c r="J1808" t="s">
        <v>20</v>
      </c>
      <c r="K1808" t="s">
        <v>18</v>
      </c>
      <c r="L1808" t="s">
        <v>14</v>
      </c>
      <c r="M1808" t="s">
        <v>19</v>
      </c>
      <c r="N1808" t="s">
        <v>25</v>
      </c>
      <c r="O1808" t="s">
        <v>19</v>
      </c>
      <c r="P1808" t="s">
        <v>20</v>
      </c>
      <c r="Q1808" t="s">
        <v>40</v>
      </c>
    </row>
    <row r="1809" spans="1:17" x14ac:dyDescent="0.35">
      <c r="A1809">
        <v>1969</v>
      </c>
      <c r="B1809">
        <v>24</v>
      </c>
      <c r="C1809" t="s">
        <v>27</v>
      </c>
      <c r="D1809">
        <v>172</v>
      </c>
      <c r="E1809">
        <v>52</v>
      </c>
      <c r="F1809" s="3">
        <v>28.656618282687401</v>
      </c>
      <c r="G1809" s="3" t="str">
        <f t="shared" si="28"/>
        <v>Overweight</v>
      </c>
      <c r="H1809" t="s">
        <v>901</v>
      </c>
      <c r="I1809" t="s">
        <v>31</v>
      </c>
      <c r="J1809" t="s">
        <v>19</v>
      </c>
      <c r="K1809" t="s">
        <v>22</v>
      </c>
      <c r="L1809" t="s">
        <v>29</v>
      </c>
      <c r="M1809" t="s">
        <v>19</v>
      </c>
      <c r="N1809" t="s">
        <v>25</v>
      </c>
      <c r="O1809" t="s">
        <v>20</v>
      </c>
      <c r="P1809" t="s">
        <v>19</v>
      </c>
      <c r="Q1809" t="s">
        <v>40</v>
      </c>
    </row>
    <row r="1810" spans="1:17" x14ac:dyDescent="0.35">
      <c r="A1810">
        <v>1810</v>
      </c>
      <c r="B1810">
        <v>38</v>
      </c>
      <c r="C1810" t="s">
        <v>27</v>
      </c>
      <c r="D1810">
        <v>188</v>
      </c>
      <c r="E1810">
        <v>55</v>
      </c>
      <c r="F1810" s="3">
        <v>33.4449870455013</v>
      </c>
      <c r="G1810" s="3" t="str">
        <f t="shared" si="28"/>
        <v>Obese</v>
      </c>
      <c r="H1810" t="s">
        <v>1205</v>
      </c>
      <c r="I1810" t="s">
        <v>18</v>
      </c>
      <c r="J1810" t="s">
        <v>19</v>
      </c>
      <c r="K1810" t="s">
        <v>18</v>
      </c>
      <c r="L1810" t="s">
        <v>32</v>
      </c>
      <c r="M1810" t="s">
        <v>20</v>
      </c>
      <c r="N1810" t="s">
        <v>21</v>
      </c>
      <c r="O1810" t="s">
        <v>19</v>
      </c>
      <c r="P1810" t="s">
        <v>19</v>
      </c>
      <c r="Q1810" t="s">
        <v>22</v>
      </c>
    </row>
    <row r="1811" spans="1:17" x14ac:dyDescent="0.35">
      <c r="A1811">
        <v>1811</v>
      </c>
      <c r="B1811">
        <v>59</v>
      </c>
      <c r="C1811" t="s">
        <v>16</v>
      </c>
      <c r="D1811">
        <v>161</v>
      </c>
      <c r="E1811">
        <v>68</v>
      </c>
      <c r="F1811" s="3">
        <v>34.5889383001767</v>
      </c>
      <c r="G1811" s="3" t="str">
        <f t="shared" si="28"/>
        <v>Obese</v>
      </c>
      <c r="H1811" t="s">
        <v>1206</v>
      </c>
      <c r="I1811" t="s">
        <v>18</v>
      </c>
      <c r="J1811" t="s">
        <v>20</v>
      </c>
      <c r="K1811" t="s">
        <v>18</v>
      </c>
      <c r="L1811" t="s">
        <v>38</v>
      </c>
      <c r="M1811" t="s">
        <v>19</v>
      </c>
      <c r="N1811" t="s">
        <v>25</v>
      </c>
      <c r="O1811" t="s">
        <v>19</v>
      </c>
      <c r="P1811" t="s">
        <v>20</v>
      </c>
      <c r="Q1811" t="s">
        <v>22</v>
      </c>
    </row>
    <row r="1812" spans="1:17" x14ac:dyDescent="0.35">
      <c r="A1812">
        <v>1812</v>
      </c>
      <c r="B1812">
        <v>53</v>
      </c>
      <c r="C1812" t="s">
        <v>27</v>
      </c>
      <c r="D1812">
        <v>166</v>
      </c>
      <c r="E1812">
        <v>67</v>
      </c>
      <c r="F1812" s="3">
        <v>22.3327792925914</v>
      </c>
      <c r="G1812" s="3" t="str">
        <f t="shared" si="28"/>
        <v>Normal Weight</v>
      </c>
      <c r="H1812" t="s">
        <v>1207</v>
      </c>
      <c r="I1812" t="s">
        <v>24</v>
      </c>
      <c r="J1812" t="s">
        <v>20</v>
      </c>
      <c r="K1812" t="s">
        <v>18</v>
      </c>
      <c r="L1812" t="s">
        <v>29</v>
      </c>
      <c r="M1812" t="s">
        <v>20</v>
      </c>
      <c r="N1812" t="s">
        <v>21</v>
      </c>
      <c r="O1812" t="s">
        <v>19</v>
      </c>
      <c r="P1812" t="s">
        <v>20</v>
      </c>
      <c r="Q1812" t="s">
        <v>40</v>
      </c>
    </row>
    <row r="1813" spans="1:17" x14ac:dyDescent="0.35">
      <c r="A1813">
        <v>249</v>
      </c>
      <c r="B1813">
        <v>23</v>
      </c>
      <c r="C1813" t="s">
        <v>16</v>
      </c>
      <c r="D1813">
        <v>165</v>
      </c>
      <c r="E1813">
        <v>95</v>
      </c>
      <c r="F1813" s="3">
        <v>34.6141910156976</v>
      </c>
      <c r="G1813" s="3" t="str">
        <f t="shared" si="28"/>
        <v>Obese</v>
      </c>
      <c r="H1813" t="s">
        <v>261</v>
      </c>
      <c r="I1813" t="s">
        <v>24</v>
      </c>
      <c r="J1813" t="s">
        <v>20</v>
      </c>
      <c r="K1813" t="s">
        <v>22</v>
      </c>
      <c r="L1813" t="s">
        <v>29</v>
      </c>
      <c r="M1813" t="s">
        <v>19</v>
      </c>
      <c r="N1813" t="s">
        <v>21</v>
      </c>
      <c r="O1813" t="s">
        <v>20</v>
      </c>
      <c r="P1813" t="s">
        <v>20</v>
      </c>
      <c r="Q1813" t="s">
        <v>22</v>
      </c>
    </row>
    <row r="1814" spans="1:17" x14ac:dyDescent="0.35">
      <c r="A1814">
        <v>1814</v>
      </c>
      <c r="B1814">
        <v>55</v>
      </c>
      <c r="C1814" t="s">
        <v>16</v>
      </c>
      <c r="D1814">
        <v>178</v>
      </c>
      <c r="E1814">
        <v>94</v>
      </c>
      <c r="F1814" s="3">
        <v>23.916208973075999</v>
      </c>
      <c r="G1814" s="3" t="str">
        <f t="shared" si="28"/>
        <v>Normal Weight</v>
      </c>
      <c r="H1814" t="s">
        <v>1058</v>
      </c>
      <c r="I1814" t="s">
        <v>24</v>
      </c>
      <c r="J1814" t="s">
        <v>19</v>
      </c>
      <c r="K1814" t="s">
        <v>18</v>
      </c>
      <c r="L1814" t="s">
        <v>29</v>
      </c>
      <c r="M1814" t="s">
        <v>20</v>
      </c>
      <c r="N1814" t="s">
        <v>25</v>
      </c>
      <c r="O1814" t="s">
        <v>20</v>
      </c>
      <c r="P1814" t="s">
        <v>20</v>
      </c>
      <c r="Q1814" t="s">
        <v>40</v>
      </c>
    </row>
    <row r="1815" spans="1:17" x14ac:dyDescent="0.35">
      <c r="A1815">
        <v>315</v>
      </c>
      <c r="B1815">
        <v>23</v>
      </c>
      <c r="C1815" t="s">
        <v>27</v>
      </c>
      <c r="D1815">
        <v>178</v>
      </c>
      <c r="E1815">
        <v>89</v>
      </c>
      <c r="F1815" s="3">
        <v>21.679160542030498</v>
      </c>
      <c r="G1815" s="3" t="str">
        <f t="shared" si="28"/>
        <v>Normal Weight</v>
      </c>
      <c r="H1815" t="s">
        <v>321</v>
      </c>
      <c r="I1815" t="s">
        <v>24</v>
      </c>
      <c r="J1815" t="s">
        <v>20</v>
      </c>
      <c r="K1815" t="s">
        <v>22</v>
      </c>
      <c r="L1815" t="s">
        <v>38</v>
      </c>
      <c r="M1815" t="s">
        <v>19</v>
      </c>
      <c r="N1815" t="s">
        <v>21</v>
      </c>
      <c r="O1815" t="s">
        <v>19</v>
      </c>
      <c r="P1815" t="s">
        <v>20</v>
      </c>
      <c r="Q1815" t="s">
        <v>22</v>
      </c>
    </row>
    <row r="1816" spans="1:17" x14ac:dyDescent="0.35">
      <c r="A1816">
        <v>324</v>
      </c>
      <c r="B1816">
        <v>23</v>
      </c>
      <c r="C1816" t="s">
        <v>27</v>
      </c>
      <c r="D1816">
        <v>169</v>
      </c>
      <c r="E1816">
        <v>94</v>
      </c>
      <c r="F1816" s="3">
        <v>24.159940757735399</v>
      </c>
      <c r="G1816" s="3" t="str">
        <f t="shared" si="28"/>
        <v>Normal Weight</v>
      </c>
      <c r="H1816" t="s">
        <v>329</v>
      </c>
      <c r="I1816" t="s">
        <v>18</v>
      </c>
      <c r="J1816" t="s">
        <v>19</v>
      </c>
      <c r="K1816" t="s">
        <v>22</v>
      </c>
      <c r="L1816" t="s">
        <v>38</v>
      </c>
      <c r="M1816" t="s">
        <v>20</v>
      </c>
      <c r="N1816" t="s">
        <v>21</v>
      </c>
      <c r="O1816" t="s">
        <v>20</v>
      </c>
      <c r="P1816" t="s">
        <v>19</v>
      </c>
      <c r="Q1816" t="s">
        <v>40</v>
      </c>
    </row>
    <row r="1817" spans="1:17" x14ac:dyDescent="0.35">
      <c r="A1817">
        <v>467</v>
      </c>
      <c r="B1817">
        <v>23</v>
      </c>
      <c r="C1817" t="s">
        <v>16</v>
      </c>
      <c r="D1817">
        <v>152</v>
      </c>
      <c r="E1817">
        <v>53</v>
      </c>
      <c r="F1817" s="3">
        <v>34.585920501368797</v>
      </c>
      <c r="G1817" s="3" t="str">
        <f t="shared" si="28"/>
        <v>Obese</v>
      </c>
      <c r="H1817" t="s">
        <v>278</v>
      </c>
      <c r="I1817" t="s">
        <v>24</v>
      </c>
      <c r="J1817" t="s">
        <v>20</v>
      </c>
      <c r="K1817" t="s">
        <v>22</v>
      </c>
      <c r="L1817" t="s">
        <v>32</v>
      </c>
      <c r="M1817" t="s">
        <v>19</v>
      </c>
      <c r="N1817" t="s">
        <v>25</v>
      </c>
      <c r="O1817" t="s">
        <v>19</v>
      </c>
      <c r="P1817" t="s">
        <v>19</v>
      </c>
      <c r="Q1817" t="s">
        <v>22</v>
      </c>
    </row>
    <row r="1818" spans="1:17" x14ac:dyDescent="0.35">
      <c r="A1818">
        <v>559</v>
      </c>
      <c r="B1818">
        <v>23</v>
      </c>
      <c r="C1818" t="s">
        <v>27</v>
      </c>
      <c r="D1818">
        <v>176</v>
      </c>
      <c r="E1818">
        <v>53</v>
      </c>
      <c r="F1818" s="3">
        <v>20.2525281552095</v>
      </c>
      <c r="G1818" s="3" t="str">
        <f t="shared" si="28"/>
        <v>Normal Weight</v>
      </c>
      <c r="H1818" t="s">
        <v>514</v>
      </c>
      <c r="I1818" t="s">
        <v>31</v>
      </c>
      <c r="J1818" t="s">
        <v>20</v>
      </c>
      <c r="K1818" t="s">
        <v>22</v>
      </c>
      <c r="L1818" t="s">
        <v>14</v>
      </c>
      <c r="M1818" t="s">
        <v>19</v>
      </c>
      <c r="N1818" t="s">
        <v>21</v>
      </c>
      <c r="O1818" t="s">
        <v>19</v>
      </c>
      <c r="P1818" t="s">
        <v>19</v>
      </c>
      <c r="Q1818" t="s">
        <v>18</v>
      </c>
    </row>
    <row r="1819" spans="1:17" x14ac:dyDescent="0.35">
      <c r="A1819">
        <v>574</v>
      </c>
      <c r="B1819">
        <v>23</v>
      </c>
      <c r="C1819" t="s">
        <v>16</v>
      </c>
      <c r="D1819">
        <v>152</v>
      </c>
      <c r="E1819">
        <v>84</v>
      </c>
      <c r="F1819" s="3">
        <v>23.3288091115122</v>
      </c>
      <c r="G1819" s="3" t="str">
        <f t="shared" si="28"/>
        <v>Normal Weight</v>
      </c>
      <c r="H1819" t="s">
        <v>491</v>
      </c>
      <c r="I1819" t="s">
        <v>24</v>
      </c>
      <c r="J1819" t="s">
        <v>19</v>
      </c>
      <c r="K1819" t="s">
        <v>22</v>
      </c>
      <c r="L1819" t="s">
        <v>38</v>
      </c>
      <c r="M1819" t="s">
        <v>20</v>
      </c>
      <c r="N1819" t="s">
        <v>25</v>
      </c>
      <c r="O1819" t="s">
        <v>20</v>
      </c>
      <c r="P1819" t="s">
        <v>19</v>
      </c>
      <c r="Q1819" t="s">
        <v>18</v>
      </c>
    </row>
    <row r="1820" spans="1:17" x14ac:dyDescent="0.35">
      <c r="A1820">
        <v>863</v>
      </c>
      <c r="B1820">
        <v>23</v>
      </c>
      <c r="C1820" t="s">
        <v>16</v>
      </c>
      <c r="D1820">
        <v>183</v>
      </c>
      <c r="E1820">
        <v>76</v>
      </c>
      <c r="F1820" s="3">
        <v>33.824596449890599</v>
      </c>
      <c r="G1820" s="3" t="str">
        <f t="shared" si="28"/>
        <v>Obese</v>
      </c>
      <c r="H1820" t="s">
        <v>727</v>
      </c>
      <c r="I1820" t="s">
        <v>18</v>
      </c>
      <c r="J1820" t="s">
        <v>19</v>
      </c>
      <c r="K1820" t="s">
        <v>22</v>
      </c>
      <c r="L1820" t="s">
        <v>38</v>
      </c>
      <c r="M1820" t="s">
        <v>19</v>
      </c>
      <c r="N1820" t="s">
        <v>21</v>
      </c>
      <c r="O1820" t="s">
        <v>19</v>
      </c>
      <c r="P1820" t="s">
        <v>20</v>
      </c>
      <c r="Q1820" t="s">
        <v>22</v>
      </c>
    </row>
    <row r="1821" spans="1:17" x14ac:dyDescent="0.35">
      <c r="A1821">
        <v>903</v>
      </c>
      <c r="B1821">
        <v>23</v>
      </c>
      <c r="C1821" t="s">
        <v>27</v>
      </c>
      <c r="D1821">
        <v>160</v>
      </c>
      <c r="E1821">
        <v>60</v>
      </c>
      <c r="F1821" s="3">
        <v>18.829553387537398</v>
      </c>
      <c r="G1821" s="3" t="str">
        <f t="shared" si="28"/>
        <v>Normal Weight</v>
      </c>
      <c r="H1821" t="s">
        <v>745</v>
      </c>
      <c r="I1821" t="s">
        <v>31</v>
      </c>
      <c r="J1821" t="s">
        <v>19</v>
      </c>
      <c r="K1821" t="s">
        <v>22</v>
      </c>
      <c r="L1821" t="s">
        <v>29</v>
      </c>
      <c r="M1821" t="s">
        <v>20</v>
      </c>
      <c r="N1821" t="s">
        <v>25</v>
      </c>
      <c r="O1821" t="s">
        <v>20</v>
      </c>
      <c r="P1821" t="s">
        <v>20</v>
      </c>
      <c r="Q1821" t="s">
        <v>18</v>
      </c>
    </row>
    <row r="1822" spans="1:17" x14ac:dyDescent="0.35">
      <c r="A1822">
        <v>1816</v>
      </c>
      <c r="B1822">
        <v>34</v>
      </c>
      <c r="C1822" t="s">
        <v>27</v>
      </c>
      <c r="D1822">
        <v>160</v>
      </c>
      <c r="E1822">
        <v>72</v>
      </c>
      <c r="F1822" s="3">
        <v>32.855411271082701</v>
      </c>
      <c r="G1822" s="3" t="str">
        <f t="shared" si="28"/>
        <v>Obese</v>
      </c>
      <c r="H1822" t="s">
        <v>496</v>
      </c>
      <c r="I1822" t="s">
        <v>24</v>
      </c>
      <c r="J1822" t="s">
        <v>19</v>
      </c>
      <c r="K1822" t="s">
        <v>18</v>
      </c>
      <c r="L1822" t="s">
        <v>29</v>
      </c>
      <c r="M1822" t="s">
        <v>19</v>
      </c>
      <c r="N1822" t="s">
        <v>21</v>
      </c>
      <c r="O1822" t="s">
        <v>20</v>
      </c>
      <c r="P1822" t="s">
        <v>20</v>
      </c>
      <c r="Q1822" t="s">
        <v>18</v>
      </c>
    </row>
    <row r="1823" spans="1:17" x14ac:dyDescent="0.35">
      <c r="A1823">
        <v>1819</v>
      </c>
      <c r="B1823">
        <v>55</v>
      </c>
      <c r="C1823" t="s">
        <v>16</v>
      </c>
      <c r="D1823">
        <v>183</v>
      </c>
      <c r="E1823">
        <v>62</v>
      </c>
      <c r="F1823" s="3">
        <v>25.592215748964499</v>
      </c>
      <c r="G1823" s="3" t="str">
        <f t="shared" si="28"/>
        <v>Overweight</v>
      </c>
      <c r="H1823" t="s">
        <v>1208</v>
      </c>
      <c r="I1823" t="s">
        <v>24</v>
      </c>
      <c r="J1823" t="s">
        <v>20</v>
      </c>
      <c r="K1823" t="s">
        <v>18</v>
      </c>
      <c r="L1823" t="s">
        <v>32</v>
      </c>
      <c r="M1823" t="s">
        <v>20</v>
      </c>
      <c r="N1823" t="s">
        <v>21</v>
      </c>
      <c r="O1823" t="s">
        <v>20</v>
      </c>
      <c r="P1823" t="s">
        <v>19</v>
      </c>
      <c r="Q1823" t="s">
        <v>40</v>
      </c>
    </row>
    <row r="1824" spans="1:17" x14ac:dyDescent="0.35">
      <c r="A1824">
        <v>1120</v>
      </c>
      <c r="B1824">
        <v>23</v>
      </c>
      <c r="C1824" t="s">
        <v>27</v>
      </c>
      <c r="D1824">
        <v>174</v>
      </c>
      <c r="E1824">
        <v>52</v>
      </c>
      <c r="F1824" s="3">
        <v>19.080127629474699</v>
      </c>
      <c r="G1824" s="3" t="str">
        <f t="shared" si="28"/>
        <v>Normal Weight</v>
      </c>
      <c r="H1824" t="s">
        <v>50</v>
      </c>
      <c r="I1824" t="s">
        <v>24</v>
      </c>
      <c r="J1824" t="s">
        <v>19</v>
      </c>
      <c r="K1824" t="s">
        <v>22</v>
      </c>
      <c r="L1824" t="s">
        <v>29</v>
      </c>
      <c r="M1824" t="s">
        <v>19</v>
      </c>
      <c r="N1824" t="s">
        <v>21</v>
      </c>
      <c r="O1824" t="s">
        <v>20</v>
      </c>
      <c r="P1824" t="s">
        <v>19</v>
      </c>
      <c r="Q1824" t="s">
        <v>22</v>
      </c>
    </row>
    <row r="1825" spans="1:17" x14ac:dyDescent="0.35">
      <c r="A1825">
        <v>1822</v>
      </c>
      <c r="B1825">
        <v>40</v>
      </c>
      <c r="C1825" t="s">
        <v>27</v>
      </c>
      <c r="D1825">
        <v>173</v>
      </c>
      <c r="E1825">
        <v>93</v>
      </c>
      <c r="F1825" s="3">
        <v>25.981367805300401</v>
      </c>
      <c r="G1825" s="3" t="str">
        <f t="shared" si="28"/>
        <v>Overweight</v>
      </c>
      <c r="H1825" t="s">
        <v>297</v>
      </c>
      <c r="I1825" t="s">
        <v>31</v>
      </c>
      <c r="J1825" t="s">
        <v>19</v>
      </c>
      <c r="K1825" t="s">
        <v>18</v>
      </c>
      <c r="L1825" t="s">
        <v>14</v>
      </c>
      <c r="M1825" t="s">
        <v>20</v>
      </c>
      <c r="N1825" t="s">
        <v>25</v>
      </c>
      <c r="O1825" t="s">
        <v>19</v>
      </c>
      <c r="P1825" t="s">
        <v>19</v>
      </c>
      <c r="Q1825" t="s">
        <v>22</v>
      </c>
    </row>
    <row r="1826" spans="1:17" x14ac:dyDescent="0.35">
      <c r="A1826">
        <v>1824</v>
      </c>
      <c r="B1826">
        <v>59</v>
      </c>
      <c r="C1826" t="s">
        <v>27</v>
      </c>
      <c r="D1826">
        <v>181</v>
      </c>
      <c r="E1826">
        <v>75</v>
      </c>
      <c r="F1826" s="3">
        <v>19.4032922072833</v>
      </c>
      <c r="G1826" s="3" t="str">
        <f t="shared" si="28"/>
        <v>Normal Weight</v>
      </c>
      <c r="H1826" t="s">
        <v>1211</v>
      </c>
      <c r="I1826" t="s">
        <v>18</v>
      </c>
      <c r="J1826" t="s">
        <v>20</v>
      </c>
      <c r="K1826" t="s">
        <v>18</v>
      </c>
      <c r="L1826" t="s">
        <v>32</v>
      </c>
      <c r="M1826" t="s">
        <v>19</v>
      </c>
      <c r="N1826" t="s">
        <v>21</v>
      </c>
      <c r="O1826" t="s">
        <v>19</v>
      </c>
      <c r="P1826" t="s">
        <v>19</v>
      </c>
      <c r="Q1826" t="s">
        <v>22</v>
      </c>
    </row>
    <row r="1827" spans="1:17" x14ac:dyDescent="0.35">
      <c r="A1827">
        <v>1829</v>
      </c>
      <c r="B1827">
        <v>48</v>
      </c>
      <c r="C1827" t="s">
        <v>16</v>
      </c>
      <c r="D1827">
        <v>186</v>
      </c>
      <c r="E1827">
        <v>76</v>
      </c>
      <c r="F1827" s="3">
        <v>30.5324641101098</v>
      </c>
      <c r="G1827" s="3" t="str">
        <f t="shared" si="28"/>
        <v>Obese</v>
      </c>
      <c r="H1827" t="s">
        <v>935</v>
      </c>
      <c r="I1827" t="s">
        <v>31</v>
      </c>
      <c r="J1827" t="s">
        <v>20</v>
      </c>
      <c r="K1827" t="s">
        <v>18</v>
      </c>
      <c r="L1827" t="s">
        <v>32</v>
      </c>
      <c r="M1827" t="s">
        <v>19</v>
      </c>
      <c r="N1827" t="s">
        <v>25</v>
      </c>
      <c r="O1827" t="s">
        <v>20</v>
      </c>
      <c r="P1827" t="s">
        <v>20</v>
      </c>
      <c r="Q1827" t="s">
        <v>22</v>
      </c>
    </row>
    <row r="1828" spans="1:17" x14ac:dyDescent="0.35">
      <c r="A1828">
        <v>1830</v>
      </c>
      <c r="B1828">
        <v>23</v>
      </c>
      <c r="C1828" t="s">
        <v>16</v>
      </c>
      <c r="D1828">
        <v>189</v>
      </c>
      <c r="E1828">
        <v>54</v>
      </c>
      <c r="F1828" s="3">
        <v>32.933326712567997</v>
      </c>
      <c r="G1828" s="3" t="str">
        <f t="shared" si="28"/>
        <v>Obese</v>
      </c>
      <c r="H1828" t="s">
        <v>69</v>
      </c>
      <c r="I1828" t="s">
        <v>24</v>
      </c>
      <c r="J1828" t="s">
        <v>19</v>
      </c>
      <c r="K1828" t="s">
        <v>18</v>
      </c>
      <c r="L1828" t="s">
        <v>32</v>
      </c>
      <c r="M1828" t="s">
        <v>20</v>
      </c>
      <c r="N1828" t="s">
        <v>21</v>
      </c>
      <c r="O1828" t="s">
        <v>20</v>
      </c>
      <c r="P1828" t="s">
        <v>20</v>
      </c>
      <c r="Q1828" t="s">
        <v>22</v>
      </c>
    </row>
    <row r="1829" spans="1:17" x14ac:dyDescent="0.35">
      <c r="A1829">
        <v>1831</v>
      </c>
      <c r="B1829">
        <v>44</v>
      </c>
      <c r="C1829" t="s">
        <v>16</v>
      </c>
      <c r="D1829">
        <v>157</v>
      </c>
      <c r="E1829">
        <v>51</v>
      </c>
      <c r="F1829" s="3">
        <v>33.9888684826347</v>
      </c>
      <c r="G1829" s="3" t="str">
        <f t="shared" si="28"/>
        <v>Obese</v>
      </c>
      <c r="H1829" t="s">
        <v>1215</v>
      </c>
      <c r="I1829" t="s">
        <v>18</v>
      </c>
      <c r="J1829" t="s">
        <v>20</v>
      </c>
      <c r="K1829" t="s">
        <v>18</v>
      </c>
      <c r="L1829" t="s">
        <v>38</v>
      </c>
      <c r="M1829" t="s">
        <v>19</v>
      </c>
      <c r="N1829" t="s">
        <v>21</v>
      </c>
      <c r="O1829" t="s">
        <v>20</v>
      </c>
      <c r="P1829" t="s">
        <v>19</v>
      </c>
      <c r="Q1829" t="s">
        <v>40</v>
      </c>
    </row>
    <row r="1830" spans="1:17" x14ac:dyDescent="0.35">
      <c r="A1830">
        <v>1832</v>
      </c>
      <c r="B1830">
        <v>57</v>
      </c>
      <c r="C1830" t="s">
        <v>27</v>
      </c>
      <c r="D1830">
        <v>189</v>
      </c>
      <c r="E1830">
        <v>82</v>
      </c>
      <c r="F1830" s="3">
        <v>31.784040717192099</v>
      </c>
      <c r="G1830" s="3" t="str">
        <f t="shared" si="28"/>
        <v>Obese</v>
      </c>
      <c r="H1830" t="s">
        <v>256</v>
      </c>
      <c r="I1830" t="s">
        <v>24</v>
      </c>
      <c r="J1830" t="s">
        <v>20</v>
      </c>
      <c r="K1830" t="s">
        <v>18</v>
      </c>
      <c r="L1830" t="s">
        <v>14</v>
      </c>
      <c r="M1830" t="s">
        <v>19</v>
      </c>
      <c r="N1830" t="s">
        <v>21</v>
      </c>
      <c r="O1830" t="s">
        <v>19</v>
      </c>
      <c r="P1830" t="s">
        <v>19</v>
      </c>
      <c r="Q1830" t="s">
        <v>40</v>
      </c>
    </row>
    <row r="1831" spans="1:17" x14ac:dyDescent="0.35">
      <c r="A1831">
        <v>1833</v>
      </c>
      <c r="B1831">
        <v>51</v>
      </c>
      <c r="C1831" t="s">
        <v>16</v>
      </c>
      <c r="D1831">
        <v>172</v>
      </c>
      <c r="E1831">
        <v>65</v>
      </c>
      <c r="F1831" s="3">
        <v>32.534573255558797</v>
      </c>
      <c r="G1831" s="3" t="str">
        <f t="shared" si="28"/>
        <v>Obese</v>
      </c>
      <c r="H1831" t="s">
        <v>579</v>
      </c>
      <c r="I1831" t="s">
        <v>24</v>
      </c>
      <c r="J1831" t="s">
        <v>19</v>
      </c>
      <c r="K1831" t="s">
        <v>18</v>
      </c>
      <c r="L1831" t="s">
        <v>14</v>
      </c>
      <c r="M1831" t="s">
        <v>20</v>
      </c>
      <c r="N1831" t="s">
        <v>25</v>
      </c>
      <c r="O1831" t="s">
        <v>19</v>
      </c>
      <c r="P1831" t="s">
        <v>19</v>
      </c>
      <c r="Q1831" t="s">
        <v>18</v>
      </c>
    </row>
    <row r="1832" spans="1:17" x14ac:dyDescent="0.35">
      <c r="A1832">
        <v>1835</v>
      </c>
      <c r="B1832">
        <v>62</v>
      </c>
      <c r="C1832" t="s">
        <v>16</v>
      </c>
      <c r="D1832">
        <v>160</v>
      </c>
      <c r="E1832">
        <v>87</v>
      </c>
      <c r="F1832" s="3">
        <v>32.127155736042397</v>
      </c>
      <c r="G1832" s="3" t="str">
        <f t="shared" si="28"/>
        <v>Obese</v>
      </c>
      <c r="H1832" t="s">
        <v>948</v>
      </c>
      <c r="I1832" t="s">
        <v>31</v>
      </c>
      <c r="J1832" t="s">
        <v>19</v>
      </c>
      <c r="K1832" t="s">
        <v>18</v>
      </c>
      <c r="L1832" t="s">
        <v>14</v>
      </c>
      <c r="M1832" t="s">
        <v>19</v>
      </c>
      <c r="N1832" t="s">
        <v>25</v>
      </c>
      <c r="O1832" t="s">
        <v>20</v>
      </c>
      <c r="P1832" t="s">
        <v>20</v>
      </c>
      <c r="Q1832" t="s">
        <v>22</v>
      </c>
    </row>
    <row r="1833" spans="1:17" x14ac:dyDescent="0.35">
      <c r="A1833">
        <v>1354</v>
      </c>
      <c r="B1833">
        <v>23</v>
      </c>
      <c r="C1833" t="s">
        <v>16</v>
      </c>
      <c r="D1833">
        <v>159</v>
      </c>
      <c r="E1833">
        <v>93</v>
      </c>
      <c r="F1833" s="3">
        <v>31.845190834268902</v>
      </c>
      <c r="G1833" s="3" t="str">
        <f t="shared" si="28"/>
        <v>Obese</v>
      </c>
      <c r="H1833" t="s">
        <v>1006</v>
      </c>
      <c r="I1833" t="s">
        <v>24</v>
      </c>
      <c r="J1833" t="s">
        <v>20</v>
      </c>
      <c r="K1833" t="s">
        <v>22</v>
      </c>
      <c r="L1833" t="s">
        <v>29</v>
      </c>
      <c r="M1833" t="s">
        <v>19</v>
      </c>
      <c r="N1833" t="s">
        <v>25</v>
      </c>
      <c r="O1833" t="s">
        <v>20</v>
      </c>
      <c r="P1833" t="s">
        <v>19</v>
      </c>
      <c r="Q1833" t="s">
        <v>22</v>
      </c>
    </row>
    <row r="1834" spans="1:17" x14ac:dyDescent="0.35">
      <c r="A1834">
        <v>1837</v>
      </c>
      <c r="B1834">
        <v>70</v>
      </c>
      <c r="C1834" t="s">
        <v>27</v>
      </c>
      <c r="D1834">
        <v>178</v>
      </c>
      <c r="E1834">
        <v>63</v>
      </c>
      <c r="F1834" s="3">
        <v>25.074899574802</v>
      </c>
      <c r="G1834" s="3" t="str">
        <f t="shared" si="28"/>
        <v>Overweight</v>
      </c>
      <c r="H1834" t="s">
        <v>132</v>
      </c>
      <c r="I1834" t="s">
        <v>31</v>
      </c>
      <c r="J1834" t="s">
        <v>19</v>
      </c>
      <c r="K1834" t="s">
        <v>40</v>
      </c>
      <c r="L1834" t="s">
        <v>14</v>
      </c>
      <c r="M1834" t="s">
        <v>20</v>
      </c>
      <c r="N1834" t="s">
        <v>25</v>
      </c>
      <c r="O1834" t="s">
        <v>19</v>
      </c>
      <c r="P1834" t="s">
        <v>19</v>
      </c>
      <c r="Q1834" t="s">
        <v>18</v>
      </c>
    </row>
    <row r="1835" spans="1:17" x14ac:dyDescent="0.35">
      <c r="A1835">
        <v>1449</v>
      </c>
      <c r="B1835">
        <v>23</v>
      </c>
      <c r="C1835" t="s">
        <v>16</v>
      </c>
      <c r="D1835">
        <v>186</v>
      </c>
      <c r="E1835">
        <v>67</v>
      </c>
      <c r="F1835" s="3">
        <v>19.486077523943301</v>
      </c>
      <c r="G1835" s="3" t="str">
        <f t="shared" si="28"/>
        <v>Normal Weight</v>
      </c>
      <c r="H1835" t="s">
        <v>1048</v>
      </c>
      <c r="I1835" t="s">
        <v>31</v>
      </c>
      <c r="J1835" t="s">
        <v>19</v>
      </c>
      <c r="K1835" t="s">
        <v>22</v>
      </c>
      <c r="L1835" t="s">
        <v>14</v>
      </c>
      <c r="M1835" t="s">
        <v>20</v>
      </c>
      <c r="N1835" t="s">
        <v>25</v>
      </c>
      <c r="O1835" t="s">
        <v>19</v>
      </c>
      <c r="P1835" t="s">
        <v>20</v>
      </c>
      <c r="Q1835" t="s">
        <v>40</v>
      </c>
    </row>
    <row r="1836" spans="1:17" x14ac:dyDescent="0.35">
      <c r="A1836">
        <v>1519</v>
      </c>
      <c r="B1836">
        <v>23</v>
      </c>
      <c r="C1836" t="s">
        <v>27</v>
      </c>
      <c r="D1836">
        <v>158</v>
      </c>
      <c r="E1836">
        <v>81</v>
      </c>
      <c r="F1836" s="3">
        <v>30.280306139768701</v>
      </c>
      <c r="G1836" s="3" t="str">
        <f t="shared" si="28"/>
        <v>Obese</v>
      </c>
      <c r="H1836" t="s">
        <v>1081</v>
      </c>
      <c r="I1836" t="s">
        <v>18</v>
      </c>
      <c r="J1836" t="s">
        <v>19</v>
      </c>
      <c r="K1836" t="s">
        <v>22</v>
      </c>
      <c r="L1836" t="s">
        <v>29</v>
      </c>
      <c r="M1836" t="s">
        <v>20</v>
      </c>
      <c r="N1836" t="s">
        <v>25</v>
      </c>
      <c r="O1836" t="s">
        <v>19</v>
      </c>
      <c r="P1836" t="s">
        <v>19</v>
      </c>
      <c r="Q1836" t="s">
        <v>18</v>
      </c>
    </row>
    <row r="1837" spans="1:17" x14ac:dyDescent="0.35">
      <c r="A1837">
        <v>1838</v>
      </c>
      <c r="B1837">
        <v>24</v>
      </c>
      <c r="C1837" t="s">
        <v>16</v>
      </c>
      <c r="D1837">
        <v>179</v>
      </c>
      <c r="E1837">
        <v>78</v>
      </c>
      <c r="F1837" s="3">
        <v>23.729064728005898</v>
      </c>
      <c r="G1837" s="3" t="str">
        <f t="shared" si="28"/>
        <v>Normal Weight</v>
      </c>
      <c r="H1837" t="s">
        <v>151</v>
      </c>
      <c r="I1837" t="s">
        <v>31</v>
      </c>
      <c r="J1837" t="s">
        <v>19</v>
      </c>
      <c r="K1837" t="s">
        <v>18</v>
      </c>
      <c r="L1837" t="s">
        <v>14</v>
      </c>
      <c r="M1837" t="s">
        <v>20</v>
      </c>
      <c r="N1837" t="s">
        <v>21</v>
      </c>
      <c r="O1837" t="s">
        <v>20</v>
      </c>
      <c r="P1837" t="s">
        <v>19</v>
      </c>
      <c r="Q1837" t="s">
        <v>40</v>
      </c>
    </row>
    <row r="1838" spans="1:17" x14ac:dyDescent="0.35">
      <c r="A1838">
        <v>1839</v>
      </c>
      <c r="B1838">
        <v>27</v>
      </c>
      <c r="C1838" t="s">
        <v>16</v>
      </c>
      <c r="D1838">
        <v>159</v>
      </c>
      <c r="E1838">
        <v>75</v>
      </c>
      <c r="F1838" s="3">
        <v>26.211891034890701</v>
      </c>
      <c r="G1838" s="3" t="str">
        <f t="shared" si="28"/>
        <v>Overweight</v>
      </c>
      <c r="H1838" t="s">
        <v>883</v>
      </c>
      <c r="I1838" t="s">
        <v>18</v>
      </c>
      <c r="J1838" t="s">
        <v>19</v>
      </c>
      <c r="K1838" t="s">
        <v>18</v>
      </c>
      <c r="L1838" t="s">
        <v>29</v>
      </c>
      <c r="M1838" t="s">
        <v>20</v>
      </c>
      <c r="N1838" t="s">
        <v>21</v>
      </c>
      <c r="O1838" t="s">
        <v>19</v>
      </c>
      <c r="P1838" t="s">
        <v>20</v>
      </c>
      <c r="Q1838" t="s">
        <v>40</v>
      </c>
    </row>
    <row r="1839" spans="1:17" x14ac:dyDescent="0.35">
      <c r="A1839">
        <v>1840</v>
      </c>
      <c r="B1839">
        <v>62</v>
      </c>
      <c r="C1839" t="s">
        <v>16</v>
      </c>
      <c r="D1839">
        <v>188</v>
      </c>
      <c r="E1839">
        <v>84</v>
      </c>
      <c r="F1839" s="3">
        <v>23.2120636679375</v>
      </c>
      <c r="G1839" s="3" t="str">
        <f t="shared" si="28"/>
        <v>Normal Weight</v>
      </c>
      <c r="H1839" t="s">
        <v>1216</v>
      </c>
      <c r="I1839" t="s">
        <v>18</v>
      </c>
      <c r="J1839" t="s">
        <v>20</v>
      </c>
      <c r="K1839" t="s">
        <v>18</v>
      </c>
      <c r="L1839" t="s">
        <v>14</v>
      </c>
      <c r="M1839" t="s">
        <v>20</v>
      </c>
      <c r="N1839" t="s">
        <v>21</v>
      </c>
      <c r="O1839" t="s">
        <v>19</v>
      </c>
      <c r="P1839" t="s">
        <v>19</v>
      </c>
      <c r="Q1839" t="s">
        <v>18</v>
      </c>
    </row>
    <row r="1840" spans="1:17" x14ac:dyDescent="0.35">
      <c r="A1840">
        <v>1842</v>
      </c>
      <c r="B1840">
        <v>43</v>
      </c>
      <c r="C1840" t="s">
        <v>27</v>
      </c>
      <c r="D1840">
        <v>185</v>
      </c>
      <c r="E1840">
        <v>52</v>
      </c>
      <c r="F1840" s="3">
        <v>23.661936362093499</v>
      </c>
      <c r="G1840" s="3" t="str">
        <f t="shared" si="28"/>
        <v>Normal Weight</v>
      </c>
      <c r="H1840" t="s">
        <v>302</v>
      </c>
      <c r="I1840" t="s">
        <v>24</v>
      </c>
      <c r="J1840" t="s">
        <v>19</v>
      </c>
      <c r="K1840" t="s">
        <v>18</v>
      </c>
      <c r="L1840" t="s">
        <v>29</v>
      </c>
      <c r="M1840" t="s">
        <v>19</v>
      </c>
      <c r="N1840" t="s">
        <v>21</v>
      </c>
      <c r="O1840" t="s">
        <v>19</v>
      </c>
      <c r="P1840" t="s">
        <v>19</v>
      </c>
      <c r="Q1840" t="s">
        <v>22</v>
      </c>
    </row>
    <row r="1841" spans="1:17" x14ac:dyDescent="0.35">
      <c r="A1841">
        <v>149</v>
      </c>
      <c r="B1841">
        <v>22</v>
      </c>
      <c r="C1841" t="s">
        <v>16</v>
      </c>
      <c r="D1841">
        <v>182</v>
      </c>
      <c r="E1841">
        <v>98</v>
      </c>
      <c r="F1841" s="3">
        <v>23.7062974809417</v>
      </c>
      <c r="G1841" s="3" t="str">
        <f t="shared" si="28"/>
        <v>Normal Weight</v>
      </c>
      <c r="H1841" t="s">
        <v>172</v>
      </c>
      <c r="I1841" t="s">
        <v>31</v>
      </c>
      <c r="J1841" t="s">
        <v>19</v>
      </c>
      <c r="K1841" t="s">
        <v>22</v>
      </c>
      <c r="L1841" t="s">
        <v>32</v>
      </c>
      <c r="M1841" t="s">
        <v>20</v>
      </c>
      <c r="N1841" t="s">
        <v>25</v>
      </c>
      <c r="O1841" t="s">
        <v>19</v>
      </c>
      <c r="P1841" t="s">
        <v>20</v>
      </c>
      <c r="Q1841" t="s">
        <v>40</v>
      </c>
    </row>
    <row r="1842" spans="1:17" x14ac:dyDescent="0.35">
      <c r="A1842">
        <v>1845</v>
      </c>
      <c r="B1842">
        <v>79</v>
      </c>
      <c r="C1842" t="s">
        <v>16</v>
      </c>
      <c r="D1842">
        <v>185</v>
      </c>
      <c r="E1842">
        <v>83</v>
      </c>
      <c r="F1842" s="3">
        <v>19.442134794345399</v>
      </c>
      <c r="G1842" s="3" t="str">
        <f t="shared" si="28"/>
        <v>Normal Weight</v>
      </c>
      <c r="H1842" t="s">
        <v>1217</v>
      </c>
      <c r="I1842" t="s">
        <v>18</v>
      </c>
      <c r="J1842" t="s">
        <v>19</v>
      </c>
      <c r="K1842" t="s">
        <v>40</v>
      </c>
      <c r="L1842" t="s">
        <v>38</v>
      </c>
      <c r="M1842" t="s">
        <v>20</v>
      </c>
      <c r="N1842" t="s">
        <v>25</v>
      </c>
      <c r="O1842" t="s">
        <v>20</v>
      </c>
      <c r="P1842" t="s">
        <v>20</v>
      </c>
      <c r="Q1842" t="s">
        <v>18</v>
      </c>
    </row>
    <row r="1843" spans="1:17" x14ac:dyDescent="0.35">
      <c r="A1843">
        <v>312</v>
      </c>
      <c r="B1843">
        <v>22</v>
      </c>
      <c r="C1843" t="s">
        <v>27</v>
      </c>
      <c r="D1843">
        <v>157</v>
      </c>
      <c r="E1843">
        <v>64</v>
      </c>
      <c r="F1843" s="3">
        <v>26.2452128928227</v>
      </c>
      <c r="G1843" s="3" t="str">
        <f t="shared" si="28"/>
        <v>Overweight</v>
      </c>
      <c r="H1843" t="s">
        <v>318</v>
      </c>
      <c r="I1843" t="s">
        <v>18</v>
      </c>
      <c r="J1843" t="s">
        <v>19</v>
      </c>
      <c r="K1843" t="s">
        <v>22</v>
      </c>
      <c r="L1843" t="s">
        <v>14</v>
      </c>
      <c r="M1843" t="s">
        <v>19</v>
      </c>
      <c r="N1843" t="s">
        <v>21</v>
      </c>
      <c r="O1843" t="s">
        <v>20</v>
      </c>
      <c r="P1843" t="s">
        <v>19</v>
      </c>
      <c r="Q1843" t="s">
        <v>18</v>
      </c>
    </row>
    <row r="1844" spans="1:17" x14ac:dyDescent="0.35">
      <c r="A1844">
        <v>1848</v>
      </c>
      <c r="B1844">
        <v>19</v>
      </c>
      <c r="C1844" t="s">
        <v>27</v>
      </c>
      <c r="D1844">
        <v>171</v>
      </c>
      <c r="E1844">
        <v>90</v>
      </c>
      <c r="F1844" s="3">
        <v>26.1617791230553</v>
      </c>
      <c r="G1844" s="3" t="str">
        <f t="shared" si="28"/>
        <v>Overweight</v>
      </c>
      <c r="H1844" t="s">
        <v>369</v>
      </c>
      <c r="I1844" t="s">
        <v>24</v>
      </c>
      <c r="J1844" t="s">
        <v>19</v>
      </c>
      <c r="K1844" t="s">
        <v>18</v>
      </c>
      <c r="L1844" t="s">
        <v>38</v>
      </c>
      <c r="M1844" t="s">
        <v>19</v>
      </c>
      <c r="N1844" t="s">
        <v>25</v>
      </c>
      <c r="O1844" t="s">
        <v>19</v>
      </c>
      <c r="P1844" t="s">
        <v>19</v>
      </c>
      <c r="Q1844" t="s">
        <v>18</v>
      </c>
    </row>
    <row r="1845" spans="1:17" x14ac:dyDescent="0.35">
      <c r="A1845">
        <v>452</v>
      </c>
      <c r="B1845">
        <v>22</v>
      </c>
      <c r="C1845" t="s">
        <v>16</v>
      </c>
      <c r="D1845">
        <v>180</v>
      </c>
      <c r="E1845">
        <v>65</v>
      </c>
      <c r="F1845" s="3">
        <v>25.816745196794699</v>
      </c>
      <c r="G1845" s="3" t="str">
        <f t="shared" si="28"/>
        <v>Overweight</v>
      </c>
      <c r="H1845" t="s">
        <v>429</v>
      </c>
      <c r="I1845" t="s">
        <v>24</v>
      </c>
      <c r="J1845" t="s">
        <v>20</v>
      </c>
      <c r="K1845" t="s">
        <v>22</v>
      </c>
      <c r="L1845" t="s">
        <v>32</v>
      </c>
      <c r="M1845" t="s">
        <v>20</v>
      </c>
      <c r="N1845" t="s">
        <v>25</v>
      </c>
      <c r="O1845" t="s">
        <v>20</v>
      </c>
      <c r="P1845" t="s">
        <v>20</v>
      </c>
      <c r="Q1845" t="s">
        <v>22</v>
      </c>
    </row>
    <row r="1846" spans="1:17" x14ac:dyDescent="0.35">
      <c r="A1846">
        <v>571</v>
      </c>
      <c r="B1846">
        <v>22</v>
      </c>
      <c r="C1846" t="s">
        <v>27</v>
      </c>
      <c r="D1846">
        <v>157</v>
      </c>
      <c r="E1846">
        <v>91</v>
      </c>
      <c r="F1846" s="3">
        <v>29.0428898625591</v>
      </c>
      <c r="G1846" s="3" t="str">
        <f t="shared" si="28"/>
        <v>Overweight</v>
      </c>
      <c r="H1846" t="s">
        <v>524</v>
      </c>
      <c r="I1846" t="s">
        <v>31</v>
      </c>
      <c r="J1846" t="s">
        <v>20</v>
      </c>
      <c r="K1846" t="s">
        <v>22</v>
      </c>
      <c r="L1846" t="s">
        <v>38</v>
      </c>
      <c r="M1846" t="s">
        <v>19</v>
      </c>
      <c r="N1846" t="s">
        <v>25</v>
      </c>
      <c r="O1846" t="s">
        <v>20</v>
      </c>
      <c r="P1846" t="s">
        <v>19</v>
      </c>
      <c r="Q1846" t="s">
        <v>18</v>
      </c>
    </row>
    <row r="1847" spans="1:17" x14ac:dyDescent="0.35">
      <c r="A1847">
        <v>1850</v>
      </c>
      <c r="B1847">
        <v>71</v>
      </c>
      <c r="C1847" t="s">
        <v>27</v>
      </c>
      <c r="D1847">
        <v>180</v>
      </c>
      <c r="E1847">
        <v>56</v>
      </c>
      <c r="F1847" s="3">
        <v>31.694915723046002</v>
      </c>
      <c r="G1847" s="3" t="str">
        <f t="shared" si="28"/>
        <v>Obese</v>
      </c>
      <c r="H1847" t="s">
        <v>928</v>
      </c>
      <c r="I1847" t="s">
        <v>18</v>
      </c>
      <c r="J1847" t="s">
        <v>20</v>
      </c>
      <c r="K1847" t="s">
        <v>40</v>
      </c>
      <c r="L1847" t="s">
        <v>29</v>
      </c>
      <c r="M1847" t="s">
        <v>20</v>
      </c>
      <c r="N1847" t="s">
        <v>21</v>
      </c>
      <c r="O1847" t="s">
        <v>20</v>
      </c>
      <c r="P1847" t="s">
        <v>19</v>
      </c>
      <c r="Q1847" t="s">
        <v>22</v>
      </c>
    </row>
    <row r="1848" spans="1:17" x14ac:dyDescent="0.35">
      <c r="A1848">
        <v>639</v>
      </c>
      <c r="B1848">
        <v>22</v>
      </c>
      <c r="C1848" t="s">
        <v>27</v>
      </c>
      <c r="D1848">
        <v>189</v>
      </c>
      <c r="E1848">
        <v>87</v>
      </c>
      <c r="F1848" s="3">
        <v>24.440988381856901</v>
      </c>
      <c r="G1848" s="3" t="str">
        <f t="shared" si="28"/>
        <v>Normal Weight</v>
      </c>
      <c r="H1848" t="s">
        <v>579</v>
      </c>
      <c r="I1848" t="s">
        <v>18</v>
      </c>
      <c r="J1848" t="s">
        <v>20</v>
      </c>
      <c r="K1848" t="s">
        <v>22</v>
      </c>
      <c r="L1848" t="s">
        <v>38</v>
      </c>
      <c r="M1848" t="s">
        <v>19</v>
      </c>
      <c r="N1848" t="s">
        <v>21</v>
      </c>
      <c r="O1848" t="s">
        <v>19</v>
      </c>
      <c r="P1848" t="s">
        <v>20</v>
      </c>
      <c r="Q1848" t="s">
        <v>22</v>
      </c>
    </row>
    <row r="1849" spans="1:17" x14ac:dyDescent="0.35">
      <c r="A1849">
        <v>646</v>
      </c>
      <c r="B1849">
        <v>22</v>
      </c>
      <c r="C1849" t="s">
        <v>27</v>
      </c>
      <c r="D1849">
        <v>175</v>
      </c>
      <c r="E1849">
        <v>82</v>
      </c>
      <c r="F1849" s="3">
        <v>23.708529939207001</v>
      </c>
      <c r="G1849" s="3" t="str">
        <f t="shared" si="28"/>
        <v>Normal Weight</v>
      </c>
      <c r="H1849" t="s">
        <v>584</v>
      </c>
      <c r="I1849" t="s">
        <v>24</v>
      </c>
      <c r="J1849" t="s">
        <v>20</v>
      </c>
      <c r="K1849" t="s">
        <v>22</v>
      </c>
      <c r="L1849" t="s">
        <v>14</v>
      </c>
      <c r="M1849" t="s">
        <v>19</v>
      </c>
      <c r="N1849" t="s">
        <v>25</v>
      </c>
      <c r="O1849" t="s">
        <v>19</v>
      </c>
      <c r="P1849" t="s">
        <v>19</v>
      </c>
      <c r="Q1849" t="s">
        <v>40</v>
      </c>
    </row>
    <row r="1850" spans="1:17" x14ac:dyDescent="0.35">
      <c r="A1850">
        <v>1851</v>
      </c>
      <c r="B1850">
        <v>60</v>
      </c>
      <c r="C1850" t="s">
        <v>16</v>
      </c>
      <c r="D1850">
        <v>167</v>
      </c>
      <c r="E1850">
        <v>52</v>
      </c>
      <c r="F1850" s="3">
        <v>30.701331789087799</v>
      </c>
      <c r="G1850" s="3" t="str">
        <f t="shared" si="28"/>
        <v>Obese</v>
      </c>
      <c r="H1850" t="s">
        <v>1095</v>
      </c>
      <c r="I1850" t="s">
        <v>18</v>
      </c>
      <c r="J1850" t="s">
        <v>20</v>
      </c>
      <c r="K1850" t="s">
        <v>18</v>
      </c>
      <c r="L1850" t="s">
        <v>32</v>
      </c>
      <c r="M1850" t="s">
        <v>20</v>
      </c>
      <c r="N1850" t="s">
        <v>25</v>
      </c>
      <c r="O1850" t="s">
        <v>19</v>
      </c>
      <c r="P1850" t="s">
        <v>19</v>
      </c>
      <c r="Q1850" t="s">
        <v>18</v>
      </c>
    </row>
    <row r="1851" spans="1:17" x14ac:dyDescent="0.35">
      <c r="A1851">
        <v>675</v>
      </c>
      <c r="B1851">
        <v>22</v>
      </c>
      <c r="C1851" t="s">
        <v>16</v>
      </c>
      <c r="D1851">
        <v>157</v>
      </c>
      <c r="E1851">
        <v>97</v>
      </c>
      <c r="F1851" s="3">
        <v>30.984668064314501</v>
      </c>
      <c r="G1851" s="3" t="str">
        <f t="shared" si="28"/>
        <v>Obese</v>
      </c>
      <c r="H1851" t="s">
        <v>479</v>
      </c>
      <c r="I1851" t="s">
        <v>31</v>
      </c>
      <c r="J1851" t="s">
        <v>19</v>
      </c>
      <c r="K1851" t="s">
        <v>22</v>
      </c>
      <c r="L1851" t="s">
        <v>29</v>
      </c>
      <c r="M1851" t="s">
        <v>19</v>
      </c>
      <c r="N1851" t="s">
        <v>21</v>
      </c>
      <c r="O1851" t="s">
        <v>19</v>
      </c>
      <c r="P1851" t="s">
        <v>19</v>
      </c>
      <c r="Q1851" t="s">
        <v>18</v>
      </c>
    </row>
    <row r="1852" spans="1:17" x14ac:dyDescent="0.35">
      <c r="A1852">
        <v>799</v>
      </c>
      <c r="B1852">
        <v>22</v>
      </c>
      <c r="C1852" t="s">
        <v>27</v>
      </c>
      <c r="D1852">
        <v>159</v>
      </c>
      <c r="E1852">
        <v>84</v>
      </c>
      <c r="F1852" s="3">
        <v>33.518236048387401</v>
      </c>
      <c r="G1852" s="3" t="str">
        <f t="shared" si="28"/>
        <v>Obese</v>
      </c>
      <c r="H1852" t="s">
        <v>688</v>
      </c>
      <c r="I1852" t="s">
        <v>31</v>
      </c>
      <c r="J1852" t="s">
        <v>19</v>
      </c>
      <c r="K1852" t="s">
        <v>22</v>
      </c>
      <c r="L1852" t="s">
        <v>14</v>
      </c>
      <c r="M1852" t="s">
        <v>19</v>
      </c>
      <c r="N1852" t="s">
        <v>21</v>
      </c>
      <c r="O1852" t="s">
        <v>20</v>
      </c>
      <c r="P1852" t="s">
        <v>19</v>
      </c>
      <c r="Q1852" t="s">
        <v>40</v>
      </c>
    </row>
    <row r="1853" spans="1:17" x14ac:dyDescent="0.35">
      <c r="A1853">
        <v>820</v>
      </c>
      <c r="B1853">
        <v>22</v>
      </c>
      <c r="C1853" t="s">
        <v>16</v>
      </c>
      <c r="D1853">
        <v>175</v>
      </c>
      <c r="E1853">
        <v>61</v>
      </c>
      <c r="F1853" s="3">
        <v>24.692802205254701</v>
      </c>
      <c r="G1853" s="3" t="str">
        <f t="shared" si="28"/>
        <v>Normal Weight</v>
      </c>
      <c r="H1853" t="s">
        <v>571</v>
      </c>
      <c r="I1853" t="s">
        <v>31</v>
      </c>
      <c r="J1853" t="s">
        <v>19</v>
      </c>
      <c r="K1853" t="s">
        <v>22</v>
      </c>
      <c r="L1853" t="s">
        <v>29</v>
      </c>
      <c r="M1853" t="s">
        <v>20</v>
      </c>
      <c r="N1853" t="s">
        <v>21</v>
      </c>
      <c r="O1853" t="s">
        <v>19</v>
      </c>
      <c r="P1853" t="s">
        <v>20</v>
      </c>
      <c r="Q1853" t="s">
        <v>40</v>
      </c>
    </row>
    <row r="1854" spans="1:17" x14ac:dyDescent="0.35">
      <c r="A1854">
        <v>1859</v>
      </c>
      <c r="B1854">
        <v>38</v>
      </c>
      <c r="C1854" t="s">
        <v>16</v>
      </c>
      <c r="D1854">
        <v>177</v>
      </c>
      <c r="E1854">
        <v>63</v>
      </c>
      <c r="F1854" s="3">
        <v>26.3729152038193</v>
      </c>
      <c r="G1854" s="3" t="str">
        <f t="shared" si="28"/>
        <v>Overweight</v>
      </c>
      <c r="H1854" t="s">
        <v>746</v>
      </c>
      <c r="I1854" t="s">
        <v>24</v>
      </c>
      <c r="J1854" t="s">
        <v>19</v>
      </c>
      <c r="K1854" t="s">
        <v>18</v>
      </c>
      <c r="L1854" t="s">
        <v>32</v>
      </c>
      <c r="M1854" t="s">
        <v>19</v>
      </c>
      <c r="N1854" t="s">
        <v>21</v>
      </c>
      <c r="O1854" t="s">
        <v>19</v>
      </c>
      <c r="P1854" t="s">
        <v>20</v>
      </c>
      <c r="Q1854" t="s">
        <v>22</v>
      </c>
    </row>
    <row r="1855" spans="1:17" x14ac:dyDescent="0.35">
      <c r="A1855">
        <v>981</v>
      </c>
      <c r="B1855">
        <v>22</v>
      </c>
      <c r="C1855" t="s">
        <v>27</v>
      </c>
      <c r="D1855">
        <v>151</v>
      </c>
      <c r="E1855">
        <v>78</v>
      </c>
      <c r="F1855" s="3">
        <v>29.797965204036501</v>
      </c>
      <c r="G1855" s="3" t="str">
        <f t="shared" si="28"/>
        <v>Overweight</v>
      </c>
      <c r="H1855" t="s">
        <v>615</v>
      </c>
      <c r="I1855" t="s">
        <v>31</v>
      </c>
      <c r="J1855" t="s">
        <v>19</v>
      </c>
      <c r="K1855" t="s">
        <v>22</v>
      </c>
      <c r="L1855" t="s">
        <v>32</v>
      </c>
      <c r="M1855" t="s">
        <v>19</v>
      </c>
      <c r="N1855" t="s">
        <v>21</v>
      </c>
      <c r="O1855" t="s">
        <v>20</v>
      </c>
      <c r="P1855" t="s">
        <v>19</v>
      </c>
      <c r="Q1855" t="s">
        <v>18</v>
      </c>
    </row>
    <row r="1856" spans="1:17" x14ac:dyDescent="0.35">
      <c r="A1856">
        <v>1860</v>
      </c>
      <c r="B1856">
        <v>28</v>
      </c>
      <c r="C1856" t="s">
        <v>16</v>
      </c>
      <c r="D1856">
        <v>181</v>
      </c>
      <c r="E1856">
        <v>81</v>
      </c>
      <c r="F1856" s="3">
        <v>20.659538786134</v>
      </c>
      <c r="G1856" s="3" t="str">
        <f t="shared" si="28"/>
        <v>Normal Weight</v>
      </c>
      <c r="H1856" t="s">
        <v>489</v>
      </c>
      <c r="I1856" t="s">
        <v>24</v>
      </c>
      <c r="J1856" t="s">
        <v>19</v>
      </c>
      <c r="K1856" t="s">
        <v>18</v>
      </c>
      <c r="L1856" t="s">
        <v>32</v>
      </c>
      <c r="M1856" t="s">
        <v>20</v>
      </c>
      <c r="N1856" t="s">
        <v>21</v>
      </c>
      <c r="O1856" t="s">
        <v>20</v>
      </c>
      <c r="P1856" t="s">
        <v>20</v>
      </c>
      <c r="Q1856" t="s">
        <v>40</v>
      </c>
    </row>
    <row r="1857" spans="1:17" x14ac:dyDescent="0.35">
      <c r="A1857">
        <v>1021</v>
      </c>
      <c r="B1857">
        <v>22</v>
      </c>
      <c r="C1857" t="s">
        <v>27</v>
      </c>
      <c r="D1857">
        <v>172</v>
      </c>
      <c r="E1857">
        <v>86</v>
      </c>
      <c r="F1857" s="3">
        <v>19.3226924155862</v>
      </c>
      <c r="G1857" s="3" t="str">
        <f t="shared" si="28"/>
        <v>Normal Weight</v>
      </c>
      <c r="H1857" t="s">
        <v>359</v>
      </c>
      <c r="I1857" t="s">
        <v>31</v>
      </c>
      <c r="J1857" t="s">
        <v>19</v>
      </c>
      <c r="K1857" t="s">
        <v>22</v>
      </c>
      <c r="L1857" t="s">
        <v>14</v>
      </c>
      <c r="M1857" t="s">
        <v>20</v>
      </c>
      <c r="N1857" t="s">
        <v>21</v>
      </c>
      <c r="O1857" t="s">
        <v>20</v>
      </c>
      <c r="P1857" t="s">
        <v>19</v>
      </c>
      <c r="Q1857" t="s">
        <v>40</v>
      </c>
    </row>
    <row r="1858" spans="1:17" x14ac:dyDescent="0.35">
      <c r="A1858">
        <v>1861</v>
      </c>
      <c r="B1858">
        <v>57</v>
      </c>
      <c r="C1858" t="s">
        <v>27</v>
      </c>
      <c r="D1858">
        <v>154</v>
      </c>
      <c r="E1858">
        <v>55</v>
      </c>
      <c r="F1858" s="3">
        <v>22.386837920809199</v>
      </c>
      <c r="G1858" s="3" t="str">
        <f t="shared" si="28"/>
        <v>Normal Weight</v>
      </c>
      <c r="H1858" t="s">
        <v>43</v>
      </c>
      <c r="I1858" t="s">
        <v>24</v>
      </c>
      <c r="J1858" t="s">
        <v>20</v>
      </c>
      <c r="K1858" t="s">
        <v>18</v>
      </c>
      <c r="L1858" t="s">
        <v>38</v>
      </c>
      <c r="M1858" t="s">
        <v>19</v>
      </c>
      <c r="N1858" t="s">
        <v>25</v>
      </c>
      <c r="O1858" t="s">
        <v>20</v>
      </c>
      <c r="P1858" t="s">
        <v>19</v>
      </c>
      <c r="Q1858" t="s">
        <v>40</v>
      </c>
    </row>
    <row r="1859" spans="1:17" x14ac:dyDescent="0.35">
      <c r="A1859">
        <v>1066</v>
      </c>
      <c r="B1859">
        <v>22</v>
      </c>
      <c r="C1859" t="s">
        <v>27</v>
      </c>
      <c r="D1859">
        <v>178</v>
      </c>
      <c r="E1859">
        <v>55</v>
      </c>
      <c r="F1859" s="3">
        <v>32.579199176358799</v>
      </c>
      <c r="G1859" s="3" t="str">
        <f t="shared" ref="G1859:G1922" si="29">_xlfn.IFS(F1859&lt;18.5, "Underweight", F1859&lt;=24.9, "Normal Weight", F1859&lt;=29.9, "Overweight", TRUE, "Obese")</f>
        <v>Obese</v>
      </c>
      <c r="H1859" t="s">
        <v>846</v>
      </c>
      <c r="I1859" t="s">
        <v>18</v>
      </c>
      <c r="J1859" t="s">
        <v>19</v>
      </c>
      <c r="K1859" t="s">
        <v>22</v>
      </c>
      <c r="L1859" t="s">
        <v>14</v>
      </c>
      <c r="M1859" t="s">
        <v>19</v>
      </c>
      <c r="N1859" t="s">
        <v>21</v>
      </c>
      <c r="O1859" t="s">
        <v>20</v>
      </c>
      <c r="P1859" t="s">
        <v>19</v>
      </c>
      <c r="Q1859" t="s">
        <v>40</v>
      </c>
    </row>
    <row r="1860" spans="1:17" x14ac:dyDescent="0.35">
      <c r="A1860">
        <v>1865</v>
      </c>
      <c r="B1860">
        <v>76</v>
      </c>
      <c r="C1860" t="s">
        <v>27</v>
      </c>
      <c r="D1860">
        <v>173</v>
      </c>
      <c r="E1860">
        <v>75</v>
      </c>
      <c r="F1860" s="3">
        <v>26.456716300565802</v>
      </c>
      <c r="G1860" s="3" t="str">
        <f t="shared" si="29"/>
        <v>Overweight</v>
      </c>
      <c r="H1860" t="s">
        <v>178</v>
      </c>
      <c r="I1860" t="s">
        <v>24</v>
      </c>
      <c r="J1860" t="s">
        <v>20</v>
      </c>
      <c r="K1860" t="s">
        <v>40</v>
      </c>
      <c r="L1860" t="s">
        <v>32</v>
      </c>
      <c r="M1860" t="s">
        <v>19</v>
      </c>
      <c r="N1860" t="s">
        <v>25</v>
      </c>
      <c r="O1860" t="s">
        <v>19</v>
      </c>
      <c r="P1860" t="s">
        <v>19</v>
      </c>
      <c r="Q1860" t="s">
        <v>18</v>
      </c>
    </row>
    <row r="1861" spans="1:17" x14ac:dyDescent="0.35">
      <c r="A1861">
        <v>1866</v>
      </c>
      <c r="B1861">
        <v>56</v>
      </c>
      <c r="C1861" t="s">
        <v>16</v>
      </c>
      <c r="D1861">
        <v>184</v>
      </c>
      <c r="E1861">
        <v>83</v>
      </c>
      <c r="F1861" s="3">
        <v>27.0853398321578</v>
      </c>
      <c r="G1861" s="3" t="str">
        <f t="shared" si="29"/>
        <v>Overweight</v>
      </c>
      <c r="H1861" t="s">
        <v>153</v>
      </c>
      <c r="I1861" t="s">
        <v>18</v>
      </c>
      <c r="J1861" t="s">
        <v>20</v>
      </c>
      <c r="K1861" t="s">
        <v>18</v>
      </c>
      <c r="L1861" t="s">
        <v>29</v>
      </c>
      <c r="M1861" t="s">
        <v>20</v>
      </c>
      <c r="N1861" t="s">
        <v>25</v>
      </c>
      <c r="O1861" t="s">
        <v>20</v>
      </c>
      <c r="P1861" t="s">
        <v>19</v>
      </c>
      <c r="Q1861" t="s">
        <v>18</v>
      </c>
    </row>
    <row r="1862" spans="1:17" x14ac:dyDescent="0.35">
      <c r="A1862">
        <v>1867</v>
      </c>
      <c r="B1862">
        <v>57</v>
      </c>
      <c r="C1862" t="s">
        <v>27</v>
      </c>
      <c r="D1862">
        <v>172</v>
      </c>
      <c r="E1862">
        <v>79</v>
      </c>
      <c r="F1862" s="3">
        <v>34.591534832185303</v>
      </c>
      <c r="G1862" s="3" t="str">
        <f t="shared" si="29"/>
        <v>Obese</v>
      </c>
      <c r="H1862" t="s">
        <v>1223</v>
      </c>
      <c r="I1862" t="s">
        <v>31</v>
      </c>
      <c r="J1862" t="s">
        <v>19</v>
      </c>
      <c r="K1862" t="s">
        <v>18</v>
      </c>
      <c r="L1862" t="s">
        <v>32</v>
      </c>
      <c r="M1862" t="s">
        <v>19</v>
      </c>
      <c r="N1862" t="s">
        <v>21</v>
      </c>
      <c r="O1862" t="s">
        <v>19</v>
      </c>
      <c r="P1862" t="s">
        <v>19</v>
      </c>
      <c r="Q1862" t="s">
        <v>18</v>
      </c>
    </row>
    <row r="1863" spans="1:17" x14ac:dyDescent="0.35">
      <c r="A1863">
        <v>1166</v>
      </c>
      <c r="B1863">
        <v>22</v>
      </c>
      <c r="C1863" t="s">
        <v>27</v>
      </c>
      <c r="D1863">
        <v>153</v>
      </c>
      <c r="E1863">
        <v>67</v>
      </c>
      <c r="F1863" s="3">
        <v>20.375159638495798</v>
      </c>
      <c r="G1863" s="3" t="str">
        <f t="shared" si="29"/>
        <v>Normal Weight</v>
      </c>
      <c r="H1863" t="s">
        <v>903</v>
      </c>
      <c r="I1863" t="s">
        <v>18</v>
      </c>
      <c r="J1863" t="s">
        <v>20</v>
      </c>
      <c r="K1863" t="s">
        <v>22</v>
      </c>
      <c r="L1863" t="s">
        <v>38</v>
      </c>
      <c r="M1863" t="s">
        <v>20</v>
      </c>
      <c r="N1863" t="s">
        <v>21</v>
      </c>
      <c r="O1863" t="s">
        <v>20</v>
      </c>
      <c r="P1863" t="s">
        <v>20</v>
      </c>
      <c r="Q1863" t="s">
        <v>18</v>
      </c>
    </row>
    <row r="1864" spans="1:17" x14ac:dyDescent="0.35">
      <c r="A1864">
        <v>1869</v>
      </c>
      <c r="B1864">
        <v>71</v>
      </c>
      <c r="C1864" t="s">
        <v>16</v>
      </c>
      <c r="D1864">
        <v>150</v>
      </c>
      <c r="E1864">
        <v>70</v>
      </c>
      <c r="F1864" s="3">
        <v>22.051939255466198</v>
      </c>
      <c r="G1864" s="3" t="str">
        <f t="shared" si="29"/>
        <v>Normal Weight</v>
      </c>
      <c r="H1864" t="s">
        <v>1224</v>
      </c>
      <c r="I1864" t="s">
        <v>31</v>
      </c>
      <c r="J1864" t="s">
        <v>20</v>
      </c>
      <c r="K1864" t="s">
        <v>40</v>
      </c>
      <c r="L1864" t="s">
        <v>29</v>
      </c>
      <c r="M1864" t="s">
        <v>20</v>
      </c>
      <c r="N1864" t="s">
        <v>25</v>
      </c>
      <c r="O1864" t="s">
        <v>20</v>
      </c>
      <c r="P1864" t="s">
        <v>19</v>
      </c>
      <c r="Q1864" t="s">
        <v>22</v>
      </c>
    </row>
    <row r="1865" spans="1:17" x14ac:dyDescent="0.35">
      <c r="A1865">
        <v>1358</v>
      </c>
      <c r="B1865">
        <v>22</v>
      </c>
      <c r="C1865" t="s">
        <v>27</v>
      </c>
      <c r="D1865">
        <v>185</v>
      </c>
      <c r="E1865">
        <v>74</v>
      </c>
      <c r="F1865" s="3">
        <v>22.9457508640103</v>
      </c>
      <c r="G1865" s="3" t="str">
        <f t="shared" si="29"/>
        <v>Normal Weight</v>
      </c>
      <c r="H1865" t="s">
        <v>1009</v>
      </c>
      <c r="I1865" t="s">
        <v>24</v>
      </c>
      <c r="J1865" t="s">
        <v>19</v>
      </c>
      <c r="K1865" t="s">
        <v>22</v>
      </c>
      <c r="L1865" t="s">
        <v>14</v>
      </c>
      <c r="M1865" t="s">
        <v>19</v>
      </c>
      <c r="N1865" t="s">
        <v>25</v>
      </c>
      <c r="O1865" t="s">
        <v>20</v>
      </c>
      <c r="P1865" t="s">
        <v>20</v>
      </c>
      <c r="Q1865" t="s">
        <v>18</v>
      </c>
    </row>
    <row r="1866" spans="1:17" x14ac:dyDescent="0.35">
      <c r="A1866">
        <v>1870</v>
      </c>
      <c r="B1866">
        <v>51</v>
      </c>
      <c r="C1866" t="s">
        <v>16</v>
      </c>
      <c r="D1866">
        <v>180</v>
      </c>
      <c r="E1866">
        <v>66</v>
      </c>
      <c r="F1866" s="3">
        <v>31.883225344037701</v>
      </c>
      <c r="G1866" s="3" t="str">
        <f t="shared" si="29"/>
        <v>Obese</v>
      </c>
      <c r="H1866" t="s">
        <v>1225</v>
      </c>
      <c r="I1866" t="s">
        <v>31</v>
      </c>
      <c r="J1866" t="s">
        <v>19</v>
      </c>
      <c r="K1866" t="s">
        <v>18</v>
      </c>
      <c r="L1866" t="s">
        <v>29</v>
      </c>
      <c r="M1866" t="s">
        <v>19</v>
      </c>
      <c r="N1866" t="s">
        <v>21</v>
      </c>
      <c r="O1866" t="s">
        <v>20</v>
      </c>
      <c r="P1866" t="s">
        <v>19</v>
      </c>
      <c r="Q1866" t="s">
        <v>40</v>
      </c>
    </row>
    <row r="1867" spans="1:17" x14ac:dyDescent="0.35">
      <c r="A1867">
        <v>1410</v>
      </c>
      <c r="B1867">
        <v>22</v>
      </c>
      <c r="C1867" t="s">
        <v>27</v>
      </c>
      <c r="D1867">
        <v>152</v>
      </c>
      <c r="E1867">
        <v>84</v>
      </c>
      <c r="F1867" s="3">
        <v>28.105389246443199</v>
      </c>
      <c r="G1867" s="3" t="str">
        <f t="shared" si="29"/>
        <v>Overweight</v>
      </c>
      <c r="H1867" t="s">
        <v>830</v>
      </c>
      <c r="I1867" t="s">
        <v>18</v>
      </c>
      <c r="J1867" t="s">
        <v>20</v>
      </c>
      <c r="K1867" t="s">
        <v>22</v>
      </c>
      <c r="L1867" t="s">
        <v>14</v>
      </c>
      <c r="M1867" t="s">
        <v>20</v>
      </c>
      <c r="N1867" t="s">
        <v>25</v>
      </c>
      <c r="O1867" t="s">
        <v>20</v>
      </c>
      <c r="P1867" t="s">
        <v>19</v>
      </c>
      <c r="Q1867" t="s">
        <v>18</v>
      </c>
    </row>
    <row r="1868" spans="1:17" x14ac:dyDescent="0.35">
      <c r="A1868">
        <v>1479</v>
      </c>
      <c r="B1868">
        <v>22</v>
      </c>
      <c r="C1868" t="s">
        <v>27</v>
      </c>
      <c r="D1868">
        <v>173</v>
      </c>
      <c r="E1868">
        <v>67</v>
      </c>
      <c r="F1868" s="3">
        <v>31.281768226584699</v>
      </c>
      <c r="G1868" s="3" t="str">
        <f t="shared" si="29"/>
        <v>Obese</v>
      </c>
      <c r="H1868" t="s">
        <v>1062</v>
      </c>
      <c r="I1868" t="s">
        <v>31</v>
      </c>
      <c r="J1868" t="s">
        <v>20</v>
      </c>
      <c r="K1868" t="s">
        <v>22</v>
      </c>
      <c r="L1868" t="s">
        <v>32</v>
      </c>
      <c r="M1868" t="s">
        <v>20</v>
      </c>
      <c r="N1868" t="s">
        <v>21</v>
      </c>
      <c r="O1868" t="s">
        <v>19</v>
      </c>
      <c r="P1868" t="s">
        <v>19</v>
      </c>
      <c r="Q1868" t="s">
        <v>18</v>
      </c>
    </row>
    <row r="1869" spans="1:17" x14ac:dyDescent="0.35">
      <c r="A1869">
        <v>1872</v>
      </c>
      <c r="B1869">
        <v>64</v>
      </c>
      <c r="C1869" t="s">
        <v>16</v>
      </c>
      <c r="D1869">
        <v>183</v>
      </c>
      <c r="E1869">
        <v>59</v>
      </c>
      <c r="F1869" s="3">
        <v>22.023368385085199</v>
      </c>
      <c r="G1869" s="3" t="str">
        <f t="shared" si="29"/>
        <v>Normal Weight</v>
      </c>
      <c r="H1869" t="s">
        <v>339</v>
      </c>
      <c r="I1869" t="s">
        <v>31</v>
      </c>
      <c r="J1869" t="s">
        <v>19</v>
      </c>
      <c r="K1869" t="s">
        <v>18</v>
      </c>
      <c r="L1869" t="s">
        <v>32</v>
      </c>
      <c r="M1869" t="s">
        <v>20</v>
      </c>
      <c r="N1869" t="s">
        <v>25</v>
      </c>
      <c r="O1869" t="s">
        <v>20</v>
      </c>
      <c r="P1869" t="s">
        <v>19</v>
      </c>
      <c r="Q1869" t="s">
        <v>40</v>
      </c>
    </row>
    <row r="1870" spans="1:17" x14ac:dyDescent="0.35">
      <c r="A1870">
        <v>1512</v>
      </c>
      <c r="B1870">
        <v>22</v>
      </c>
      <c r="C1870" t="s">
        <v>16</v>
      </c>
      <c r="D1870">
        <v>164</v>
      </c>
      <c r="E1870">
        <v>97</v>
      </c>
      <c r="F1870" s="3">
        <v>19.6640760512132</v>
      </c>
      <c r="G1870" s="3" t="str">
        <f t="shared" si="29"/>
        <v>Normal Weight</v>
      </c>
      <c r="H1870" t="s">
        <v>1077</v>
      </c>
      <c r="I1870" t="s">
        <v>31</v>
      </c>
      <c r="J1870" t="s">
        <v>19</v>
      </c>
      <c r="K1870" t="s">
        <v>22</v>
      </c>
      <c r="L1870" t="s">
        <v>14</v>
      </c>
      <c r="M1870" t="s">
        <v>20</v>
      </c>
      <c r="N1870" t="s">
        <v>21</v>
      </c>
      <c r="O1870" t="s">
        <v>19</v>
      </c>
      <c r="P1870" t="s">
        <v>20</v>
      </c>
      <c r="Q1870" t="s">
        <v>40</v>
      </c>
    </row>
    <row r="1871" spans="1:17" x14ac:dyDescent="0.35">
      <c r="A1871">
        <v>1543</v>
      </c>
      <c r="B1871">
        <v>22</v>
      </c>
      <c r="C1871" t="s">
        <v>16</v>
      </c>
      <c r="D1871">
        <v>185</v>
      </c>
      <c r="E1871">
        <v>91</v>
      </c>
      <c r="F1871" s="3">
        <v>22.159361616903499</v>
      </c>
      <c r="G1871" s="3" t="str">
        <f t="shared" si="29"/>
        <v>Normal Weight</v>
      </c>
      <c r="H1871" t="s">
        <v>1087</v>
      </c>
      <c r="I1871" t="s">
        <v>31</v>
      </c>
      <c r="J1871" t="s">
        <v>20</v>
      </c>
      <c r="K1871" t="s">
        <v>22</v>
      </c>
      <c r="L1871" t="s">
        <v>32</v>
      </c>
      <c r="M1871" t="s">
        <v>20</v>
      </c>
      <c r="N1871" t="s">
        <v>21</v>
      </c>
      <c r="O1871" t="s">
        <v>20</v>
      </c>
      <c r="P1871" t="s">
        <v>20</v>
      </c>
      <c r="Q1871" t="s">
        <v>40</v>
      </c>
    </row>
    <row r="1872" spans="1:17" x14ac:dyDescent="0.35">
      <c r="A1872">
        <v>1873</v>
      </c>
      <c r="B1872">
        <v>41</v>
      </c>
      <c r="C1872" t="s">
        <v>27</v>
      </c>
      <c r="D1872">
        <v>158</v>
      </c>
      <c r="E1872">
        <v>96</v>
      </c>
      <c r="F1872" s="3">
        <v>29.655535063715501</v>
      </c>
      <c r="G1872" s="3" t="str">
        <f t="shared" si="29"/>
        <v>Overweight</v>
      </c>
      <c r="H1872" t="s">
        <v>961</v>
      </c>
      <c r="I1872" t="s">
        <v>31</v>
      </c>
      <c r="J1872" t="s">
        <v>20</v>
      </c>
      <c r="K1872" t="s">
        <v>18</v>
      </c>
      <c r="L1872" t="s">
        <v>29</v>
      </c>
      <c r="M1872" t="s">
        <v>19</v>
      </c>
      <c r="N1872" t="s">
        <v>21</v>
      </c>
      <c r="O1872" t="s">
        <v>19</v>
      </c>
      <c r="P1872" t="s">
        <v>19</v>
      </c>
      <c r="Q1872" t="s">
        <v>22</v>
      </c>
    </row>
    <row r="1873" spans="1:17" x14ac:dyDescent="0.35">
      <c r="A1873">
        <v>1874</v>
      </c>
      <c r="B1873">
        <v>71</v>
      </c>
      <c r="C1873" t="s">
        <v>27</v>
      </c>
      <c r="D1873">
        <v>171</v>
      </c>
      <c r="E1873">
        <v>91</v>
      </c>
      <c r="F1873" s="3">
        <v>25.1825181266945</v>
      </c>
      <c r="G1873" s="3" t="str">
        <f t="shared" si="29"/>
        <v>Overweight</v>
      </c>
      <c r="H1873" t="s">
        <v>1094</v>
      </c>
      <c r="I1873" t="s">
        <v>31</v>
      </c>
      <c r="J1873" t="s">
        <v>20</v>
      </c>
      <c r="K1873" t="s">
        <v>40</v>
      </c>
      <c r="L1873" t="s">
        <v>32</v>
      </c>
      <c r="M1873" t="s">
        <v>20</v>
      </c>
      <c r="N1873" t="s">
        <v>25</v>
      </c>
      <c r="O1873" t="s">
        <v>20</v>
      </c>
      <c r="P1873" t="s">
        <v>19</v>
      </c>
      <c r="Q1873" t="s">
        <v>18</v>
      </c>
    </row>
    <row r="1874" spans="1:17" x14ac:dyDescent="0.35">
      <c r="A1874">
        <v>1876</v>
      </c>
      <c r="B1874">
        <v>22</v>
      </c>
      <c r="C1874" t="s">
        <v>16</v>
      </c>
      <c r="D1874">
        <v>174</v>
      </c>
      <c r="E1874">
        <v>65</v>
      </c>
      <c r="F1874" s="3">
        <v>19.9686606257841</v>
      </c>
      <c r="G1874" s="3" t="str">
        <f t="shared" si="29"/>
        <v>Normal Weight</v>
      </c>
      <c r="H1874" t="s">
        <v>1227</v>
      </c>
      <c r="I1874" t="s">
        <v>24</v>
      </c>
      <c r="J1874" t="s">
        <v>20</v>
      </c>
      <c r="K1874" t="s">
        <v>18</v>
      </c>
      <c r="L1874" t="s">
        <v>32</v>
      </c>
      <c r="M1874" t="s">
        <v>19</v>
      </c>
      <c r="N1874" t="s">
        <v>21</v>
      </c>
      <c r="O1874" t="s">
        <v>19</v>
      </c>
      <c r="P1874" t="s">
        <v>19</v>
      </c>
      <c r="Q1874" t="s">
        <v>40</v>
      </c>
    </row>
    <row r="1875" spans="1:17" x14ac:dyDescent="0.35">
      <c r="A1875">
        <v>63</v>
      </c>
      <c r="B1875">
        <v>21</v>
      </c>
      <c r="C1875" t="s">
        <v>16</v>
      </c>
      <c r="D1875">
        <v>174</v>
      </c>
      <c r="E1875">
        <v>87</v>
      </c>
      <c r="F1875" s="3">
        <v>27.735786912005601</v>
      </c>
      <c r="G1875" s="3" t="str">
        <f t="shared" si="29"/>
        <v>Overweight</v>
      </c>
      <c r="H1875" t="s">
        <v>92</v>
      </c>
      <c r="I1875" t="s">
        <v>18</v>
      </c>
      <c r="J1875" t="s">
        <v>19</v>
      </c>
      <c r="K1875" t="s">
        <v>22</v>
      </c>
      <c r="L1875" t="s">
        <v>29</v>
      </c>
      <c r="M1875" t="s">
        <v>20</v>
      </c>
      <c r="N1875" t="s">
        <v>25</v>
      </c>
      <c r="O1875" t="s">
        <v>19</v>
      </c>
      <c r="P1875" t="s">
        <v>20</v>
      </c>
      <c r="Q1875" t="s">
        <v>18</v>
      </c>
    </row>
    <row r="1876" spans="1:17" x14ac:dyDescent="0.35">
      <c r="A1876">
        <v>1879</v>
      </c>
      <c r="B1876">
        <v>75</v>
      </c>
      <c r="C1876" t="s">
        <v>16</v>
      </c>
      <c r="D1876">
        <v>189</v>
      </c>
      <c r="E1876">
        <v>64</v>
      </c>
      <c r="F1876" s="3">
        <v>33.4178753979118</v>
      </c>
      <c r="G1876" s="3" t="str">
        <f t="shared" si="29"/>
        <v>Obese</v>
      </c>
      <c r="H1876" t="s">
        <v>711</v>
      </c>
      <c r="I1876" t="s">
        <v>24</v>
      </c>
      <c r="J1876" t="s">
        <v>19</v>
      </c>
      <c r="K1876" t="s">
        <v>40</v>
      </c>
      <c r="L1876" t="s">
        <v>38</v>
      </c>
      <c r="M1876" t="s">
        <v>20</v>
      </c>
      <c r="N1876" t="s">
        <v>25</v>
      </c>
      <c r="O1876" t="s">
        <v>19</v>
      </c>
      <c r="P1876" t="s">
        <v>20</v>
      </c>
      <c r="Q1876" t="s">
        <v>18</v>
      </c>
    </row>
    <row r="1877" spans="1:17" x14ac:dyDescent="0.35">
      <c r="A1877">
        <v>1880</v>
      </c>
      <c r="B1877">
        <v>53</v>
      </c>
      <c r="C1877" t="s">
        <v>16</v>
      </c>
      <c r="D1877">
        <v>166</v>
      </c>
      <c r="E1877">
        <v>76</v>
      </c>
      <c r="F1877" s="3">
        <v>21.0827320213597</v>
      </c>
      <c r="G1877" s="3" t="str">
        <f t="shared" si="29"/>
        <v>Normal Weight</v>
      </c>
      <c r="H1877" t="s">
        <v>1229</v>
      </c>
      <c r="I1877" t="s">
        <v>31</v>
      </c>
      <c r="J1877" t="s">
        <v>19</v>
      </c>
      <c r="K1877" t="s">
        <v>18</v>
      </c>
      <c r="L1877" t="s">
        <v>14</v>
      </c>
      <c r="M1877" t="s">
        <v>19</v>
      </c>
      <c r="N1877" t="s">
        <v>21</v>
      </c>
      <c r="O1877" t="s">
        <v>19</v>
      </c>
      <c r="P1877" t="s">
        <v>20</v>
      </c>
      <c r="Q1877" t="s">
        <v>22</v>
      </c>
    </row>
    <row r="1878" spans="1:17" x14ac:dyDescent="0.35">
      <c r="A1878">
        <v>1886</v>
      </c>
      <c r="B1878">
        <v>60</v>
      </c>
      <c r="C1878" t="s">
        <v>27</v>
      </c>
      <c r="D1878">
        <v>166</v>
      </c>
      <c r="E1878">
        <v>85</v>
      </c>
      <c r="F1878" s="3">
        <v>21.254677954068701</v>
      </c>
      <c r="G1878" s="3" t="str">
        <f t="shared" si="29"/>
        <v>Normal Weight</v>
      </c>
      <c r="H1878" t="s">
        <v>1232</v>
      </c>
      <c r="I1878" t="s">
        <v>31</v>
      </c>
      <c r="J1878" t="s">
        <v>19</v>
      </c>
      <c r="K1878" t="s">
        <v>18</v>
      </c>
      <c r="L1878" t="s">
        <v>38</v>
      </c>
      <c r="M1878" t="s">
        <v>20</v>
      </c>
      <c r="N1878" t="s">
        <v>25</v>
      </c>
      <c r="O1878" t="s">
        <v>20</v>
      </c>
      <c r="P1878" t="s">
        <v>19</v>
      </c>
      <c r="Q1878" t="s">
        <v>40</v>
      </c>
    </row>
    <row r="1879" spans="1:17" x14ac:dyDescent="0.35">
      <c r="A1879">
        <v>1888</v>
      </c>
      <c r="B1879">
        <v>79</v>
      </c>
      <c r="C1879" t="s">
        <v>16</v>
      </c>
      <c r="D1879">
        <v>158</v>
      </c>
      <c r="E1879">
        <v>56</v>
      </c>
      <c r="F1879" s="3">
        <v>19.909239966336301</v>
      </c>
      <c r="G1879" s="3" t="str">
        <f t="shared" si="29"/>
        <v>Normal Weight</v>
      </c>
      <c r="H1879" t="s">
        <v>1234</v>
      </c>
      <c r="I1879" t="s">
        <v>18</v>
      </c>
      <c r="J1879" t="s">
        <v>19</v>
      </c>
      <c r="K1879" t="s">
        <v>40</v>
      </c>
      <c r="L1879" t="s">
        <v>32</v>
      </c>
      <c r="M1879" t="s">
        <v>20</v>
      </c>
      <c r="N1879" t="s">
        <v>21</v>
      </c>
      <c r="O1879" t="s">
        <v>19</v>
      </c>
      <c r="P1879" t="s">
        <v>19</v>
      </c>
      <c r="Q1879" t="s">
        <v>40</v>
      </c>
    </row>
    <row r="1880" spans="1:17" x14ac:dyDescent="0.35">
      <c r="A1880">
        <v>416</v>
      </c>
      <c r="B1880">
        <v>21</v>
      </c>
      <c r="C1880" t="s">
        <v>16</v>
      </c>
      <c r="D1880">
        <v>170</v>
      </c>
      <c r="E1880">
        <v>96</v>
      </c>
      <c r="F1880" s="3">
        <v>24.224822681230101</v>
      </c>
      <c r="G1880" s="3" t="str">
        <f t="shared" si="29"/>
        <v>Normal Weight</v>
      </c>
      <c r="H1880" t="s">
        <v>398</v>
      </c>
      <c r="I1880" t="s">
        <v>18</v>
      </c>
      <c r="J1880" t="s">
        <v>20</v>
      </c>
      <c r="K1880" t="s">
        <v>22</v>
      </c>
      <c r="L1880" t="s">
        <v>38</v>
      </c>
      <c r="M1880" t="s">
        <v>20</v>
      </c>
      <c r="N1880" t="s">
        <v>25</v>
      </c>
      <c r="O1880" t="s">
        <v>19</v>
      </c>
      <c r="P1880" t="s">
        <v>19</v>
      </c>
      <c r="Q1880" t="s">
        <v>40</v>
      </c>
    </row>
    <row r="1881" spans="1:17" x14ac:dyDescent="0.35">
      <c r="A1881">
        <v>1890</v>
      </c>
      <c r="B1881">
        <v>62</v>
      </c>
      <c r="C1881" t="s">
        <v>16</v>
      </c>
      <c r="D1881">
        <v>169</v>
      </c>
      <c r="E1881">
        <v>64</v>
      </c>
      <c r="F1881" s="3">
        <v>21.6947928616251</v>
      </c>
      <c r="G1881" s="3" t="str">
        <f t="shared" si="29"/>
        <v>Normal Weight</v>
      </c>
      <c r="H1881" t="s">
        <v>1093</v>
      </c>
      <c r="I1881" t="s">
        <v>31</v>
      </c>
      <c r="J1881" t="s">
        <v>20</v>
      </c>
      <c r="K1881" t="s">
        <v>18</v>
      </c>
      <c r="L1881" t="s">
        <v>38</v>
      </c>
      <c r="M1881" t="s">
        <v>19</v>
      </c>
      <c r="N1881" t="s">
        <v>21</v>
      </c>
      <c r="O1881" t="s">
        <v>19</v>
      </c>
      <c r="P1881" t="s">
        <v>20</v>
      </c>
      <c r="Q1881" t="s">
        <v>18</v>
      </c>
    </row>
    <row r="1882" spans="1:17" x14ac:dyDescent="0.35">
      <c r="A1882">
        <v>573</v>
      </c>
      <c r="B1882">
        <v>21</v>
      </c>
      <c r="C1882" t="s">
        <v>27</v>
      </c>
      <c r="D1882">
        <v>187</v>
      </c>
      <c r="E1882">
        <v>80</v>
      </c>
      <c r="F1882" s="3">
        <v>25.677740806613599</v>
      </c>
      <c r="G1882" s="3" t="str">
        <f t="shared" si="29"/>
        <v>Overweight</v>
      </c>
      <c r="H1882" t="s">
        <v>526</v>
      </c>
      <c r="I1882" t="s">
        <v>31</v>
      </c>
      <c r="J1882" t="s">
        <v>19</v>
      </c>
      <c r="K1882" t="s">
        <v>22</v>
      </c>
      <c r="L1882" t="s">
        <v>32</v>
      </c>
      <c r="M1882" t="s">
        <v>20</v>
      </c>
      <c r="N1882" t="s">
        <v>25</v>
      </c>
      <c r="O1882" t="s">
        <v>19</v>
      </c>
      <c r="P1882" t="s">
        <v>19</v>
      </c>
      <c r="Q1882" t="s">
        <v>18</v>
      </c>
    </row>
    <row r="1883" spans="1:17" x14ac:dyDescent="0.35">
      <c r="A1883">
        <v>677</v>
      </c>
      <c r="B1883">
        <v>21</v>
      </c>
      <c r="C1883" t="s">
        <v>27</v>
      </c>
      <c r="D1883">
        <v>181</v>
      </c>
      <c r="E1883">
        <v>88</v>
      </c>
      <c r="F1883" s="3">
        <v>21.5787365984072</v>
      </c>
      <c r="G1883" s="3" t="str">
        <f t="shared" si="29"/>
        <v>Normal Weight</v>
      </c>
      <c r="H1883" t="s">
        <v>607</v>
      </c>
      <c r="I1883" t="s">
        <v>31</v>
      </c>
      <c r="J1883" t="s">
        <v>20</v>
      </c>
      <c r="K1883" t="s">
        <v>22</v>
      </c>
      <c r="L1883" t="s">
        <v>14</v>
      </c>
      <c r="M1883" t="s">
        <v>20</v>
      </c>
      <c r="N1883" t="s">
        <v>21</v>
      </c>
      <c r="O1883" t="s">
        <v>19</v>
      </c>
      <c r="P1883" t="s">
        <v>19</v>
      </c>
      <c r="Q1883" t="s">
        <v>18</v>
      </c>
    </row>
    <row r="1884" spans="1:17" x14ac:dyDescent="0.35">
      <c r="A1884">
        <v>730</v>
      </c>
      <c r="B1884">
        <v>21</v>
      </c>
      <c r="C1884" t="s">
        <v>16</v>
      </c>
      <c r="D1884">
        <v>175</v>
      </c>
      <c r="E1884">
        <v>89</v>
      </c>
      <c r="F1884" s="3">
        <v>31.023117725591501</v>
      </c>
      <c r="G1884" s="3" t="str">
        <f t="shared" si="29"/>
        <v>Obese</v>
      </c>
      <c r="H1884" t="s">
        <v>640</v>
      </c>
      <c r="I1884" t="s">
        <v>18</v>
      </c>
      <c r="J1884" t="s">
        <v>19</v>
      </c>
      <c r="K1884" t="s">
        <v>22</v>
      </c>
      <c r="L1884" t="s">
        <v>14</v>
      </c>
      <c r="M1884" t="s">
        <v>20</v>
      </c>
      <c r="N1884" t="s">
        <v>25</v>
      </c>
      <c r="O1884" t="s">
        <v>19</v>
      </c>
      <c r="P1884" t="s">
        <v>19</v>
      </c>
      <c r="Q1884" t="s">
        <v>18</v>
      </c>
    </row>
    <row r="1885" spans="1:17" x14ac:dyDescent="0.35">
      <c r="A1885">
        <v>1892</v>
      </c>
      <c r="B1885">
        <v>51</v>
      </c>
      <c r="C1885" t="s">
        <v>16</v>
      </c>
      <c r="D1885">
        <v>176</v>
      </c>
      <c r="E1885">
        <v>72</v>
      </c>
      <c r="F1885" s="3">
        <v>25.906047533258</v>
      </c>
      <c r="G1885" s="3" t="str">
        <f t="shared" si="29"/>
        <v>Overweight</v>
      </c>
      <c r="H1885" t="s">
        <v>1235</v>
      </c>
      <c r="I1885" t="s">
        <v>18</v>
      </c>
      <c r="J1885" t="s">
        <v>19</v>
      </c>
      <c r="K1885" t="s">
        <v>18</v>
      </c>
      <c r="L1885" t="s">
        <v>14</v>
      </c>
      <c r="M1885" t="s">
        <v>20</v>
      </c>
      <c r="N1885" t="s">
        <v>25</v>
      </c>
      <c r="O1885" t="s">
        <v>19</v>
      </c>
      <c r="P1885" t="s">
        <v>19</v>
      </c>
      <c r="Q1885" t="s">
        <v>40</v>
      </c>
    </row>
    <row r="1886" spans="1:17" x14ac:dyDescent="0.35">
      <c r="A1886">
        <v>1893</v>
      </c>
      <c r="B1886">
        <v>26</v>
      </c>
      <c r="C1886" t="s">
        <v>27</v>
      </c>
      <c r="D1886">
        <v>170</v>
      </c>
      <c r="E1886">
        <v>71</v>
      </c>
      <c r="F1886" s="3">
        <v>28.383682229523799</v>
      </c>
      <c r="G1886" s="3" t="str">
        <f t="shared" si="29"/>
        <v>Overweight</v>
      </c>
      <c r="H1886" t="s">
        <v>345</v>
      </c>
      <c r="I1886" t="s">
        <v>24</v>
      </c>
      <c r="J1886" t="s">
        <v>20</v>
      </c>
      <c r="K1886" t="s">
        <v>18</v>
      </c>
      <c r="L1886" t="s">
        <v>14</v>
      </c>
      <c r="M1886" t="s">
        <v>19</v>
      </c>
      <c r="N1886" t="s">
        <v>21</v>
      </c>
      <c r="O1886" t="s">
        <v>20</v>
      </c>
      <c r="P1886" t="s">
        <v>19</v>
      </c>
      <c r="Q1886" t="s">
        <v>22</v>
      </c>
    </row>
    <row r="1887" spans="1:17" x14ac:dyDescent="0.35">
      <c r="A1887">
        <v>1109</v>
      </c>
      <c r="B1887">
        <v>21</v>
      </c>
      <c r="C1887" t="s">
        <v>16</v>
      </c>
      <c r="D1887">
        <v>159</v>
      </c>
      <c r="E1887">
        <v>57</v>
      </c>
      <c r="F1887" s="3">
        <v>22.432563975361901</v>
      </c>
      <c r="G1887" s="3" t="str">
        <f t="shared" si="29"/>
        <v>Normal Weight</v>
      </c>
      <c r="H1887" t="s">
        <v>625</v>
      </c>
      <c r="I1887" t="s">
        <v>31</v>
      </c>
      <c r="J1887" t="s">
        <v>20</v>
      </c>
      <c r="K1887" t="s">
        <v>22</v>
      </c>
      <c r="L1887" t="s">
        <v>32</v>
      </c>
      <c r="M1887" t="s">
        <v>19</v>
      </c>
      <c r="N1887" t="s">
        <v>21</v>
      </c>
      <c r="O1887" t="s">
        <v>20</v>
      </c>
      <c r="P1887" t="s">
        <v>20</v>
      </c>
      <c r="Q1887" t="s">
        <v>18</v>
      </c>
    </row>
    <row r="1888" spans="1:17" x14ac:dyDescent="0.35">
      <c r="A1888">
        <v>1896</v>
      </c>
      <c r="B1888">
        <v>70</v>
      </c>
      <c r="C1888" t="s">
        <v>27</v>
      </c>
      <c r="D1888">
        <v>165</v>
      </c>
      <c r="E1888">
        <v>60</v>
      </c>
      <c r="F1888" s="3">
        <v>33.869591384162199</v>
      </c>
      <c r="G1888" s="3" t="str">
        <f t="shared" si="29"/>
        <v>Obese</v>
      </c>
      <c r="H1888" t="s">
        <v>1236</v>
      </c>
      <c r="I1888" t="s">
        <v>18</v>
      </c>
      <c r="J1888" t="s">
        <v>19</v>
      </c>
      <c r="K1888" t="s">
        <v>40</v>
      </c>
      <c r="L1888" t="s">
        <v>29</v>
      </c>
      <c r="M1888" t="s">
        <v>19</v>
      </c>
      <c r="N1888" t="s">
        <v>21</v>
      </c>
      <c r="O1888" t="s">
        <v>20</v>
      </c>
      <c r="P1888" t="s">
        <v>20</v>
      </c>
      <c r="Q1888" t="s">
        <v>22</v>
      </c>
    </row>
    <row r="1889" spans="1:17" x14ac:dyDescent="0.35">
      <c r="A1889">
        <v>1142</v>
      </c>
      <c r="B1889">
        <v>21</v>
      </c>
      <c r="C1889" t="s">
        <v>16</v>
      </c>
      <c r="D1889">
        <v>162</v>
      </c>
      <c r="E1889">
        <v>98</v>
      </c>
      <c r="F1889" s="3">
        <v>32.566953640445703</v>
      </c>
      <c r="G1889" s="3" t="str">
        <f t="shared" si="29"/>
        <v>Obese</v>
      </c>
      <c r="H1889" t="s">
        <v>889</v>
      </c>
      <c r="I1889" t="s">
        <v>18</v>
      </c>
      <c r="J1889" t="s">
        <v>20</v>
      </c>
      <c r="K1889" t="s">
        <v>22</v>
      </c>
      <c r="L1889" t="s">
        <v>32</v>
      </c>
      <c r="M1889" t="s">
        <v>20</v>
      </c>
      <c r="N1889" t="s">
        <v>25</v>
      </c>
      <c r="O1889" t="s">
        <v>20</v>
      </c>
      <c r="P1889" t="s">
        <v>20</v>
      </c>
      <c r="Q1889" t="s">
        <v>18</v>
      </c>
    </row>
    <row r="1890" spans="1:17" x14ac:dyDescent="0.35">
      <c r="A1890">
        <v>1248</v>
      </c>
      <c r="B1890">
        <v>21</v>
      </c>
      <c r="C1890" t="s">
        <v>27</v>
      </c>
      <c r="D1890">
        <v>154</v>
      </c>
      <c r="E1890">
        <v>95</v>
      </c>
      <c r="F1890" s="3">
        <v>29.229208673045399</v>
      </c>
      <c r="G1890" s="3" t="str">
        <f t="shared" si="29"/>
        <v>Overweight</v>
      </c>
      <c r="H1890" t="s">
        <v>950</v>
      </c>
      <c r="I1890" t="s">
        <v>31</v>
      </c>
      <c r="J1890" t="s">
        <v>19</v>
      </c>
      <c r="K1890" t="s">
        <v>22</v>
      </c>
      <c r="L1890" t="s">
        <v>32</v>
      </c>
      <c r="M1890" t="s">
        <v>20</v>
      </c>
      <c r="N1890" t="s">
        <v>25</v>
      </c>
      <c r="O1890" t="s">
        <v>19</v>
      </c>
      <c r="P1890" t="s">
        <v>19</v>
      </c>
      <c r="Q1890" t="s">
        <v>22</v>
      </c>
    </row>
    <row r="1891" spans="1:17" x14ac:dyDescent="0.35">
      <c r="A1891">
        <v>1897</v>
      </c>
      <c r="B1891">
        <v>26</v>
      </c>
      <c r="C1891" t="s">
        <v>27</v>
      </c>
      <c r="D1891">
        <v>158</v>
      </c>
      <c r="E1891">
        <v>59</v>
      </c>
      <c r="F1891" s="3">
        <v>33.488766769931303</v>
      </c>
      <c r="G1891" s="3" t="str">
        <f t="shared" si="29"/>
        <v>Obese</v>
      </c>
      <c r="H1891" t="s">
        <v>1010</v>
      </c>
      <c r="I1891" t="s">
        <v>18</v>
      </c>
      <c r="J1891" t="s">
        <v>19</v>
      </c>
      <c r="K1891" t="s">
        <v>18</v>
      </c>
      <c r="L1891" t="s">
        <v>32</v>
      </c>
      <c r="M1891" t="s">
        <v>19</v>
      </c>
      <c r="N1891" t="s">
        <v>25</v>
      </c>
      <c r="O1891" t="s">
        <v>20</v>
      </c>
      <c r="P1891" t="s">
        <v>19</v>
      </c>
      <c r="Q1891" t="s">
        <v>22</v>
      </c>
    </row>
    <row r="1892" spans="1:17" x14ac:dyDescent="0.35">
      <c r="A1892">
        <v>1311</v>
      </c>
      <c r="B1892">
        <v>21</v>
      </c>
      <c r="C1892" t="s">
        <v>27</v>
      </c>
      <c r="D1892">
        <v>158</v>
      </c>
      <c r="E1892">
        <v>90</v>
      </c>
      <c r="F1892" s="3">
        <v>34.693453511213399</v>
      </c>
      <c r="G1892" s="3" t="str">
        <f t="shared" si="29"/>
        <v>Obese</v>
      </c>
      <c r="H1892" t="s">
        <v>144</v>
      </c>
      <c r="I1892" t="s">
        <v>31</v>
      </c>
      <c r="J1892" t="s">
        <v>19</v>
      </c>
      <c r="K1892" t="s">
        <v>22</v>
      </c>
      <c r="L1892" t="s">
        <v>14</v>
      </c>
      <c r="M1892" t="s">
        <v>19</v>
      </c>
      <c r="N1892" t="s">
        <v>25</v>
      </c>
      <c r="O1892" t="s">
        <v>19</v>
      </c>
      <c r="P1892" t="s">
        <v>19</v>
      </c>
      <c r="Q1892" t="s">
        <v>22</v>
      </c>
    </row>
    <row r="1893" spans="1:17" x14ac:dyDescent="0.35">
      <c r="A1893">
        <v>1898</v>
      </c>
      <c r="B1893">
        <v>26</v>
      </c>
      <c r="C1893" t="s">
        <v>16</v>
      </c>
      <c r="D1893">
        <v>161</v>
      </c>
      <c r="E1893">
        <v>74</v>
      </c>
      <c r="F1893" s="3">
        <v>31.391295682193899</v>
      </c>
      <c r="G1893" s="3" t="str">
        <f t="shared" si="29"/>
        <v>Obese</v>
      </c>
      <c r="H1893" t="s">
        <v>1237</v>
      </c>
      <c r="I1893" t="s">
        <v>18</v>
      </c>
      <c r="J1893" t="s">
        <v>19</v>
      </c>
      <c r="K1893" t="s">
        <v>18</v>
      </c>
      <c r="L1893" t="s">
        <v>38</v>
      </c>
      <c r="M1893" t="s">
        <v>20</v>
      </c>
      <c r="N1893" t="s">
        <v>21</v>
      </c>
      <c r="O1893" t="s">
        <v>19</v>
      </c>
      <c r="P1893" t="s">
        <v>19</v>
      </c>
      <c r="Q1893" t="s">
        <v>18</v>
      </c>
    </row>
    <row r="1894" spans="1:17" x14ac:dyDescent="0.35">
      <c r="A1894">
        <v>1416</v>
      </c>
      <c r="B1894">
        <v>21</v>
      </c>
      <c r="C1894" t="s">
        <v>27</v>
      </c>
      <c r="D1894">
        <v>150</v>
      </c>
      <c r="E1894">
        <v>61</v>
      </c>
      <c r="F1894" s="3">
        <v>24.083069787766</v>
      </c>
      <c r="G1894" s="3" t="str">
        <f t="shared" si="29"/>
        <v>Normal Weight</v>
      </c>
      <c r="H1894" t="s">
        <v>1034</v>
      </c>
      <c r="I1894" t="s">
        <v>31</v>
      </c>
      <c r="J1894" t="s">
        <v>20</v>
      </c>
      <c r="K1894" t="s">
        <v>22</v>
      </c>
      <c r="L1894" t="s">
        <v>14</v>
      </c>
      <c r="M1894" t="s">
        <v>19</v>
      </c>
      <c r="N1894" t="s">
        <v>21</v>
      </c>
      <c r="O1894" t="s">
        <v>20</v>
      </c>
      <c r="P1894" t="s">
        <v>20</v>
      </c>
      <c r="Q1894" t="s">
        <v>40</v>
      </c>
    </row>
    <row r="1895" spans="1:17" x14ac:dyDescent="0.35">
      <c r="A1895">
        <v>1475</v>
      </c>
      <c r="B1895">
        <v>21</v>
      </c>
      <c r="C1895" t="s">
        <v>27</v>
      </c>
      <c r="D1895">
        <v>188</v>
      </c>
      <c r="E1895">
        <v>65</v>
      </c>
      <c r="F1895" s="3">
        <v>30.403911092307901</v>
      </c>
      <c r="G1895" s="3" t="str">
        <f t="shared" si="29"/>
        <v>Obese</v>
      </c>
      <c r="H1895" t="s">
        <v>703</v>
      </c>
      <c r="I1895" t="s">
        <v>18</v>
      </c>
      <c r="J1895" t="s">
        <v>19</v>
      </c>
      <c r="K1895" t="s">
        <v>22</v>
      </c>
      <c r="L1895" t="s">
        <v>32</v>
      </c>
      <c r="M1895" t="s">
        <v>20</v>
      </c>
      <c r="N1895" t="s">
        <v>25</v>
      </c>
      <c r="O1895" t="s">
        <v>19</v>
      </c>
      <c r="P1895" t="s">
        <v>19</v>
      </c>
      <c r="Q1895" t="s">
        <v>40</v>
      </c>
    </row>
    <row r="1896" spans="1:17" x14ac:dyDescent="0.35">
      <c r="A1896">
        <v>1903</v>
      </c>
      <c r="B1896">
        <v>78</v>
      </c>
      <c r="C1896" t="s">
        <v>27</v>
      </c>
      <c r="D1896">
        <v>167</v>
      </c>
      <c r="E1896">
        <v>90</v>
      </c>
      <c r="F1896" s="3">
        <v>33.508180468387302</v>
      </c>
      <c r="G1896" s="3" t="str">
        <f t="shared" si="29"/>
        <v>Obese</v>
      </c>
      <c r="H1896" t="s">
        <v>1056</v>
      </c>
      <c r="I1896" t="s">
        <v>24</v>
      </c>
      <c r="J1896" t="s">
        <v>20</v>
      </c>
      <c r="K1896" t="s">
        <v>40</v>
      </c>
      <c r="L1896" t="s">
        <v>38</v>
      </c>
      <c r="M1896" t="s">
        <v>20</v>
      </c>
      <c r="N1896" t="s">
        <v>25</v>
      </c>
      <c r="O1896" t="s">
        <v>20</v>
      </c>
      <c r="P1896" t="s">
        <v>20</v>
      </c>
      <c r="Q1896" t="s">
        <v>18</v>
      </c>
    </row>
    <row r="1897" spans="1:17" x14ac:dyDescent="0.35">
      <c r="A1897">
        <v>1542</v>
      </c>
      <c r="B1897">
        <v>21</v>
      </c>
      <c r="C1897" t="s">
        <v>16</v>
      </c>
      <c r="D1897">
        <v>189</v>
      </c>
      <c r="E1897">
        <v>60</v>
      </c>
      <c r="F1897" s="3">
        <v>18.926343041630101</v>
      </c>
      <c r="G1897" s="3" t="str">
        <f t="shared" si="29"/>
        <v>Normal Weight</v>
      </c>
      <c r="H1897" t="s">
        <v>333</v>
      </c>
      <c r="I1897" t="s">
        <v>31</v>
      </c>
      <c r="J1897" t="s">
        <v>20</v>
      </c>
      <c r="K1897" t="s">
        <v>22</v>
      </c>
      <c r="L1897" t="s">
        <v>32</v>
      </c>
      <c r="M1897" t="s">
        <v>20</v>
      </c>
      <c r="N1897" t="s">
        <v>25</v>
      </c>
      <c r="O1897" t="s">
        <v>20</v>
      </c>
      <c r="P1897" t="s">
        <v>20</v>
      </c>
      <c r="Q1897" t="s">
        <v>40</v>
      </c>
    </row>
    <row r="1898" spans="1:17" x14ac:dyDescent="0.35">
      <c r="A1898">
        <v>1909</v>
      </c>
      <c r="B1898">
        <v>52</v>
      </c>
      <c r="C1898" t="s">
        <v>27</v>
      </c>
      <c r="D1898">
        <v>189</v>
      </c>
      <c r="E1898">
        <v>66</v>
      </c>
      <c r="F1898" s="3">
        <v>27.283943875211602</v>
      </c>
      <c r="G1898" s="3" t="str">
        <f t="shared" si="29"/>
        <v>Overweight</v>
      </c>
      <c r="H1898" t="s">
        <v>1240</v>
      </c>
      <c r="I1898" t="s">
        <v>24</v>
      </c>
      <c r="J1898" t="s">
        <v>20</v>
      </c>
      <c r="K1898" t="s">
        <v>18</v>
      </c>
      <c r="L1898" t="s">
        <v>14</v>
      </c>
      <c r="M1898" t="s">
        <v>19</v>
      </c>
      <c r="N1898" t="s">
        <v>21</v>
      </c>
      <c r="O1898" t="s">
        <v>19</v>
      </c>
      <c r="P1898" t="s">
        <v>20</v>
      </c>
      <c r="Q1898" t="s">
        <v>22</v>
      </c>
    </row>
    <row r="1899" spans="1:17" x14ac:dyDescent="0.35">
      <c r="A1899">
        <v>1911</v>
      </c>
      <c r="B1899">
        <v>67</v>
      </c>
      <c r="C1899" t="s">
        <v>27</v>
      </c>
      <c r="D1899">
        <v>166</v>
      </c>
      <c r="E1899">
        <v>86</v>
      </c>
      <c r="F1899" s="3">
        <v>24.981844761943101</v>
      </c>
      <c r="G1899" s="3" t="str">
        <f t="shared" si="29"/>
        <v>Overweight</v>
      </c>
      <c r="H1899" t="s">
        <v>1241</v>
      </c>
      <c r="I1899" t="s">
        <v>18</v>
      </c>
      <c r="J1899" t="s">
        <v>20</v>
      </c>
      <c r="K1899" t="s">
        <v>18</v>
      </c>
      <c r="L1899" t="s">
        <v>38</v>
      </c>
      <c r="M1899" t="s">
        <v>19</v>
      </c>
      <c r="N1899" t="s">
        <v>25</v>
      </c>
      <c r="O1899" t="s">
        <v>20</v>
      </c>
      <c r="P1899" t="s">
        <v>19</v>
      </c>
      <c r="Q1899" t="s">
        <v>22</v>
      </c>
    </row>
    <row r="1900" spans="1:17" x14ac:dyDescent="0.35">
      <c r="A1900">
        <v>1916</v>
      </c>
      <c r="B1900">
        <v>47</v>
      </c>
      <c r="C1900" t="s">
        <v>27</v>
      </c>
      <c r="D1900">
        <v>175</v>
      </c>
      <c r="E1900">
        <v>53</v>
      </c>
      <c r="F1900" s="3">
        <v>19.868090593008901</v>
      </c>
      <c r="G1900" s="3" t="str">
        <f t="shared" si="29"/>
        <v>Normal Weight</v>
      </c>
      <c r="H1900" t="s">
        <v>312</v>
      </c>
      <c r="I1900" t="s">
        <v>18</v>
      </c>
      <c r="J1900" t="s">
        <v>19</v>
      </c>
      <c r="K1900" t="s">
        <v>18</v>
      </c>
      <c r="L1900" t="s">
        <v>32</v>
      </c>
      <c r="M1900" t="s">
        <v>19</v>
      </c>
      <c r="N1900" t="s">
        <v>21</v>
      </c>
      <c r="O1900" t="s">
        <v>20</v>
      </c>
      <c r="P1900" t="s">
        <v>19</v>
      </c>
      <c r="Q1900" t="s">
        <v>40</v>
      </c>
    </row>
    <row r="1901" spans="1:17" x14ac:dyDescent="0.35">
      <c r="A1901">
        <v>1917</v>
      </c>
      <c r="B1901">
        <v>55</v>
      </c>
      <c r="C1901" t="s">
        <v>27</v>
      </c>
      <c r="D1901">
        <v>163</v>
      </c>
      <c r="E1901">
        <v>66</v>
      </c>
      <c r="F1901" s="3">
        <v>28.730022002377201</v>
      </c>
      <c r="G1901" s="3" t="str">
        <f t="shared" si="29"/>
        <v>Overweight</v>
      </c>
      <c r="H1901" t="s">
        <v>478</v>
      </c>
      <c r="I1901" t="s">
        <v>31</v>
      </c>
      <c r="J1901" t="s">
        <v>20</v>
      </c>
      <c r="K1901" t="s">
        <v>18</v>
      </c>
      <c r="L1901" t="s">
        <v>14</v>
      </c>
      <c r="M1901" t="s">
        <v>20</v>
      </c>
      <c r="N1901" t="s">
        <v>21</v>
      </c>
      <c r="O1901" t="s">
        <v>19</v>
      </c>
      <c r="P1901" t="s">
        <v>20</v>
      </c>
      <c r="Q1901" t="s">
        <v>18</v>
      </c>
    </row>
    <row r="1902" spans="1:17" x14ac:dyDescent="0.35">
      <c r="A1902">
        <v>1919</v>
      </c>
      <c r="B1902">
        <v>29</v>
      </c>
      <c r="C1902" t="s">
        <v>16</v>
      </c>
      <c r="D1902">
        <v>153</v>
      </c>
      <c r="E1902">
        <v>99</v>
      </c>
      <c r="F1902" s="3">
        <v>32.622765628256403</v>
      </c>
      <c r="G1902" s="3" t="str">
        <f t="shared" si="29"/>
        <v>Obese</v>
      </c>
      <c r="H1902" t="s">
        <v>556</v>
      </c>
      <c r="I1902" t="s">
        <v>18</v>
      </c>
      <c r="J1902" t="s">
        <v>20</v>
      </c>
      <c r="K1902" t="s">
        <v>18</v>
      </c>
      <c r="L1902" t="s">
        <v>32</v>
      </c>
      <c r="M1902" t="s">
        <v>19</v>
      </c>
      <c r="N1902" t="s">
        <v>21</v>
      </c>
      <c r="O1902" t="s">
        <v>19</v>
      </c>
      <c r="P1902" t="s">
        <v>19</v>
      </c>
      <c r="Q1902" t="s">
        <v>18</v>
      </c>
    </row>
    <row r="1903" spans="1:17" x14ac:dyDescent="0.35">
      <c r="A1903">
        <v>178</v>
      </c>
      <c r="B1903">
        <v>20</v>
      </c>
      <c r="C1903" t="s">
        <v>16</v>
      </c>
      <c r="D1903">
        <v>172</v>
      </c>
      <c r="E1903">
        <v>52</v>
      </c>
      <c r="F1903" s="3">
        <v>18.7644645815095</v>
      </c>
      <c r="G1903" s="3" t="str">
        <f t="shared" si="29"/>
        <v>Normal Weight</v>
      </c>
      <c r="H1903" t="s">
        <v>198</v>
      </c>
      <c r="I1903" t="s">
        <v>18</v>
      </c>
      <c r="J1903" t="s">
        <v>19</v>
      </c>
      <c r="K1903" t="s">
        <v>22</v>
      </c>
      <c r="L1903" t="s">
        <v>32</v>
      </c>
      <c r="M1903" t="s">
        <v>20</v>
      </c>
      <c r="N1903" t="s">
        <v>25</v>
      </c>
      <c r="O1903" t="s">
        <v>19</v>
      </c>
      <c r="P1903" t="s">
        <v>19</v>
      </c>
      <c r="Q1903" t="s">
        <v>40</v>
      </c>
    </row>
    <row r="1904" spans="1:17" x14ac:dyDescent="0.35">
      <c r="A1904">
        <v>1920</v>
      </c>
      <c r="B1904">
        <v>36</v>
      </c>
      <c r="C1904" t="s">
        <v>16</v>
      </c>
      <c r="D1904">
        <v>188</v>
      </c>
      <c r="E1904">
        <v>97</v>
      </c>
      <c r="F1904" s="3">
        <v>25.672189447221701</v>
      </c>
      <c r="G1904" s="3" t="str">
        <f t="shared" si="29"/>
        <v>Overweight</v>
      </c>
      <c r="H1904" t="s">
        <v>903</v>
      </c>
      <c r="I1904" t="s">
        <v>24</v>
      </c>
      <c r="J1904" t="s">
        <v>19</v>
      </c>
      <c r="K1904" t="s">
        <v>18</v>
      </c>
      <c r="L1904" t="s">
        <v>38</v>
      </c>
      <c r="M1904" t="s">
        <v>20</v>
      </c>
      <c r="N1904" t="s">
        <v>21</v>
      </c>
      <c r="O1904" t="s">
        <v>20</v>
      </c>
      <c r="P1904" t="s">
        <v>19</v>
      </c>
      <c r="Q1904" t="s">
        <v>22</v>
      </c>
    </row>
    <row r="1905" spans="1:17" x14ac:dyDescent="0.35">
      <c r="A1905">
        <v>1922</v>
      </c>
      <c r="B1905">
        <v>61</v>
      </c>
      <c r="C1905" t="s">
        <v>27</v>
      </c>
      <c r="D1905">
        <v>174</v>
      </c>
      <c r="E1905">
        <v>89</v>
      </c>
      <c r="F1905" s="3">
        <v>21.6532427744038</v>
      </c>
      <c r="G1905" s="3" t="str">
        <f t="shared" si="29"/>
        <v>Normal Weight</v>
      </c>
      <c r="H1905" t="s">
        <v>1244</v>
      </c>
      <c r="I1905" t="s">
        <v>31</v>
      </c>
      <c r="J1905" t="s">
        <v>19</v>
      </c>
      <c r="K1905" t="s">
        <v>18</v>
      </c>
      <c r="L1905" t="s">
        <v>14</v>
      </c>
      <c r="M1905" t="s">
        <v>19</v>
      </c>
      <c r="N1905" t="s">
        <v>25</v>
      </c>
      <c r="O1905" t="s">
        <v>19</v>
      </c>
      <c r="P1905" t="s">
        <v>20</v>
      </c>
      <c r="Q1905" t="s">
        <v>22</v>
      </c>
    </row>
    <row r="1906" spans="1:17" x14ac:dyDescent="0.35">
      <c r="A1906">
        <v>1923</v>
      </c>
      <c r="B1906">
        <v>76</v>
      </c>
      <c r="C1906" t="s">
        <v>16</v>
      </c>
      <c r="D1906">
        <v>162</v>
      </c>
      <c r="E1906">
        <v>60</v>
      </c>
      <c r="F1906" s="3">
        <v>31.1846089818991</v>
      </c>
      <c r="G1906" s="3" t="str">
        <f t="shared" si="29"/>
        <v>Obese</v>
      </c>
      <c r="H1906" t="s">
        <v>1129</v>
      </c>
      <c r="I1906" t="s">
        <v>31</v>
      </c>
      <c r="J1906" t="s">
        <v>20</v>
      </c>
      <c r="K1906" t="s">
        <v>40</v>
      </c>
      <c r="L1906" t="s">
        <v>38</v>
      </c>
      <c r="M1906" t="s">
        <v>19</v>
      </c>
      <c r="N1906" t="s">
        <v>25</v>
      </c>
      <c r="O1906" t="s">
        <v>20</v>
      </c>
      <c r="P1906" t="s">
        <v>20</v>
      </c>
      <c r="Q1906" t="s">
        <v>40</v>
      </c>
    </row>
    <row r="1907" spans="1:17" x14ac:dyDescent="0.35">
      <c r="A1907">
        <v>1926</v>
      </c>
      <c r="B1907">
        <v>78</v>
      </c>
      <c r="C1907" t="s">
        <v>27</v>
      </c>
      <c r="D1907">
        <v>187</v>
      </c>
      <c r="E1907">
        <v>67</v>
      </c>
      <c r="F1907" s="3">
        <v>21.897140627648799</v>
      </c>
      <c r="G1907" s="3" t="str">
        <f t="shared" si="29"/>
        <v>Normal Weight</v>
      </c>
      <c r="H1907" t="s">
        <v>1245</v>
      </c>
      <c r="I1907" t="s">
        <v>18</v>
      </c>
      <c r="J1907" t="s">
        <v>19</v>
      </c>
      <c r="K1907" t="s">
        <v>40</v>
      </c>
      <c r="L1907" t="s">
        <v>32</v>
      </c>
      <c r="M1907" t="s">
        <v>20</v>
      </c>
      <c r="N1907" t="s">
        <v>25</v>
      </c>
      <c r="O1907" t="s">
        <v>19</v>
      </c>
      <c r="P1907" t="s">
        <v>19</v>
      </c>
      <c r="Q1907" t="s">
        <v>22</v>
      </c>
    </row>
    <row r="1908" spans="1:17" x14ac:dyDescent="0.35">
      <c r="A1908">
        <v>1930</v>
      </c>
      <c r="B1908">
        <v>72</v>
      </c>
      <c r="C1908" t="s">
        <v>27</v>
      </c>
      <c r="D1908">
        <v>177</v>
      </c>
      <c r="E1908">
        <v>94</v>
      </c>
      <c r="F1908" s="3">
        <v>33.873568508438098</v>
      </c>
      <c r="G1908" s="3" t="str">
        <f t="shared" si="29"/>
        <v>Obese</v>
      </c>
      <c r="H1908" t="s">
        <v>1247</v>
      </c>
      <c r="I1908" t="s">
        <v>24</v>
      </c>
      <c r="J1908" t="s">
        <v>20</v>
      </c>
      <c r="K1908" t="s">
        <v>40</v>
      </c>
      <c r="L1908" t="s">
        <v>38</v>
      </c>
      <c r="M1908" t="s">
        <v>20</v>
      </c>
      <c r="N1908" t="s">
        <v>21</v>
      </c>
      <c r="O1908" t="s">
        <v>20</v>
      </c>
      <c r="P1908" t="s">
        <v>19</v>
      </c>
      <c r="Q1908" t="s">
        <v>18</v>
      </c>
    </row>
    <row r="1909" spans="1:17" x14ac:dyDescent="0.35">
      <c r="A1909">
        <v>425</v>
      </c>
      <c r="B1909">
        <v>20</v>
      </c>
      <c r="C1909" t="s">
        <v>27</v>
      </c>
      <c r="D1909">
        <v>152</v>
      </c>
      <c r="E1909">
        <v>74</v>
      </c>
      <c r="F1909" s="3">
        <v>22.202319166696601</v>
      </c>
      <c r="G1909" s="3" t="str">
        <f t="shared" si="29"/>
        <v>Normal Weight</v>
      </c>
      <c r="H1909" t="s">
        <v>406</v>
      </c>
      <c r="I1909" t="s">
        <v>31</v>
      </c>
      <c r="J1909" t="s">
        <v>19</v>
      </c>
      <c r="K1909" t="s">
        <v>22</v>
      </c>
      <c r="L1909" t="s">
        <v>14</v>
      </c>
      <c r="M1909" t="s">
        <v>19</v>
      </c>
      <c r="N1909" t="s">
        <v>25</v>
      </c>
      <c r="O1909" t="s">
        <v>20</v>
      </c>
      <c r="P1909" t="s">
        <v>20</v>
      </c>
      <c r="Q1909" t="s">
        <v>40</v>
      </c>
    </row>
    <row r="1910" spans="1:17" x14ac:dyDescent="0.35">
      <c r="A1910">
        <v>1933</v>
      </c>
      <c r="B1910">
        <v>29</v>
      </c>
      <c r="C1910" t="s">
        <v>16</v>
      </c>
      <c r="D1910">
        <v>165</v>
      </c>
      <c r="E1910">
        <v>91</v>
      </c>
      <c r="F1910" s="3">
        <v>20.965089909487201</v>
      </c>
      <c r="G1910" s="3" t="str">
        <f t="shared" si="29"/>
        <v>Normal Weight</v>
      </c>
      <c r="H1910" t="s">
        <v>1249</v>
      </c>
      <c r="I1910" t="s">
        <v>18</v>
      </c>
      <c r="J1910" t="s">
        <v>19</v>
      </c>
      <c r="K1910" t="s">
        <v>18</v>
      </c>
      <c r="L1910" t="s">
        <v>29</v>
      </c>
      <c r="M1910" t="s">
        <v>19</v>
      </c>
      <c r="N1910" t="s">
        <v>25</v>
      </c>
      <c r="O1910" t="s">
        <v>19</v>
      </c>
      <c r="P1910" t="s">
        <v>20</v>
      </c>
      <c r="Q1910" t="s">
        <v>40</v>
      </c>
    </row>
    <row r="1911" spans="1:17" x14ac:dyDescent="0.35">
      <c r="A1911">
        <v>1934</v>
      </c>
      <c r="B1911">
        <v>79</v>
      </c>
      <c r="C1911" t="s">
        <v>16</v>
      </c>
      <c r="D1911">
        <v>171</v>
      </c>
      <c r="E1911">
        <v>97</v>
      </c>
      <c r="F1911" s="3">
        <v>26.9147538086727</v>
      </c>
      <c r="G1911" s="3" t="str">
        <f t="shared" si="29"/>
        <v>Overweight</v>
      </c>
      <c r="H1911" t="s">
        <v>555</v>
      </c>
      <c r="I1911" t="s">
        <v>31</v>
      </c>
      <c r="J1911" t="s">
        <v>20</v>
      </c>
      <c r="K1911" t="s">
        <v>40</v>
      </c>
      <c r="L1911" t="s">
        <v>29</v>
      </c>
      <c r="M1911" t="s">
        <v>20</v>
      </c>
      <c r="N1911" t="s">
        <v>25</v>
      </c>
      <c r="O1911" t="s">
        <v>20</v>
      </c>
      <c r="P1911" t="s">
        <v>20</v>
      </c>
      <c r="Q1911" t="s">
        <v>22</v>
      </c>
    </row>
    <row r="1912" spans="1:17" x14ac:dyDescent="0.35">
      <c r="A1912">
        <v>1935</v>
      </c>
      <c r="B1912">
        <v>33</v>
      </c>
      <c r="C1912" t="s">
        <v>16</v>
      </c>
      <c r="D1912">
        <v>181</v>
      </c>
      <c r="E1912">
        <v>69</v>
      </c>
      <c r="F1912" s="3">
        <v>26.099612086461999</v>
      </c>
      <c r="G1912" s="3" t="str">
        <f t="shared" si="29"/>
        <v>Overweight</v>
      </c>
      <c r="H1912" t="s">
        <v>1250</v>
      </c>
      <c r="I1912" t="s">
        <v>31</v>
      </c>
      <c r="J1912" t="s">
        <v>19</v>
      </c>
      <c r="K1912" t="s">
        <v>18</v>
      </c>
      <c r="L1912" t="s">
        <v>14</v>
      </c>
      <c r="M1912" t="s">
        <v>20</v>
      </c>
      <c r="N1912" t="s">
        <v>21</v>
      </c>
      <c r="O1912" t="s">
        <v>20</v>
      </c>
      <c r="P1912" t="s">
        <v>20</v>
      </c>
      <c r="Q1912" t="s">
        <v>22</v>
      </c>
    </row>
    <row r="1913" spans="1:17" x14ac:dyDescent="0.35">
      <c r="A1913">
        <v>1936</v>
      </c>
      <c r="B1913">
        <v>41</v>
      </c>
      <c r="C1913" t="s">
        <v>27</v>
      </c>
      <c r="D1913">
        <v>187</v>
      </c>
      <c r="E1913">
        <v>86</v>
      </c>
      <c r="F1913" s="3">
        <v>33.362542680437002</v>
      </c>
      <c r="G1913" s="3" t="str">
        <f t="shared" si="29"/>
        <v>Obese</v>
      </c>
      <c r="H1913" t="s">
        <v>1039</v>
      </c>
      <c r="I1913" t="s">
        <v>24</v>
      </c>
      <c r="J1913" t="s">
        <v>20</v>
      </c>
      <c r="K1913" t="s">
        <v>18</v>
      </c>
      <c r="L1913" t="s">
        <v>14</v>
      </c>
      <c r="M1913" t="s">
        <v>20</v>
      </c>
      <c r="N1913" t="s">
        <v>25</v>
      </c>
      <c r="O1913" t="s">
        <v>20</v>
      </c>
      <c r="P1913" t="s">
        <v>19</v>
      </c>
      <c r="Q1913" t="s">
        <v>40</v>
      </c>
    </row>
    <row r="1914" spans="1:17" x14ac:dyDescent="0.35">
      <c r="A1914">
        <v>877</v>
      </c>
      <c r="B1914">
        <v>20</v>
      </c>
      <c r="C1914" t="s">
        <v>27</v>
      </c>
      <c r="D1914">
        <v>164</v>
      </c>
      <c r="E1914">
        <v>89</v>
      </c>
      <c r="F1914" s="3">
        <v>31.9649364923863</v>
      </c>
      <c r="G1914" s="3" t="str">
        <f t="shared" si="29"/>
        <v>Obese</v>
      </c>
      <c r="H1914" t="s">
        <v>732</v>
      </c>
      <c r="I1914" t="s">
        <v>31</v>
      </c>
      <c r="J1914" t="s">
        <v>19</v>
      </c>
      <c r="K1914" t="s">
        <v>22</v>
      </c>
      <c r="L1914" t="s">
        <v>14</v>
      </c>
      <c r="M1914" t="s">
        <v>19</v>
      </c>
      <c r="N1914" t="s">
        <v>21</v>
      </c>
      <c r="O1914" t="s">
        <v>19</v>
      </c>
      <c r="P1914" t="s">
        <v>19</v>
      </c>
      <c r="Q1914" t="s">
        <v>18</v>
      </c>
    </row>
    <row r="1915" spans="1:17" x14ac:dyDescent="0.35">
      <c r="A1915">
        <v>891</v>
      </c>
      <c r="B1915">
        <v>20</v>
      </c>
      <c r="C1915" t="s">
        <v>16</v>
      </c>
      <c r="D1915">
        <v>189</v>
      </c>
      <c r="E1915">
        <v>86</v>
      </c>
      <c r="F1915" s="3">
        <v>21.9898613631491</v>
      </c>
      <c r="G1915" s="3" t="str">
        <f t="shared" si="29"/>
        <v>Normal Weight</v>
      </c>
      <c r="H1915" t="s">
        <v>594</v>
      </c>
      <c r="I1915" t="s">
        <v>31</v>
      </c>
      <c r="J1915" t="s">
        <v>19</v>
      </c>
      <c r="K1915" t="s">
        <v>22</v>
      </c>
      <c r="L1915" t="s">
        <v>29</v>
      </c>
      <c r="M1915" t="s">
        <v>19</v>
      </c>
      <c r="N1915" t="s">
        <v>25</v>
      </c>
      <c r="O1915" t="s">
        <v>20</v>
      </c>
      <c r="P1915" t="s">
        <v>20</v>
      </c>
      <c r="Q1915" t="s">
        <v>40</v>
      </c>
    </row>
    <row r="1916" spans="1:17" x14ac:dyDescent="0.35">
      <c r="A1916">
        <v>934</v>
      </c>
      <c r="B1916">
        <v>20</v>
      </c>
      <c r="C1916" t="s">
        <v>27</v>
      </c>
      <c r="D1916">
        <v>165</v>
      </c>
      <c r="E1916">
        <v>87</v>
      </c>
      <c r="F1916" s="3">
        <v>25.9436461516643</v>
      </c>
      <c r="G1916" s="3" t="str">
        <f t="shared" si="29"/>
        <v>Overweight</v>
      </c>
      <c r="H1916" t="s">
        <v>322</v>
      </c>
      <c r="I1916" t="s">
        <v>24</v>
      </c>
      <c r="J1916" t="s">
        <v>19</v>
      </c>
      <c r="K1916" t="s">
        <v>22</v>
      </c>
      <c r="L1916" t="s">
        <v>14</v>
      </c>
      <c r="M1916" t="s">
        <v>20</v>
      </c>
      <c r="N1916" t="s">
        <v>25</v>
      </c>
      <c r="O1916" t="s">
        <v>20</v>
      </c>
      <c r="P1916" t="s">
        <v>20</v>
      </c>
      <c r="Q1916" t="s">
        <v>40</v>
      </c>
    </row>
    <row r="1917" spans="1:17" x14ac:dyDescent="0.35">
      <c r="A1917">
        <v>1937</v>
      </c>
      <c r="B1917">
        <v>36</v>
      </c>
      <c r="C1917" t="s">
        <v>27</v>
      </c>
      <c r="D1917">
        <v>157</v>
      </c>
      <c r="E1917">
        <v>94</v>
      </c>
      <c r="F1917" s="3">
        <v>33.8450887335527</v>
      </c>
      <c r="G1917" s="3" t="str">
        <f t="shared" si="29"/>
        <v>Obese</v>
      </c>
      <c r="H1917" t="s">
        <v>1251</v>
      </c>
      <c r="I1917" t="s">
        <v>24</v>
      </c>
      <c r="J1917" t="s">
        <v>20</v>
      </c>
      <c r="K1917" t="s">
        <v>18</v>
      </c>
      <c r="L1917" t="s">
        <v>32</v>
      </c>
      <c r="M1917" t="s">
        <v>19</v>
      </c>
      <c r="N1917" t="s">
        <v>21</v>
      </c>
      <c r="O1917" t="s">
        <v>20</v>
      </c>
      <c r="P1917" t="s">
        <v>19</v>
      </c>
      <c r="Q1917" t="s">
        <v>22</v>
      </c>
    </row>
    <row r="1918" spans="1:17" x14ac:dyDescent="0.35">
      <c r="A1918">
        <v>1939</v>
      </c>
      <c r="B1918">
        <v>48</v>
      </c>
      <c r="C1918" t="s">
        <v>27</v>
      </c>
      <c r="D1918">
        <v>155</v>
      </c>
      <c r="E1918">
        <v>66</v>
      </c>
      <c r="F1918" s="3">
        <v>26.613676059813301</v>
      </c>
      <c r="G1918" s="3" t="str">
        <f t="shared" si="29"/>
        <v>Overweight</v>
      </c>
      <c r="H1918" t="s">
        <v>699</v>
      </c>
      <c r="I1918" t="s">
        <v>24</v>
      </c>
      <c r="J1918" t="s">
        <v>19</v>
      </c>
      <c r="K1918" t="s">
        <v>18</v>
      </c>
      <c r="L1918" t="s">
        <v>38</v>
      </c>
      <c r="M1918" t="s">
        <v>20</v>
      </c>
      <c r="N1918" t="s">
        <v>25</v>
      </c>
      <c r="O1918" t="s">
        <v>19</v>
      </c>
      <c r="P1918" t="s">
        <v>19</v>
      </c>
      <c r="Q1918" t="s">
        <v>18</v>
      </c>
    </row>
    <row r="1919" spans="1:17" x14ac:dyDescent="0.35">
      <c r="A1919">
        <v>1145</v>
      </c>
      <c r="B1919">
        <v>20</v>
      </c>
      <c r="C1919" t="s">
        <v>27</v>
      </c>
      <c r="D1919">
        <v>169</v>
      </c>
      <c r="E1919">
        <v>61</v>
      </c>
      <c r="F1919" s="3">
        <v>24.316732481458502</v>
      </c>
      <c r="G1919" s="3" t="str">
        <f t="shared" si="29"/>
        <v>Normal Weight</v>
      </c>
      <c r="H1919" t="s">
        <v>891</v>
      </c>
      <c r="I1919" t="s">
        <v>18</v>
      </c>
      <c r="J1919" t="s">
        <v>20</v>
      </c>
      <c r="K1919" t="s">
        <v>22</v>
      </c>
      <c r="L1919" t="s">
        <v>29</v>
      </c>
      <c r="M1919" t="s">
        <v>20</v>
      </c>
      <c r="N1919" t="s">
        <v>21</v>
      </c>
      <c r="O1919" t="s">
        <v>20</v>
      </c>
      <c r="P1919" t="s">
        <v>19</v>
      </c>
      <c r="Q1919" t="s">
        <v>40</v>
      </c>
    </row>
    <row r="1920" spans="1:17" x14ac:dyDescent="0.35">
      <c r="A1920">
        <v>1147</v>
      </c>
      <c r="B1920">
        <v>20</v>
      </c>
      <c r="C1920" t="s">
        <v>27</v>
      </c>
      <c r="D1920">
        <v>166</v>
      </c>
      <c r="E1920">
        <v>66</v>
      </c>
      <c r="F1920" s="3">
        <v>23.7672174134721</v>
      </c>
      <c r="G1920" s="3" t="str">
        <f t="shared" si="29"/>
        <v>Normal Weight</v>
      </c>
      <c r="H1920" t="s">
        <v>892</v>
      </c>
      <c r="I1920" t="s">
        <v>24</v>
      </c>
      <c r="J1920" t="s">
        <v>19</v>
      </c>
      <c r="K1920" t="s">
        <v>22</v>
      </c>
      <c r="L1920" t="s">
        <v>29</v>
      </c>
      <c r="M1920" t="s">
        <v>19</v>
      </c>
      <c r="N1920" t="s">
        <v>25</v>
      </c>
      <c r="O1920" t="s">
        <v>19</v>
      </c>
      <c r="P1920" t="s">
        <v>20</v>
      </c>
      <c r="Q1920" t="s">
        <v>22</v>
      </c>
    </row>
    <row r="1921" spans="1:17" x14ac:dyDescent="0.35">
      <c r="A1921">
        <v>1941</v>
      </c>
      <c r="B1921">
        <v>34</v>
      </c>
      <c r="C1921" t="s">
        <v>27</v>
      </c>
      <c r="D1921">
        <v>181</v>
      </c>
      <c r="E1921">
        <v>63</v>
      </c>
      <c r="F1921" s="3">
        <v>31.810678827793499</v>
      </c>
      <c r="G1921" s="3" t="str">
        <f t="shared" si="29"/>
        <v>Obese</v>
      </c>
      <c r="H1921" t="s">
        <v>1217</v>
      </c>
      <c r="I1921" t="s">
        <v>18</v>
      </c>
      <c r="J1921" t="s">
        <v>19</v>
      </c>
      <c r="K1921" t="s">
        <v>18</v>
      </c>
      <c r="L1921" t="s">
        <v>32</v>
      </c>
      <c r="M1921" t="s">
        <v>20</v>
      </c>
      <c r="N1921" t="s">
        <v>21</v>
      </c>
      <c r="O1921" t="s">
        <v>19</v>
      </c>
      <c r="P1921" t="s">
        <v>19</v>
      </c>
      <c r="Q1921" t="s">
        <v>40</v>
      </c>
    </row>
    <row r="1922" spans="1:17" x14ac:dyDescent="0.35">
      <c r="A1922">
        <v>1944</v>
      </c>
      <c r="B1922">
        <v>71</v>
      </c>
      <c r="C1922" t="s">
        <v>27</v>
      </c>
      <c r="D1922">
        <v>152</v>
      </c>
      <c r="E1922">
        <v>80</v>
      </c>
      <c r="F1922" s="3">
        <v>25.459274991946</v>
      </c>
      <c r="G1922" s="3" t="str">
        <f t="shared" si="29"/>
        <v>Overweight</v>
      </c>
      <c r="H1922" t="s">
        <v>1253</v>
      </c>
      <c r="I1922" t="s">
        <v>24</v>
      </c>
      <c r="J1922" t="s">
        <v>19</v>
      </c>
      <c r="K1922" t="s">
        <v>40</v>
      </c>
      <c r="L1922" t="s">
        <v>38</v>
      </c>
      <c r="M1922" t="s">
        <v>20</v>
      </c>
      <c r="N1922" t="s">
        <v>25</v>
      </c>
      <c r="O1922" t="s">
        <v>20</v>
      </c>
      <c r="P1922" t="s">
        <v>19</v>
      </c>
      <c r="Q1922" t="s">
        <v>18</v>
      </c>
    </row>
    <row r="1923" spans="1:17" x14ac:dyDescent="0.35">
      <c r="A1923">
        <v>1945</v>
      </c>
      <c r="B1923">
        <v>33</v>
      </c>
      <c r="C1923" t="s">
        <v>16</v>
      </c>
      <c r="D1923">
        <v>161</v>
      </c>
      <c r="E1923">
        <v>53</v>
      </c>
      <c r="F1923" s="3">
        <v>22.2903186807733</v>
      </c>
      <c r="G1923" s="3" t="str">
        <f t="shared" ref="G1923:G1986" si="30">_xlfn.IFS(F1923&lt;18.5, "Underweight", F1923&lt;=24.9, "Normal Weight", F1923&lt;=29.9, "Overweight", TRUE, "Obese")</f>
        <v>Normal Weight</v>
      </c>
      <c r="H1923" t="s">
        <v>633</v>
      </c>
      <c r="I1923" t="s">
        <v>31</v>
      </c>
      <c r="J1923" t="s">
        <v>20</v>
      </c>
      <c r="K1923" t="s">
        <v>18</v>
      </c>
      <c r="L1923" t="s">
        <v>38</v>
      </c>
      <c r="M1923" t="s">
        <v>19</v>
      </c>
      <c r="N1923" t="s">
        <v>21</v>
      </c>
      <c r="O1923" t="s">
        <v>20</v>
      </c>
      <c r="P1923" t="s">
        <v>20</v>
      </c>
      <c r="Q1923" t="s">
        <v>18</v>
      </c>
    </row>
    <row r="1924" spans="1:17" x14ac:dyDescent="0.35">
      <c r="A1924">
        <v>1352</v>
      </c>
      <c r="B1924">
        <v>20</v>
      </c>
      <c r="C1924" t="s">
        <v>16</v>
      </c>
      <c r="D1924">
        <v>167</v>
      </c>
      <c r="E1924">
        <v>83</v>
      </c>
      <c r="F1924" s="3">
        <v>24.5611185020751</v>
      </c>
      <c r="G1924" s="3" t="str">
        <f t="shared" si="30"/>
        <v>Normal Weight</v>
      </c>
      <c r="H1924" t="s">
        <v>1005</v>
      </c>
      <c r="I1924" t="s">
        <v>31</v>
      </c>
      <c r="J1924" t="s">
        <v>20</v>
      </c>
      <c r="K1924" t="s">
        <v>22</v>
      </c>
      <c r="L1924" t="s">
        <v>29</v>
      </c>
      <c r="M1924" t="s">
        <v>20</v>
      </c>
      <c r="N1924" t="s">
        <v>25</v>
      </c>
      <c r="O1924" t="s">
        <v>19</v>
      </c>
      <c r="P1924" t="s">
        <v>19</v>
      </c>
      <c r="Q1924" t="s">
        <v>18</v>
      </c>
    </row>
    <row r="1925" spans="1:17" x14ac:dyDescent="0.35">
      <c r="A1925">
        <v>1450</v>
      </c>
      <c r="B1925">
        <v>20</v>
      </c>
      <c r="C1925" t="s">
        <v>27</v>
      </c>
      <c r="D1925">
        <v>172</v>
      </c>
      <c r="E1925">
        <v>60</v>
      </c>
      <c r="F1925" s="3">
        <v>33.161888127212997</v>
      </c>
      <c r="G1925" s="3" t="str">
        <f t="shared" si="30"/>
        <v>Obese</v>
      </c>
      <c r="H1925" t="s">
        <v>1049</v>
      </c>
      <c r="I1925" t="s">
        <v>31</v>
      </c>
      <c r="J1925" t="s">
        <v>20</v>
      </c>
      <c r="K1925" t="s">
        <v>22</v>
      </c>
      <c r="L1925" t="s">
        <v>32</v>
      </c>
      <c r="M1925" t="s">
        <v>20</v>
      </c>
      <c r="N1925" t="s">
        <v>25</v>
      </c>
      <c r="O1925" t="s">
        <v>20</v>
      </c>
      <c r="P1925" t="s">
        <v>20</v>
      </c>
      <c r="Q1925" t="s">
        <v>18</v>
      </c>
    </row>
    <row r="1926" spans="1:17" x14ac:dyDescent="0.35">
      <c r="A1926">
        <v>1678</v>
      </c>
      <c r="B1926">
        <v>20</v>
      </c>
      <c r="C1926" t="s">
        <v>27</v>
      </c>
      <c r="D1926">
        <v>180</v>
      </c>
      <c r="E1926">
        <v>91</v>
      </c>
      <c r="F1926" s="3">
        <v>27.1570930603127</v>
      </c>
      <c r="G1926" s="3" t="str">
        <f t="shared" si="30"/>
        <v>Overweight</v>
      </c>
      <c r="H1926" t="s">
        <v>440</v>
      </c>
      <c r="I1926" t="s">
        <v>18</v>
      </c>
      <c r="J1926" t="s">
        <v>19</v>
      </c>
      <c r="K1926" t="s">
        <v>22</v>
      </c>
      <c r="L1926" t="s">
        <v>14</v>
      </c>
      <c r="M1926" t="s">
        <v>19</v>
      </c>
      <c r="N1926" t="s">
        <v>21</v>
      </c>
      <c r="O1926" t="s">
        <v>20</v>
      </c>
      <c r="P1926" t="s">
        <v>19</v>
      </c>
      <c r="Q1926" t="s">
        <v>40</v>
      </c>
    </row>
    <row r="1927" spans="1:17" x14ac:dyDescent="0.35">
      <c r="A1927">
        <v>1698</v>
      </c>
      <c r="B1927">
        <v>20</v>
      </c>
      <c r="C1927" t="s">
        <v>27</v>
      </c>
      <c r="D1927">
        <v>163</v>
      </c>
      <c r="E1927">
        <v>67</v>
      </c>
      <c r="F1927" s="3">
        <v>21.442469955065501</v>
      </c>
      <c r="G1927" s="3" t="str">
        <f t="shared" si="30"/>
        <v>Normal Weight</v>
      </c>
      <c r="H1927" t="s">
        <v>889</v>
      </c>
      <c r="I1927" t="s">
        <v>18</v>
      </c>
      <c r="J1927" t="s">
        <v>20</v>
      </c>
      <c r="K1927" t="s">
        <v>22</v>
      </c>
      <c r="L1927" t="s">
        <v>38</v>
      </c>
      <c r="M1927" t="s">
        <v>20</v>
      </c>
      <c r="N1927" t="s">
        <v>25</v>
      </c>
      <c r="O1927" t="s">
        <v>20</v>
      </c>
      <c r="P1927" t="s">
        <v>20</v>
      </c>
      <c r="Q1927" t="s">
        <v>40</v>
      </c>
    </row>
    <row r="1928" spans="1:17" x14ac:dyDescent="0.35">
      <c r="A1928">
        <v>1708</v>
      </c>
      <c r="B1928">
        <v>20</v>
      </c>
      <c r="C1928" t="s">
        <v>16</v>
      </c>
      <c r="D1928">
        <v>170</v>
      </c>
      <c r="E1928">
        <v>99</v>
      </c>
      <c r="F1928" s="3">
        <v>30.816460126142299</v>
      </c>
      <c r="G1928" s="3" t="str">
        <f t="shared" si="30"/>
        <v>Obese</v>
      </c>
      <c r="H1928" t="s">
        <v>773</v>
      </c>
      <c r="I1928" t="s">
        <v>24</v>
      </c>
      <c r="J1928" t="s">
        <v>20</v>
      </c>
      <c r="K1928" t="s">
        <v>22</v>
      </c>
      <c r="L1928" t="s">
        <v>38</v>
      </c>
      <c r="M1928" t="s">
        <v>20</v>
      </c>
      <c r="N1928" t="s">
        <v>21</v>
      </c>
      <c r="O1928" t="s">
        <v>19</v>
      </c>
      <c r="P1928" t="s">
        <v>20</v>
      </c>
      <c r="Q1928" t="s">
        <v>40</v>
      </c>
    </row>
    <row r="1929" spans="1:17" x14ac:dyDescent="0.35">
      <c r="A1929">
        <v>1756</v>
      </c>
      <c r="B1929">
        <v>20</v>
      </c>
      <c r="C1929" t="s">
        <v>16</v>
      </c>
      <c r="D1929">
        <v>171</v>
      </c>
      <c r="E1929">
        <v>68</v>
      </c>
      <c r="F1929" s="3">
        <v>22.329296534791698</v>
      </c>
      <c r="G1929" s="3" t="str">
        <f t="shared" si="30"/>
        <v>Normal Weight</v>
      </c>
      <c r="H1929" t="s">
        <v>1119</v>
      </c>
      <c r="I1929" t="s">
        <v>24</v>
      </c>
      <c r="J1929" t="s">
        <v>19</v>
      </c>
      <c r="K1929" t="s">
        <v>22</v>
      </c>
      <c r="L1929" t="s">
        <v>14</v>
      </c>
      <c r="M1929" t="s">
        <v>20</v>
      </c>
      <c r="N1929" t="s">
        <v>21</v>
      </c>
      <c r="O1929" t="s">
        <v>20</v>
      </c>
      <c r="P1929" t="s">
        <v>20</v>
      </c>
      <c r="Q1929" t="s">
        <v>18</v>
      </c>
    </row>
    <row r="1930" spans="1:17" x14ac:dyDescent="0.35">
      <c r="A1930">
        <v>1910</v>
      </c>
      <c r="B1930">
        <v>20</v>
      </c>
      <c r="C1930" t="s">
        <v>16</v>
      </c>
      <c r="D1930">
        <v>162</v>
      </c>
      <c r="E1930">
        <v>73</v>
      </c>
      <c r="F1930" s="3">
        <v>23.505510656533801</v>
      </c>
      <c r="G1930" s="3" t="str">
        <f t="shared" si="30"/>
        <v>Normal Weight</v>
      </c>
      <c r="H1930" t="s">
        <v>529</v>
      </c>
      <c r="I1930" t="s">
        <v>31</v>
      </c>
      <c r="J1930" t="s">
        <v>20</v>
      </c>
      <c r="K1930" t="s">
        <v>22</v>
      </c>
      <c r="L1930" t="s">
        <v>14</v>
      </c>
      <c r="M1930" t="s">
        <v>20</v>
      </c>
      <c r="N1930" t="s">
        <v>21</v>
      </c>
      <c r="O1930" t="s">
        <v>20</v>
      </c>
      <c r="P1930" t="s">
        <v>19</v>
      </c>
      <c r="Q1930" t="s">
        <v>22</v>
      </c>
    </row>
    <row r="1931" spans="1:17" x14ac:dyDescent="0.35">
      <c r="A1931">
        <v>23</v>
      </c>
      <c r="B1931">
        <v>19</v>
      </c>
      <c r="C1931" t="s">
        <v>27</v>
      </c>
      <c r="D1931">
        <v>171</v>
      </c>
      <c r="E1931">
        <v>92</v>
      </c>
      <c r="F1931" s="3">
        <v>18.515566351915901</v>
      </c>
      <c r="G1931" s="3" t="str">
        <f t="shared" si="30"/>
        <v>Normal Weight</v>
      </c>
      <c r="H1931" t="s">
        <v>52</v>
      </c>
      <c r="I1931" t="s">
        <v>18</v>
      </c>
      <c r="J1931" t="s">
        <v>19</v>
      </c>
      <c r="K1931" t="s">
        <v>22</v>
      </c>
      <c r="L1931" t="s">
        <v>14</v>
      </c>
      <c r="M1931" t="s">
        <v>20</v>
      </c>
      <c r="N1931" t="s">
        <v>21</v>
      </c>
      <c r="O1931" t="s">
        <v>20</v>
      </c>
      <c r="P1931" t="s">
        <v>19</v>
      </c>
      <c r="Q1931" t="s">
        <v>22</v>
      </c>
    </row>
    <row r="1932" spans="1:17" x14ac:dyDescent="0.35">
      <c r="A1932">
        <v>1946</v>
      </c>
      <c r="B1932">
        <v>23</v>
      </c>
      <c r="C1932" t="s">
        <v>16</v>
      </c>
      <c r="D1932">
        <v>180</v>
      </c>
      <c r="E1932">
        <v>67</v>
      </c>
      <c r="F1932" s="3">
        <v>21.7929316622829</v>
      </c>
      <c r="G1932" s="3" t="str">
        <f t="shared" si="30"/>
        <v>Normal Weight</v>
      </c>
      <c r="H1932" t="s">
        <v>364</v>
      </c>
      <c r="I1932" t="s">
        <v>31</v>
      </c>
      <c r="J1932" t="s">
        <v>19</v>
      </c>
      <c r="K1932" t="s">
        <v>18</v>
      </c>
      <c r="L1932" t="s">
        <v>32</v>
      </c>
      <c r="M1932" t="s">
        <v>20</v>
      </c>
      <c r="N1932" t="s">
        <v>21</v>
      </c>
      <c r="O1932" t="s">
        <v>20</v>
      </c>
      <c r="P1932" t="s">
        <v>19</v>
      </c>
      <c r="Q1932" t="s">
        <v>18</v>
      </c>
    </row>
    <row r="1933" spans="1:17" x14ac:dyDescent="0.35">
      <c r="A1933">
        <v>72</v>
      </c>
      <c r="B1933">
        <v>19</v>
      </c>
      <c r="C1933" t="s">
        <v>27</v>
      </c>
      <c r="D1933">
        <v>185</v>
      </c>
      <c r="E1933">
        <v>81</v>
      </c>
      <c r="F1933" s="3">
        <v>19.3716403250179</v>
      </c>
      <c r="G1933" s="3" t="str">
        <f t="shared" si="30"/>
        <v>Normal Weight</v>
      </c>
      <c r="H1933" t="s">
        <v>101</v>
      </c>
      <c r="I1933" t="s">
        <v>18</v>
      </c>
      <c r="J1933" t="s">
        <v>19</v>
      </c>
      <c r="K1933" t="s">
        <v>22</v>
      </c>
      <c r="L1933" t="s">
        <v>38</v>
      </c>
      <c r="M1933" t="s">
        <v>19</v>
      </c>
      <c r="N1933" t="s">
        <v>25</v>
      </c>
      <c r="O1933" t="s">
        <v>19</v>
      </c>
      <c r="P1933" t="s">
        <v>20</v>
      </c>
      <c r="Q1933" t="s">
        <v>18</v>
      </c>
    </row>
    <row r="1934" spans="1:17" x14ac:dyDescent="0.35">
      <c r="A1934">
        <v>1947</v>
      </c>
      <c r="B1934">
        <v>25</v>
      </c>
      <c r="C1934" t="s">
        <v>27</v>
      </c>
      <c r="D1934">
        <v>178</v>
      </c>
      <c r="E1934">
        <v>69</v>
      </c>
      <c r="F1934" s="3">
        <v>19.123444358828699</v>
      </c>
      <c r="G1934" s="3" t="str">
        <f t="shared" si="30"/>
        <v>Normal Weight</v>
      </c>
      <c r="H1934" t="s">
        <v>300</v>
      </c>
      <c r="I1934" t="s">
        <v>24</v>
      </c>
      <c r="J1934" t="s">
        <v>19</v>
      </c>
      <c r="K1934" t="s">
        <v>18</v>
      </c>
      <c r="L1934" t="s">
        <v>38</v>
      </c>
      <c r="M1934" t="s">
        <v>19</v>
      </c>
      <c r="N1934" t="s">
        <v>21</v>
      </c>
      <c r="O1934" t="s">
        <v>20</v>
      </c>
      <c r="P1934" t="s">
        <v>20</v>
      </c>
      <c r="Q1934" t="s">
        <v>18</v>
      </c>
    </row>
    <row r="1935" spans="1:17" x14ac:dyDescent="0.35">
      <c r="A1935">
        <v>217</v>
      </c>
      <c r="B1935">
        <v>19</v>
      </c>
      <c r="C1935" t="s">
        <v>27</v>
      </c>
      <c r="D1935">
        <v>172</v>
      </c>
      <c r="E1935">
        <v>61</v>
      </c>
      <c r="F1935" s="3">
        <v>18.8466510902749</v>
      </c>
      <c r="G1935" s="3" t="str">
        <f t="shared" si="30"/>
        <v>Normal Weight</v>
      </c>
      <c r="H1935" t="s">
        <v>233</v>
      </c>
      <c r="I1935" t="s">
        <v>18</v>
      </c>
      <c r="J1935" t="s">
        <v>20</v>
      </c>
      <c r="K1935" t="s">
        <v>22</v>
      </c>
      <c r="L1935" t="s">
        <v>38</v>
      </c>
      <c r="M1935" t="s">
        <v>20</v>
      </c>
      <c r="N1935" t="s">
        <v>21</v>
      </c>
      <c r="O1935" t="s">
        <v>20</v>
      </c>
      <c r="P1935" t="s">
        <v>19</v>
      </c>
      <c r="Q1935" t="s">
        <v>22</v>
      </c>
    </row>
    <row r="1936" spans="1:17" x14ac:dyDescent="0.35">
      <c r="A1936">
        <v>1948</v>
      </c>
      <c r="B1936">
        <v>42</v>
      </c>
      <c r="C1936" t="s">
        <v>27</v>
      </c>
      <c r="D1936">
        <v>154</v>
      </c>
      <c r="E1936">
        <v>96</v>
      </c>
      <c r="F1936" s="3">
        <v>29.115600463650999</v>
      </c>
      <c r="G1936" s="3" t="str">
        <f t="shared" si="30"/>
        <v>Overweight</v>
      </c>
      <c r="H1936" t="s">
        <v>1254</v>
      </c>
      <c r="I1936" t="s">
        <v>24</v>
      </c>
      <c r="J1936" t="s">
        <v>19</v>
      </c>
      <c r="K1936" t="s">
        <v>18</v>
      </c>
      <c r="L1936" t="s">
        <v>29</v>
      </c>
      <c r="M1936" t="s">
        <v>19</v>
      </c>
      <c r="N1936" t="s">
        <v>21</v>
      </c>
      <c r="O1936" t="s">
        <v>19</v>
      </c>
      <c r="P1936" t="s">
        <v>19</v>
      </c>
      <c r="Q1936" t="s">
        <v>40</v>
      </c>
    </row>
    <row r="1937" spans="1:17" x14ac:dyDescent="0.35">
      <c r="A1937">
        <v>1949</v>
      </c>
      <c r="B1937">
        <v>35</v>
      </c>
      <c r="C1937" t="s">
        <v>16</v>
      </c>
      <c r="D1937">
        <v>174</v>
      </c>
      <c r="E1937">
        <v>92</v>
      </c>
      <c r="F1937" s="3">
        <v>22.831419792972198</v>
      </c>
      <c r="G1937" s="3" t="str">
        <f t="shared" si="30"/>
        <v>Normal Weight</v>
      </c>
      <c r="H1937" t="s">
        <v>821</v>
      </c>
      <c r="I1937" t="s">
        <v>18</v>
      </c>
      <c r="J1937" t="s">
        <v>19</v>
      </c>
      <c r="K1937" t="s">
        <v>18</v>
      </c>
      <c r="L1937" t="s">
        <v>14</v>
      </c>
      <c r="M1937" t="s">
        <v>19</v>
      </c>
      <c r="N1937" t="s">
        <v>25</v>
      </c>
      <c r="O1937" t="s">
        <v>20</v>
      </c>
      <c r="P1937" t="s">
        <v>20</v>
      </c>
      <c r="Q1937" t="s">
        <v>18</v>
      </c>
    </row>
    <row r="1938" spans="1:17" x14ac:dyDescent="0.35">
      <c r="A1938">
        <v>286</v>
      </c>
      <c r="B1938">
        <v>19</v>
      </c>
      <c r="C1938" t="s">
        <v>27</v>
      </c>
      <c r="D1938">
        <v>153</v>
      </c>
      <c r="E1938">
        <v>93</v>
      </c>
      <c r="F1938" s="3">
        <v>25.442153282382101</v>
      </c>
      <c r="G1938" s="3" t="str">
        <f t="shared" si="30"/>
        <v>Overweight</v>
      </c>
      <c r="H1938" t="s">
        <v>295</v>
      </c>
      <c r="I1938" t="s">
        <v>24</v>
      </c>
      <c r="J1938" t="s">
        <v>20</v>
      </c>
      <c r="K1938" t="s">
        <v>22</v>
      </c>
      <c r="L1938" t="s">
        <v>29</v>
      </c>
      <c r="M1938" t="s">
        <v>20</v>
      </c>
      <c r="N1938" t="s">
        <v>21</v>
      </c>
      <c r="O1938" t="s">
        <v>19</v>
      </c>
      <c r="P1938" t="s">
        <v>20</v>
      </c>
      <c r="Q1938" t="s">
        <v>18</v>
      </c>
    </row>
    <row r="1939" spans="1:17" x14ac:dyDescent="0.35">
      <c r="A1939">
        <v>296</v>
      </c>
      <c r="B1939">
        <v>19</v>
      </c>
      <c r="C1939" t="s">
        <v>27</v>
      </c>
      <c r="D1939">
        <v>173</v>
      </c>
      <c r="E1939">
        <v>93</v>
      </c>
      <c r="F1939" s="3">
        <v>34.4506513103046</v>
      </c>
      <c r="G1939" s="3" t="str">
        <f t="shared" si="30"/>
        <v>Obese</v>
      </c>
      <c r="H1939" t="s">
        <v>304</v>
      </c>
      <c r="I1939" t="s">
        <v>31</v>
      </c>
      <c r="J1939" t="s">
        <v>20</v>
      </c>
      <c r="K1939" t="s">
        <v>22</v>
      </c>
      <c r="L1939" t="s">
        <v>14</v>
      </c>
      <c r="M1939" t="s">
        <v>20</v>
      </c>
      <c r="N1939" t="s">
        <v>25</v>
      </c>
      <c r="O1939" t="s">
        <v>20</v>
      </c>
      <c r="P1939" t="s">
        <v>20</v>
      </c>
      <c r="Q1939" t="s">
        <v>18</v>
      </c>
    </row>
    <row r="1940" spans="1:17" x14ac:dyDescent="0.35">
      <c r="A1940">
        <v>366</v>
      </c>
      <c r="B1940">
        <v>19</v>
      </c>
      <c r="C1940" t="s">
        <v>27</v>
      </c>
      <c r="D1940">
        <v>182</v>
      </c>
      <c r="E1940">
        <v>91</v>
      </c>
      <c r="F1940" s="3">
        <v>23.103636790738602</v>
      </c>
      <c r="G1940" s="3" t="str">
        <f t="shared" si="30"/>
        <v>Normal Weight</v>
      </c>
      <c r="H1940" t="s">
        <v>367</v>
      </c>
      <c r="I1940" t="s">
        <v>31</v>
      </c>
      <c r="J1940" t="s">
        <v>20</v>
      </c>
      <c r="K1940" t="s">
        <v>22</v>
      </c>
      <c r="L1940" t="s">
        <v>29</v>
      </c>
      <c r="M1940" t="s">
        <v>19</v>
      </c>
      <c r="N1940" t="s">
        <v>21</v>
      </c>
      <c r="O1940" t="s">
        <v>19</v>
      </c>
      <c r="P1940" t="s">
        <v>19</v>
      </c>
      <c r="Q1940" t="s">
        <v>40</v>
      </c>
    </row>
    <row r="1941" spans="1:17" x14ac:dyDescent="0.35">
      <c r="A1941">
        <v>1955</v>
      </c>
      <c r="B1941">
        <v>58</v>
      </c>
      <c r="C1941" t="s">
        <v>27</v>
      </c>
      <c r="D1941">
        <v>153</v>
      </c>
      <c r="E1941">
        <v>64</v>
      </c>
      <c r="F1941" s="3">
        <v>25.365166061743299</v>
      </c>
      <c r="G1941" s="3" t="str">
        <f t="shared" si="30"/>
        <v>Overweight</v>
      </c>
      <c r="H1941" t="s">
        <v>197</v>
      </c>
      <c r="I1941" t="s">
        <v>18</v>
      </c>
      <c r="J1941" t="s">
        <v>20</v>
      </c>
      <c r="K1941" t="s">
        <v>18</v>
      </c>
      <c r="L1941" t="s">
        <v>29</v>
      </c>
      <c r="M1941" t="s">
        <v>20</v>
      </c>
      <c r="N1941" t="s">
        <v>21</v>
      </c>
      <c r="O1941" t="s">
        <v>19</v>
      </c>
      <c r="P1941" t="s">
        <v>20</v>
      </c>
      <c r="Q1941" t="s">
        <v>22</v>
      </c>
    </row>
    <row r="1942" spans="1:17" x14ac:dyDescent="0.35">
      <c r="A1942">
        <v>503</v>
      </c>
      <c r="B1942">
        <v>19</v>
      </c>
      <c r="C1942" t="s">
        <v>16</v>
      </c>
      <c r="D1942">
        <v>188</v>
      </c>
      <c r="E1942">
        <v>86</v>
      </c>
      <c r="F1942" s="3">
        <v>34.6115327356842</v>
      </c>
      <c r="G1942" s="3" t="str">
        <f t="shared" si="30"/>
        <v>Obese</v>
      </c>
      <c r="H1942" t="s">
        <v>466</v>
      </c>
      <c r="I1942" t="s">
        <v>24</v>
      </c>
      <c r="J1942" t="s">
        <v>20</v>
      </c>
      <c r="K1942" t="s">
        <v>22</v>
      </c>
      <c r="L1942" t="s">
        <v>32</v>
      </c>
      <c r="M1942" t="s">
        <v>20</v>
      </c>
      <c r="N1942" t="s">
        <v>21</v>
      </c>
      <c r="O1942" t="s">
        <v>20</v>
      </c>
      <c r="P1942" t="s">
        <v>20</v>
      </c>
      <c r="Q1942" t="s">
        <v>22</v>
      </c>
    </row>
    <row r="1943" spans="1:17" x14ac:dyDescent="0.35">
      <c r="A1943">
        <v>1956</v>
      </c>
      <c r="B1943">
        <v>62</v>
      </c>
      <c r="C1943" t="s">
        <v>27</v>
      </c>
      <c r="D1943">
        <v>162</v>
      </c>
      <c r="E1943">
        <v>77</v>
      </c>
      <c r="F1943" s="3">
        <v>34.634585942779303</v>
      </c>
      <c r="G1943" s="3" t="str">
        <f t="shared" si="30"/>
        <v>Obese</v>
      </c>
      <c r="H1943" t="s">
        <v>1258</v>
      </c>
      <c r="I1943" t="s">
        <v>18</v>
      </c>
      <c r="J1943" t="s">
        <v>19</v>
      </c>
      <c r="K1943" t="s">
        <v>18</v>
      </c>
      <c r="L1943" t="s">
        <v>32</v>
      </c>
      <c r="M1943" t="s">
        <v>19</v>
      </c>
      <c r="N1943" t="s">
        <v>21</v>
      </c>
      <c r="O1943" t="s">
        <v>19</v>
      </c>
      <c r="P1943" t="s">
        <v>19</v>
      </c>
      <c r="Q1943" t="s">
        <v>18</v>
      </c>
    </row>
    <row r="1944" spans="1:17" x14ac:dyDescent="0.35">
      <c r="A1944">
        <v>1959</v>
      </c>
      <c r="B1944">
        <v>49</v>
      </c>
      <c r="C1944" t="s">
        <v>16</v>
      </c>
      <c r="D1944">
        <v>166</v>
      </c>
      <c r="E1944">
        <v>75</v>
      </c>
      <c r="F1944" s="3">
        <v>23.315808421100499</v>
      </c>
      <c r="G1944" s="3" t="str">
        <f t="shared" si="30"/>
        <v>Normal Weight</v>
      </c>
      <c r="H1944" t="s">
        <v>1260</v>
      </c>
      <c r="I1944" t="s">
        <v>24</v>
      </c>
      <c r="J1944" t="s">
        <v>19</v>
      </c>
      <c r="K1944" t="s">
        <v>18</v>
      </c>
      <c r="L1944" t="s">
        <v>32</v>
      </c>
      <c r="M1944" t="s">
        <v>20</v>
      </c>
      <c r="N1944" t="s">
        <v>21</v>
      </c>
      <c r="O1944" t="s">
        <v>20</v>
      </c>
      <c r="P1944" t="s">
        <v>20</v>
      </c>
      <c r="Q1944" t="s">
        <v>22</v>
      </c>
    </row>
    <row r="1945" spans="1:17" x14ac:dyDescent="0.35">
      <c r="A1945">
        <v>1960</v>
      </c>
      <c r="B1945">
        <v>27</v>
      </c>
      <c r="C1945" t="s">
        <v>27</v>
      </c>
      <c r="D1945">
        <v>185</v>
      </c>
      <c r="E1945">
        <v>75</v>
      </c>
      <c r="F1945" s="3">
        <v>21.350495751637901</v>
      </c>
      <c r="G1945" s="3" t="str">
        <f t="shared" si="30"/>
        <v>Normal Weight</v>
      </c>
      <c r="H1945" t="s">
        <v>450</v>
      </c>
      <c r="I1945" t="s">
        <v>24</v>
      </c>
      <c r="J1945" t="s">
        <v>19</v>
      </c>
      <c r="K1945" t="s">
        <v>18</v>
      </c>
      <c r="L1945" t="s">
        <v>32</v>
      </c>
      <c r="M1945" t="s">
        <v>19</v>
      </c>
      <c r="N1945" t="s">
        <v>25</v>
      </c>
      <c r="O1945" t="s">
        <v>19</v>
      </c>
      <c r="P1945" t="s">
        <v>20</v>
      </c>
      <c r="Q1945" t="s">
        <v>40</v>
      </c>
    </row>
    <row r="1946" spans="1:17" x14ac:dyDescent="0.35">
      <c r="A1946">
        <v>712</v>
      </c>
      <c r="B1946">
        <v>19</v>
      </c>
      <c r="C1946" t="s">
        <v>16</v>
      </c>
      <c r="D1946">
        <v>177</v>
      </c>
      <c r="E1946">
        <v>65</v>
      </c>
      <c r="F1946" s="3">
        <v>32.268561172125501</v>
      </c>
      <c r="G1946" s="3" t="str">
        <f t="shared" si="30"/>
        <v>Obese</v>
      </c>
      <c r="H1946" t="s">
        <v>56</v>
      </c>
      <c r="I1946" t="s">
        <v>18</v>
      </c>
      <c r="J1946" t="s">
        <v>19</v>
      </c>
      <c r="K1946" t="s">
        <v>22</v>
      </c>
      <c r="L1946" t="s">
        <v>29</v>
      </c>
      <c r="M1946" t="s">
        <v>19</v>
      </c>
      <c r="N1946" t="s">
        <v>25</v>
      </c>
      <c r="O1946" t="s">
        <v>20</v>
      </c>
      <c r="P1946" t="s">
        <v>20</v>
      </c>
      <c r="Q1946" t="s">
        <v>40</v>
      </c>
    </row>
    <row r="1947" spans="1:17" x14ac:dyDescent="0.35">
      <c r="A1947">
        <v>845</v>
      </c>
      <c r="B1947">
        <v>19</v>
      </c>
      <c r="C1947" t="s">
        <v>27</v>
      </c>
      <c r="D1947">
        <v>162</v>
      </c>
      <c r="E1947">
        <v>97</v>
      </c>
      <c r="F1947" s="3">
        <v>23.4404815592512</v>
      </c>
      <c r="G1947" s="3" t="str">
        <f t="shared" si="30"/>
        <v>Normal Weight</v>
      </c>
      <c r="H1947" t="s">
        <v>718</v>
      </c>
      <c r="I1947" t="s">
        <v>31</v>
      </c>
      <c r="J1947" t="s">
        <v>20</v>
      </c>
      <c r="K1947" t="s">
        <v>22</v>
      </c>
      <c r="L1947" t="s">
        <v>29</v>
      </c>
      <c r="M1947" t="s">
        <v>19</v>
      </c>
      <c r="N1947" t="s">
        <v>21</v>
      </c>
      <c r="O1947" t="s">
        <v>19</v>
      </c>
      <c r="P1947" t="s">
        <v>19</v>
      </c>
      <c r="Q1947" t="s">
        <v>22</v>
      </c>
    </row>
    <row r="1948" spans="1:17" x14ac:dyDescent="0.35">
      <c r="A1948">
        <v>984</v>
      </c>
      <c r="B1948">
        <v>19</v>
      </c>
      <c r="C1948" t="s">
        <v>27</v>
      </c>
      <c r="D1948">
        <v>171</v>
      </c>
      <c r="E1948">
        <v>96</v>
      </c>
      <c r="F1948" s="3">
        <v>23.141195298625</v>
      </c>
      <c r="G1948" s="3" t="str">
        <f t="shared" si="30"/>
        <v>Normal Weight</v>
      </c>
      <c r="H1948" t="s">
        <v>792</v>
      </c>
      <c r="I1948" t="s">
        <v>18</v>
      </c>
      <c r="J1948" t="s">
        <v>19</v>
      </c>
      <c r="K1948" t="s">
        <v>22</v>
      </c>
      <c r="L1948" t="s">
        <v>32</v>
      </c>
      <c r="M1948" t="s">
        <v>19</v>
      </c>
      <c r="N1948" t="s">
        <v>21</v>
      </c>
      <c r="O1948" t="s">
        <v>20</v>
      </c>
      <c r="P1948" t="s">
        <v>20</v>
      </c>
      <c r="Q1948" t="s">
        <v>18</v>
      </c>
    </row>
    <row r="1949" spans="1:17" x14ac:dyDescent="0.35">
      <c r="A1949">
        <v>1961</v>
      </c>
      <c r="B1949">
        <v>33</v>
      </c>
      <c r="C1949" t="s">
        <v>27</v>
      </c>
      <c r="D1949">
        <v>182</v>
      </c>
      <c r="E1949">
        <v>74</v>
      </c>
      <c r="F1949" s="3">
        <v>24.759532370369001</v>
      </c>
      <c r="G1949" s="3" t="str">
        <f t="shared" si="30"/>
        <v>Normal Weight</v>
      </c>
      <c r="H1949" t="s">
        <v>1261</v>
      </c>
      <c r="I1949" t="s">
        <v>18</v>
      </c>
      <c r="J1949" t="s">
        <v>19</v>
      </c>
      <c r="K1949" t="s">
        <v>18</v>
      </c>
      <c r="L1949" t="s">
        <v>14</v>
      </c>
      <c r="M1949" t="s">
        <v>19</v>
      </c>
      <c r="N1949" t="s">
        <v>21</v>
      </c>
      <c r="O1949" t="s">
        <v>19</v>
      </c>
      <c r="P1949" t="s">
        <v>20</v>
      </c>
      <c r="Q1949" t="s">
        <v>40</v>
      </c>
    </row>
    <row r="1950" spans="1:17" x14ac:dyDescent="0.35">
      <c r="A1950">
        <v>1122</v>
      </c>
      <c r="B1950">
        <v>19</v>
      </c>
      <c r="C1950" t="s">
        <v>27</v>
      </c>
      <c r="D1950">
        <v>186</v>
      </c>
      <c r="E1950">
        <v>58</v>
      </c>
      <c r="F1950" s="3">
        <v>27.477792295001201</v>
      </c>
      <c r="G1950" s="3" t="str">
        <f t="shared" si="30"/>
        <v>Overweight</v>
      </c>
      <c r="H1950" t="s">
        <v>276</v>
      </c>
      <c r="I1950" t="s">
        <v>24</v>
      </c>
      <c r="J1950" t="s">
        <v>20</v>
      </c>
      <c r="K1950" t="s">
        <v>22</v>
      </c>
      <c r="L1950" t="s">
        <v>32</v>
      </c>
      <c r="M1950" t="s">
        <v>19</v>
      </c>
      <c r="N1950" t="s">
        <v>25</v>
      </c>
      <c r="O1950" t="s">
        <v>19</v>
      </c>
      <c r="P1950" t="s">
        <v>20</v>
      </c>
      <c r="Q1950" t="s">
        <v>22</v>
      </c>
    </row>
    <row r="1951" spans="1:17" x14ac:dyDescent="0.35">
      <c r="A1951">
        <v>1208</v>
      </c>
      <c r="B1951">
        <v>19</v>
      </c>
      <c r="C1951" t="s">
        <v>16</v>
      </c>
      <c r="D1951">
        <v>161</v>
      </c>
      <c r="E1951">
        <v>60</v>
      </c>
      <c r="F1951" s="3">
        <v>24.6430671264552</v>
      </c>
      <c r="G1951" s="3" t="str">
        <f t="shared" si="30"/>
        <v>Normal Weight</v>
      </c>
      <c r="H1951" t="s">
        <v>927</v>
      </c>
      <c r="I1951" t="s">
        <v>24</v>
      </c>
      <c r="J1951" t="s">
        <v>20</v>
      </c>
      <c r="K1951" t="s">
        <v>22</v>
      </c>
      <c r="L1951" t="s">
        <v>14</v>
      </c>
      <c r="M1951" t="s">
        <v>19</v>
      </c>
      <c r="N1951" t="s">
        <v>25</v>
      </c>
      <c r="O1951" t="s">
        <v>20</v>
      </c>
      <c r="P1951" t="s">
        <v>20</v>
      </c>
      <c r="Q1951" t="s">
        <v>22</v>
      </c>
    </row>
    <row r="1952" spans="1:17" x14ac:dyDescent="0.35">
      <c r="A1952">
        <v>1307</v>
      </c>
      <c r="B1952">
        <v>19</v>
      </c>
      <c r="C1952" t="s">
        <v>16</v>
      </c>
      <c r="D1952">
        <v>177</v>
      </c>
      <c r="E1952">
        <v>90</v>
      </c>
      <c r="F1952" s="3">
        <v>21.084111445728698</v>
      </c>
      <c r="G1952" s="3" t="str">
        <f t="shared" si="30"/>
        <v>Normal Weight</v>
      </c>
      <c r="H1952" t="s">
        <v>775</v>
      </c>
      <c r="I1952" t="s">
        <v>18</v>
      </c>
      <c r="J1952" t="s">
        <v>19</v>
      </c>
      <c r="K1952" t="s">
        <v>22</v>
      </c>
      <c r="L1952" t="s">
        <v>32</v>
      </c>
      <c r="M1952" t="s">
        <v>19</v>
      </c>
      <c r="N1952" t="s">
        <v>25</v>
      </c>
      <c r="O1952" t="s">
        <v>20</v>
      </c>
      <c r="P1952" t="s">
        <v>20</v>
      </c>
      <c r="Q1952" t="s">
        <v>18</v>
      </c>
    </row>
    <row r="1953" spans="1:17" x14ac:dyDescent="0.35">
      <c r="A1953">
        <v>1322</v>
      </c>
      <c r="B1953">
        <v>19</v>
      </c>
      <c r="C1953" t="s">
        <v>27</v>
      </c>
      <c r="D1953">
        <v>166</v>
      </c>
      <c r="E1953">
        <v>84</v>
      </c>
      <c r="F1953" s="3">
        <v>24.5153460540777</v>
      </c>
      <c r="G1953" s="3" t="str">
        <f t="shared" si="30"/>
        <v>Normal Weight</v>
      </c>
      <c r="H1953" t="s">
        <v>211</v>
      </c>
      <c r="I1953" t="s">
        <v>31</v>
      </c>
      <c r="J1953" t="s">
        <v>20</v>
      </c>
      <c r="K1953" t="s">
        <v>22</v>
      </c>
      <c r="L1953" t="s">
        <v>38</v>
      </c>
      <c r="M1953" t="s">
        <v>20</v>
      </c>
      <c r="N1953" t="s">
        <v>21</v>
      </c>
      <c r="O1953" t="s">
        <v>20</v>
      </c>
      <c r="P1953" t="s">
        <v>19</v>
      </c>
      <c r="Q1953" t="s">
        <v>22</v>
      </c>
    </row>
    <row r="1954" spans="1:17" x14ac:dyDescent="0.35">
      <c r="A1954">
        <v>1362</v>
      </c>
      <c r="B1954">
        <v>19</v>
      </c>
      <c r="C1954" t="s">
        <v>16</v>
      </c>
      <c r="D1954">
        <v>187</v>
      </c>
      <c r="E1954">
        <v>55</v>
      </c>
      <c r="F1954" s="3">
        <v>28.023580157684599</v>
      </c>
      <c r="G1954" s="3" t="str">
        <f t="shared" si="30"/>
        <v>Overweight</v>
      </c>
      <c r="H1954" t="s">
        <v>349</v>
      </c>
      <c r="I1954" t="s">
        <v>18</v>
      </c>
      <c r="J1954" t="s">
        <v>19</v>
      </c>
      <c r="K1954" t="s">
        <v>22</v>
      </c>
      <c r="L1954" t="s">
        <v>32</v>
      </c>
      <c r="M1954" t="s">
        <v>19</v>
      </c>
      <c r="N1954" t="s">
        <v>25</v>
      </c>
      <c r="O1954" t="s">
        <v>20</v>
      </c>
      <c r="P1954" t="s">
        <v>19</v>
      </c>
      <c r="Q1954" t="s">
        <v>40</v>
      </c>
    </row>
    <row r="1955" spans="1:17" x14ac:dyDescent="0.35">
      <c r="A1955">
        <v>1962</v>
      </c>
      <c r="B1955">
        <v>24</v>
      </c>
      <c r="C1955" t="s">
        <v>16</v>
      </c>
      <c r="D1955">
        <v>150</v>
      </c>
      <c r="E1955">
        <v>75</v>
      </c>
      <c r="F1955" s="3">
        <v>33.528764745330903</v>
      </c>
      <c r="G1955" s="3" t="str">
        <f t="shared" si="30"/>
        <v>Obese</v>
      </c>
      <c r="H1955" t="s">
        <v>1262</v>
      </c>
      <c r="I1955" t="s">
        <v>31</v>
      </c>
      <c r="J1955" t="s">
        <v>19</v>
      </c>
      <c r="K1955" t="s">
        <v>18</v>
      </c>
      <c r="L1955" t="s">
        <v>14</v>
      </c>
      <c r="M1955" t="s">
        <v>20</v>
      </c>
      <c r="N1955" t="s">
        <v>25</v>
      </c>
      <c r="O1955" t="s">
        <v>20</v>
      </c>
      <c r="P1955" t="s">
        <v>19</v>
      </c>
      <c r="Q1955" t="s">
        <v>18</v>
      </c>
    </row>
    <row r="1956" spans="1:17" x14ac:dyDescent="0.35">
      <c r="A1956">
        <v>1965</v>
      </c>
      <c r="B1956">
        <v>43</v>
      </c>
      <c r="C1956" t="s">
        <v>27</v>
      </c>
      <c r="D1956">
        <v>166</v>
      </c>
      <c r="E1956">
        <v>77</v>
      </c>
      <c r="F1956" s="3">
        <v>33.917778110424997</v>
      </c>
      <c r="G1956" s="3" t="str">
        <f t="shared" si="30"/>
        <v>Obese</v>
      </c>
      <c r="H1956" t="s">
        <v>71</v>
      </c>
      <c r="I1956" t="s">
        <v>18</v>
      </c>
      <c r="J1956" t="s">
        <v>19</v>
      </c>
      <c r="K1956" t="s">
        <v>18</v>
      </c>
      <c r="L1956" t="s">
        <v>29</v>
      </c>
      <c r="M1956" t="s">
        <v>19</v>
      </c>
      <c r="N1956" t="s">
        <v>21</v>
      </c>
      <c r="O1956" t="s">
        <v>20</v>
      </c>
      <c r="P1956" t="s">
        <v>20</v>
      </c>
      <c r="Q1956" t="s">
        <v>18</v>
      </c>
    </row>
    <row r="1957" spans="1:17" x14ac:dyDescent="0.35">
      <c r="A1957">
        <v>1966</v>
      </c>
      <c r="B1957">
        <v>38</v>
      </c>
      <c r="C1957" t="s">
        <v>16</v>
      </c>
      <c r="D1957">
        <v>173</v>
      </c>
      <c r="E1957">
        <v>98</v>
      </c>
      <c r="F1957" s="3">
        <v>19.299659835850999</v>
      </c>
      <c r="G1957" s="3" t="str">
        <f t="shared" si="30"/>
        <v>Normal Weight</v>
      </c>
      <c r="H1957" t="s">
        <v>1190</v>
      </c>
      <c r="I1957" t="s">
        <v>24</v>
      </c>
      <c r="J1957" t="s">
        <v>19</v>
      </c>
      <c r="K1957" t="s">
        <v>18</v>
      </c>
      <c r="L1957" t="s">
        <v>14</v>
      </c>
      <c r="M1957" t="s">
        <v>19</v>
      </c>
      <c r="N1957" t="s">
        <v>21</v>
      </c>
      <c r="O1957" t="s">
        <v>19</v>
      </c>
      <c r="P1957" t="s">
        <v>20</v>
      </c>
      <c r="Q1957" t="s">
        <v>40</v>
      </c>
    </row>
    <row r="1958" spans="1:17" x14ac:dyDescent="0.35">
      <c r="A1958">
        <v>1502</v>
      </c>
      <c r="B1958">
        <v>19</v>
      </c>
      <c r="C1958" t="s">
        <v>16</v>
      </c>
      <c r="D1958">
        <v>162</v>
      </c>
      <c r="E1958">
        <v>73</v>
      </c>
      <c r="F1958" s="3">
        <v>25.194287998985601</v>
      </c>
      <c r="G1958" s="3" t="str">
        <f t="shared" si="30"/>
        <v>Overweight</v>
      </c>
      <c r="H1958" t="s">
        <v>397</v>
      </c>
      <c r="I1958" t="s">
        <v>31</v>
      </c>
      <c r="J1958" t="s">
        <v>20</v>
      </c>
      <c r="K1958" t="s">
        <v>22</v>
      </c>
      <c r="L1958" t="s">
        <v>38</v>
      </c>
      <c r="M1958" t="s">
        <v>20</v>
      </c>
      <c r="N1958" t="s">
        <v>21</v>
      </c>
      <c r="O1958" t="s">
        <v>20</v>
      </c>
      <c r="P1958" t="s">
        <v>20</v>
      </c>
      <c r="Q1958" t="s">
        <v>40</v>
      </c>
    </row>
    <row r="1959" spans="1:17" x14ac:dyDescent="0.35">
      <c r="A1959">
        <v>1970</v>
      </c>
      <c r="B1959">
        <v>31</v>
      </c>
      <c r="C1959" t="s">
        <v>27</v>
      </c>
      <c r="D1959">
        <v>157</v>
      </c>
      <c r="E1959">
        <v>51</v>
      </c>
      <c r="F1959" s="3">
        <v>19.152698858283099</v>
      </c>
      <c r="G1959" s="3" t="str">
        <f t="shared" si="30"/>
        <v>Normal Weight</v>
      </c>
      <c r="H1959" t="s">
        <v>1265</v>
      </c>
      <c r="I1959" t="s">
        <v>24</v>
      </c>
      <c r="J1959" t="s">
        <v>19</v>
      </c>
      <c r="K1959" t="s">
        <v>18</v>
      </c>
      <c r="L1959" t="s">
        <v>38</v>
      </c>
      <c r="M1959" t="s">
        <v>19</v>
      </c>
      <c r="N1959" t="s">
        <v>21</v>
      </c>
      <c r="O1959" t="s">
        <v>20</v>
      </c>
      <c r="P1959" t="s">
        <v>20</v>
      </c>
      <c r="Q1959" t="s">
        <v>22</v>
      </c>
    </row>
    <row r="1960" spans="1:17" x14ac:dyDescent="0.35">
      <c r="A1960">
        <v>1664</v>
      </c>
      <c r="B1960">
        <v>19</v>
      </c>
      <c r="C1960" t="s">
        <v>16</v>
      </c>
      <c r="D1960">
        <v>178</v>
      </c>
      <c r="E1960">
        <v>67</v>
      </c>
      <c r="F1960" s="3">
        <v>30.4702247794276</v>
      </c>
      <c r="G1960" s="3" t="str">
        <f t="shared" si="30"/>
        <v>Obese</v>
      </c>
      <c r="H1960" t="s">
        <v>1135</v>
      </c>
      <c r="I1960" t="s">
        <v>18</v>
      </c>
      <c r="J1960" t="s">
        <v>20</v>
      </c>
      <c r="K1960" t="s">
        <v>22</v>
      </c>
      <c r="L1960" t="s">
        <v>29</v>
      </c>
      <c r="M1960" t="s">
        <v>20</v>
      </c>
      <c r="N1960" t="s">
        <v>21</v>
      </c>
      <c r="O1960" t="s">
        <v>19</v>
      </c>
      <c r="P1960" t="s">
        <v>19</v>
      </c>
      <c r="Q1960" t="s">
        <v>22</v>
      </c>
    </row>
    <row r="1961" spans="1:17" x14ac:dyDescent="0.35">
      <c r="A1961">
        <v>1748</v>
      </c>
      <c r="B1961">
        <v>19</v>
      </c>
      <c r="C1961" t="s">
        <v>16</v>
      </c>
      <c r="D1961">
        <v>168</v>
      </c>
      <c r="E1961">
        <v>87</v>
      </c>
      <c r="F1961" s="3">
        <v>23.4956655256875</v>
      </c>
      <c r="G1961" s="3" t="str">
        <f t="shared" si="30"/>
        <v>Normal Weight</v>
      </c>
      <c r="H1961" t="s">
        <v>1179</v>
      </c>
      <c r="I1961" t="s">
        <v>24</v>
      </c>
      <c r="J1961" t="s">
        <v>19</v>
      </c>
      <c r="K1961" t="s">
        <v>22</v>
      </c>
      <c r="L1961" t="s">
        <v>14</v>
      </c>
      <c r="M1961" t="s">
        <v>20</v>
      </c>
      <c r="N1961" t="s">
        <v>25</v>
      </c>
      <c r="O1961" t="s">
        <v>19</v>
      </c>
      <c r="P1961" t="s">
        <v>20</v>
      </c>
      <c r="Q1961" t="s">
        <v>22</v>
      </c>
    </row>
    <row r="1962" spans="1:17" x14ac:dyDescent="0.35">
      <c r="A1962">
        <v>1755</v>
      </c>
      <c r="B1962">
        <v>19</v>
      </c>
      <c r="C1962" t="s">
        <v>16</v>
      </c>
      <c r="D1962">
        <v>161</v>
      </c>
      <c r="E1962">
        <v>52</v>
      </c>
      <c r="F1962" s="3">
        <v>20.126023048313499</v>
      </c>
      <c r="G1962" s="3" t="str">
        <f t="shared" si="30"/>
        <v>Normal Weight</v>
      </c>
      <c r="H1962" t="s">
        <v>96</v>
      </c>
      <c r="I1962" t="s">
        <v>18</v>
      </c>
      <c r="J1962" t="s">
        <v>19</v>
      </c>
      <c r="K1962" t="s">
        <v>22</v>
      </c>
      <c r="L1962" t="s">
        <v>29</v>
      </c>
      <c r="M1962" t="s">
        <v>20</v>
      </c>
      <c r="N1962" t="s">
        <v>25</v>
      </c>
      <c r="O1962" t="s">
        <v>19</v>
      </c>
      <c r="P1962" t="s">
        <v>20</v>
      </c>
      <c r="Q1962" t="s">
        <v>22</v>
      </c>
    </row>
    <row r="1963" spans="1:17" x14ac:dyDescent="0.35">
      <c r="A1963">
        <v>1972</v>
      </c>
      <c r="B1963">
        <v>70</v>
      </c>
      <c r="C1963" t="s">
        <v>27</v>
      </c>
      <c r="D1963">
        <v>175</v>
      </c>
      <c r="E1963">
        <v>91</v>
      </c>
      <c r="F1963" s="3">
        <v>29.211040419709398</v>
      </c>
      <c r="G1963" s="3" t="str">
        <f t="shared" si="30"/>
        <v>Overweight</v>
      </c>
      <c r="H1963" t="s">
        <v>1267</v>
      </c>
      <c r="I1963" t="s">
        <v>18</v>
      </c>
      <c r="J1963" t="s">
        <v>19</v>
      </c>
      <c r="K1963" t="s">
        <v>40</v>
      </c>
      <c r="L1963" t="s">
        <v>14</v>
      </c>
      <c r="M1963" t="s">
        <v>19</v>
      </c>
      <c r="N1963" t="s">
        <v>25</v>
      </c>
      <c r="O1963" t="s">
        <v>19</v>
      </c>
      <c r="P1963" t="s">
        <v>20</v>
      </c>
      <c r="Q1963" t="s">
        <v>22</v>
      </c>
    </row>
    <row r="1964" spans="1:17" x14ac:dyDescent="0.35">
      <c r="A1964">
        <v>1973</v>
      </c>
      <c r="B1964">
        <v>24</v>
      </c>
      <c r="C1964" t="s">
        <v>27</v>
      </c>
      <c r="D1964">
        <v>162</v>
      </c>
      <c r="E1964">
        <v>68</v>
      </c>
      <c r="F1964" s="3">
        <v>30.018164015656101</v>
      </c>
      <c r="G1964" s="3" t="str">
        <f t="shared" si="30"/>
        <v>Obese</v>
      </c>
      <c r="H1964" t="s">
        <v>1116</v>
      </c>
      <c r="I1964" t="s">
        <v>24</v>
      </c>
      <c r="J1964" t="s">
        <v>19</v>
      </c>
      <c r="K1964" t="s">
        <v>18</v>
      </c>
      <c r="L1964" t="s">
        <v>14</v>
      </c>
      <c r="M1964" t="s">
        <v>19</v>
      </c>
      <c r="N1964" t="s">
        <v>25</v>
      </c>
      <c r="O1964" t="s">
        <v>19</v>
      </c>
      <c r="P1964" t="s">
        <v>19</v>
      </c>
      <c r="Q1964" t="s">
        <v>22</v>
      </c>
    </row>
    <row r="1965" spans="1:17" x14ac:dyDescent="0.35">
      <c r="A1965">
        <v>1895</v>
      </c>
      <c r="B1965">
        <v>19</v>
      </c>
      <c r="C1965" t="s">
        <v>16</v>
      </c>
      <c r="D1965">
        <v>162</v>
      </c>
      <c r="E1965">
        <v>82</v>
      </c>
      <c r="F1965" s="3">
        <v>22.241517187108499</v>
      </c>
      <c r="G1965" s="3" t="str">
        <f t="shared" si="30"/>
        <v>Normal Weight</v>
      </c>
      <c r="H1965" t="s">
        <v>1116</v>
      </c>
      <c r="I1965" t="s">
        <v>18</v>
      </c>
      <c r="J1965" t="s">
        <v>19</v>
      </c>
      <c r="K1965" t="s">
        <v>22</v>
      </c>
      <c r="L1965" t="s">
        <v>14</v>
      </c>
      <c r="M1965" t="s">
        <v>20</v>
      </c>
      <c r="N1965" t="s">
        <v>21</v>
      </c>
      <c r="O1965" t="s">
        <v>19</v>
      </c>
      <c r="P1965" t="s">
        <v>20</v>
      </c>
      <c r="Q1965" t="s">
        <v>22</v>
      </c>
    </row>
    <row r="1966" spans="1:17" x14ac:dyDescent="0.35">
      <c r="A1966">
        <v>132</v>
      </c>
      <c r="B1966">
        <v>18</v>
      </c>
      <c r="C1966" t="s">
        <v>16</v>
      </c>
      <c r="D1966">
        <v>155</v>
      </c>
      <c r="E1966">
        <v>80</v>
      </c>
      <c r="F1966" s="3">
        <v>19.522117556553301</v>
      </c>
      <c r="G1966" s="3" t="str">
        <f t="shared" si="30"/>
        <v>Normal Weight</v>
      </c>
      <c r="H1966" t="s">
        <v>156</v>
      </c>
      <c r="I1966" t="s">
        <v>18</v>
      </c>
      <c r="J1966" t="s">
        <v>19</v>
      </c>
      <c r="K1966" t="s">
        <v>22</v>
      </c>
      <c r="L1966" t="s">
        <v>29</v>
      </c>
      <c r="M1966" t="s">
        <v>19</v>
      </c>
      <c r="N1966" t="s">
        <v>21</v>
      </c>
      <c r="O1966" t="s">
        <v>19</v>
      </c>
      <c r="P1966" t="s">
        <v>19</v>
      </c>
      <c r="Q1966" t="s">
        <v>18</v>
      </c>
    </row>
    <row r="1967" spans="1:17" x14ac:dyDescent="0.35">
      <c r="A1967">
        <v>1974</v>
      </c>
      <c r="B1967">
        <v>26</v>
      </c>
      <c r="C1967" t="s">
        <v>16</v>
      </c>
      <c r="D1967">
        <v>188</v>
      </c>
      <c r="E1967">
        <v>66</v>
      </c>
      <c r="F1967" s="3">
        <v>29.029308391518398</v>
      </c>
      <c r="G1967" s="3" t="str">
        <f t="shared" si="30"/>
        <v>Overweight</v>
      </c>
      <c r="H1967" t="s">
        <v>1268</v>
      </c>
      <c r="I1967" t="s">
        <v>24</v>
      </c>
      <c r="J1967" t="s">
        <v>20</v>
      </c>
      <c r="K1967" t="s">
        <v>18</v>
      </c>
      <c r="L1967" t="s">
        <v>38</v>
      </c>
      <c r="M1967" t="s">
        <v>20</v>
      </c>
      <c r="N1967" t="s">
        <v>25</v>
      </c>
      <c r="O1967" t="s">
        <v>20</v>
      </c>
      <c r="P1967" t="s">
        <v>20</v>
      </c>
      <c r="Q1967" t="s">
        <v>22</v>
      </c>
    </row>
    <row r="1968" spans="1:17" x14ac:dyDescent="0.35">
      <c r="A1968">
        <v>173</v>
      </c>
      <c r="B1968">
        <v>18</v>
      </c>
      <c r="C1968" t="s">
        <v>16</v>
      </c>
      <c r="D1968">
        <v>155</v>
      </c>
      <c r="E1968">
        <v>77</v>
      </c>
      <c r="F1968" s="3">
        <v>24.164045569563299</v>
      </c>
      <c r="G1968" s="3" t="str">
        <f t="shared" si="30"/>
        <v>Normal Weight</v>
      </c>
      <c r="H1968" t="s">
        <v>194</v>
      </c>
      <c r="I1968" t="s">
        <v>24</v>
      </c>
      <c r="J1968" t="s">
        <v>19</v>
      </c>
      <c r="K1968" t="s">
        <v>22</v>
      </c>
      <c r="L1968" t="s">
        <v>14</v>
      </c>
      <c r="M1968" t="s">
        <v>19</v>
      </c>
      <c r="N1968" t="s">
        <v>25</v>
      </c>
      <c r="O1968" t="s">
        <v>19</v>
      </c>
      <c r="P1968" t="s">
        <v>19</v>
      </c>
      <c r="Q1968" t="s">
        <v>22</v>
      </c>
    </row>
    <row r="1969" spans="1:17" x14ac:dyDescent="0.35">
      <c r="A1969">
        <v>179</v>
      </c>
      <c r="B1969">
        <v>18</v>
      </c>
      <c r="C1969" t="s">
        <v>16</v>
      </c>
      <c r="D1969">
        <v>152</v>
      </c>
      <c r="E1969">
        <v>89</v>
      </c>
      <c r="F1969" s="3">
        <v>34.400805613336303</v>
      </c>
      <c r="G1969" s="3" t="str">
        <f t="shared" si="30"/>
        <v>Obese</v>
      </c>
      <c r="H1969" t="s">
        <v>199</v>
      </c>
      <c r="I1969" t="s">
        <v>24</v>
      </c>
      <c r="J1969" t="s">
        <v>20</v>
      </c>
      <c r="K1969" t="s">
        <v>22</v>
      </c>
      <c r="L1969" t="s">
        <v>32</v>
      </c>
      <c r="M1969" t="s">
        <v>19</v>
      </c>
      <c r="N1969" t="s">
        <v>21</v>
      </c>
      <c r="O1969" t="s">
        <v>19</v>
      </c>
      <c r="P1969" t="s">
        <v>19</v>
      </c>
      <c r="Q1969" t="s">
        <v>18</v>
      </c>
    </row>
    <row r="1970" spans="1:17" x14ac:dyDescent="0.35">
      <c r="A1970">
        <v>1977</v>
      </c>
      <c r="B1970">
        <v>25</v>
      </c>
      <c r="C1970" t="s">
        <v>16</v>
      </c>
      <c r="D1970">
        <v>174</v>
      </c>
      <c r="E1970">
        <v>61</v>
      </c>
      <c r="F1970" s="3">
        <v>25.547355365919</v>
      </c>
      <c r="G1970" s="3" t="str">
        <f t="shared" si="30"/>
        <v>Overweight</v>
      </c>
      <c r="H1970" t="s">
        <v>1269</v>
      </c>
      <c r="I1970" t="s">
        <v>18</v>
      </c>
      <c r="J1970" t="s">
        <v>20</v>
      </c>
      <c r="K1970" t="s">
        <v>18</v>
      </c>
      <c r="L1970" t="s">
        <v>29</v>
      </c>
      <c r="M1970" t="s">
        <v>19</v>
      </c>
      <c r="N1970" t="s">
        <v>25</v>
      </c>
      <c r="O1970" t="s">
        <v>19</v>
      </c>
      <c r="P1970" t="s">
        <v>20</v>
      </c>
      <c r="Q1970" t="s">
        <v>22</v>
      </c>
    </row>
    <row r="1971" spans="1:17" x14ac:dyDescent="0.35">
      <c r="A1971">
        <v>1979</v>
      </c>
      <c r="B1971">
        <v>76</v>
      </c>
      <c r="C1971" t="s">
        <v>27</v>
      </c>
      <c r="D1971">
        <v>151</v>
      </c>
      <c r="E1971">
        <v>52</v>
      </c>
      <c r="F1971" s="3">
        <v>34.135790365590999</v>
      </c>
      <c r="G1971" s="3" t="str">
        <f t="shared" si="30"/>
        <v>Obese</v>
      </c>
      <c r="H1971" t="s">
        <v>383</v>
      </c>
      <c r="I1971" t="s">
        <v>31</v>
      </c>
      <c r="J1971" t="s">
        <v>19</v>
      </c>
      <c r="K1971" t="s">
        <v>40</v>
      </c>
      <c r="L1971" t="s">
        <v>32</v>
      </c>
      <c r="M1971" t="s">
        <v>19</v>
      </c>
      <c r="N1971" t="s">
        <v>21</v>
      </c>
      <c r="O1971" t="s">
        <v>20</v>
      </c>
      <c r="P1971" t="s">
        <v>20</v>
      </c>
      <c r="Q1971" t="s">
        <v>18</v>
      </c>
    </row>
    <row r="1972" spans="1:17" x14ac:dyDescent="0.35">
      <c r="A1972">
        <v>1981</v>
      </c>
      <c r="B1972">
        <v>46</v>
      </c>
      <c r="C1972" t="s">
        <v>27</v>
      </c>
      <c r="D1972">
        <v>166</v>
      </c>
      <c r="E1972">
        <v>98</v>
      </c>
      <c r="F1972" s="3">
        <v>23.734776376888298</v>
      </c>
      <c r="G1972" s="3" t="str">
        <f t="shared" si="30"/>
        <v>Normal Weight</v>
      </c>
      <c r="H1972" t="s">
        <v>152</v>
      </c>
      <c r="I1972" t="s">
        <v>18</v>
      </c>
      <c r="J1972" t="s">
        <v>20</v>
      </c>
      <c r="K1972" t="s">
        <v>18</v>
      </c>
      <c r="L1972" t="s">
        <v>14</v>
      </c>
      <c r="M1972" t="s">
        <v>19</v>
      </c>
      <c r="N1972" t="s">
        <v>21</v>
      </c>
      <c r="O1972" t="s">
        <v>20</v>
      </c>
      <c r="P1972" t="s">
        <v>20</v>
      </c>
      <c r="Q1972" t="s">
        <v>18</v>
      </c>
    </row>
    <row r="1973" spans="1:17" x14ac:dyDescent="0.35">
      <c r="A1973">
        <v>367</v>
      </c>
      <c r="B1973">
        <v>18</v>
      </c>
      <c r="C1973" t="s">
        <v>27</v>
      </c>
      <c r="D1973">
        <v>185</v>
      </c>
      <c r="E1973">
        <v>67</v>
      </c>
      <c r="F1973" s="3">
        <v>25.181981691707101</v>
      </c>
      <c r="G1973" s="3" t="str">
        <f t="shared" si="30"/>
        <v>Overweight</v>
      </c>
      <c r="H1973" t="s">
        <v>368</v>
      </c>
      <c r="I1973" t="s">
        <v>24</v>
      </c>
      <c r="J1973" t="s">
        <v>20</v>
      </c>
      <c r="K1973" t="s">
        <v>22</v>
      </c>
      <c r="L1973" t="s">
        <v>32</v>
      </c>
      <c r="M1973" t="s">
        <v>20</v>
      </c>
      <c r="N1973" t="s">
        <v>21</v>
      </c>
      <c r="O1973" t="s">
        <v>20</v>
      </c>
      <c r="P1973" t="s">
        <v>20</v>
      </c>
      <c r="Q1973" t="s">
        <v>40</v>
      </c>
    </row>
    <row r="1974" spans="1:17" x14ac:dyDescent="0.35">
      <c r="A1974">
        <v>1982</v>
      </c>
      <c r="B1974">
        <v>35</v>
      </c>
      <c r="C1974" t="s">
        <v>27</v>
      </c>
      <c r="D1974">
        <v>179</v>
      </c>
      <c r="E1974">
        <v>75</v>
      </c>
      <c r="F1974" s="3">
        <v>31.144017173461801</v>
      </c>
      <c r="G1974" s="3" t="str">
        <f t="shared" si="30"/>
        <v>Obese</v>
      </c>
      <c r="H1974" t="s">
        <v>474</v>
      </c>
      <c r="I1974" t="s">
        <v>18</v>
      </c>
      <c r="J1974" t="s">
        <v>20</v>
      </c>
      <c r="K1974" t="s">
        <v>18</v>
      </c>
      <c r="L1974" t="s">
        <v>14</v>
      </c>
      <c r="M1974" t="s">
        <v>19</v>
      </c>
      <c r="N1974" t="s">
        <v>25</v>
      </c>
      <c r="O1974" t="s">
        <v>20</v>
      </c>
      <c r="P1974" t="s">
        <v>19</v>
      </c>
      <c r="Q1974" t="s">
        <v>22</v>
      </c>
    </row>
    <row r="1975" spans="1:17" x14ac:dyDescent="0.35">
      <c r="A1975">
        <v>1985</v>
      </c>
      <c r="B1975">
        <v>69</v>
      </c>
      <c r="C1975" t="s">
        <v>16</v>
      </c>
      <c r="D1975">
        <v>181</v>
      </c>
      <c r="E1975">
        <v>85</v>
      </c>
      <c r="F1975" s="3">
        <v>31.8974677494482</v>
      </c>
      <c r="G1975" s="3" t="str">
        <f t="shared" si="30"/>
        <v>Obese</v>
      </c>
      <c r="H1975" t="s">
        <v>1271</v>
      </c>
      <c r="I1975" t="s">
        <v>31</v>
      </c>
      <c r="J1975" t="s">
        <v>19</v>
      </c>
      <c r="K1975" t="s">
        <v>18</v>
      </c>
      <c r="L1975" t="s">
        <v>29</v>
      </c>
      <c r="M1975" t="s">
        <v>20</v>
      </c>
      <c r="N1975" t="s">
        <v>25</v>
      </c>
      <c r="O1975" t="s">
        <v>19</v>
      </c>
      <c r="P1975" t="s">
        <v>20</v>
      </c>
      <c r="Q1975" t="s">
        <v>18</v>
      </c>
    </row>
    <row r="1976" spans="1:17" x14ac:dyDescent="0.35">
      <c r="A1976">
        <v>609</v>
      </c>
      <c r="B1976">
        <v>18</v>
      </c>
      <c r="C1976" t="s">
        <v>27</v>
      </c>
      <c r="D1976">
        <v>162</v>
      </c>
      <c r="E1976">
        <v>50</v>
      </c>
      <c r="F1976" s="3">
        <v>33.856092216779501</v>
      </c>
      <c r="G1976" s="3" t="str">
        <f t="shared" si="30"/>
        <v>Obese</v>
      </c>
      <c r="H1976" t="s">
        <v>554</v>
      </c>
      <c r="I1976" t="s">
        <v>24</v>
      </c>
      <c r="J1976" t="s">
        <v>19</v>
      </c>
      <c r="K1976" t="s">
        <v>22</v>
      </c>
      <c r="L1976" t="s">
        <v>14</v>
      </c>
      <c r="M1976" t="s">
        <v>19</v>
      </c>
      <c r="N1976" t="s">
        <v>25</v>
      </c>
      <c r="O1976" t="s">
        <v>19</v>
      </c>
      <c r="P1976" t="s">
        <v>19</v>
      </c>
      <c r="Q1976" t="s">
        <v>22</v>
      </c>
    </row>
    <row r="1977" spans="1:17" x14ac:dyDescent="0.35">
      <c r="A1977">
        <v>1987</v>
      </c>
      <c r="B1977">
        <v>52</v>
      </c>
      <c r="C1977" t="s">
        <v>16</v>
      </c>
      <c r="D1977">
        <v>179</v>
      </c>
      <c r="E1977">
        <v>95</v>
      </c>
      <c r="F1977" s="3">
        <v>29.6046347437631</v>
      </c>
      <c r="G1977" s="3" t="str">
        <f t="shared" si="30"/>
        <v>Overweight</v>
      </c>
      <c r="H1977" t="s">
        <v>882</v>
      </c>
      <c r="I1977" t="s">
        <v>24</v>
      </c>
      <c r="J1977" t="s">
        <v>19</v>
      </c>
      <c r="K1977" t="s">
        <v>18</v>
      </c>
      <c r="L1977" t="s">
        <v>38</v>
      </c>
      <c r="M1977" t="s">
        <v>19</v>
      </c>
      <c r="N1977" t="s">
        <v>25</v>
      </c>
      <c r="O1977" t="s">
        <v>19</v>
      </c>
      <c r="P1977" t="s">
        <v>20</v>
      </c>
      <c r="Q1977" t="s">
        <v>22</v>
      </c>
    </row>
    <row r="1978" spans="1:17" x14ac:dyDescent="0.35">
      <c r="A1978">
        <v>1988</v>
      </c>
      <c r="B1978">
        <v>35</v>
      </c>
      <c r="C1978" t="s">
        <v>27</v>
      </c>
      <c r="D1978">
        <v>167</v>
      </c>
      <c r="E1978">
        <v>95</v>
      </c>
      <c r="F1978" s="3">
        <v>19.2749129697265</v>
      </c>
      <c r="G1978" s="3" t="str">
        <f t="shared" si="30"/>
        <v>Normal Weight</v>
      </c>
      <c r="H1978" t="s">
        <v>1272</v>
      </c>
      <c r="I1978" t="s">
        <v>31</v>
      </c>
      <c r="J1978" t="s">
        <v>20</v>
      </c>
      <c r="K1978" t="s">
        <v>18</v>
      </c>
      <c r="L1978" t="s">
        <v>32</v>
      </c>
      <c r="M1978" t="s">
        <v>20</v>
      </c>
      <c r="N1978" t="s">
        <v>25</v>
      </c>
      <c r="O1978" t="s">
        <v>19</v>
      </c>
      <c r="P1978" t="s">
        <v>19</v>
      </c>
      <c r="Q1978" t="s">
        <v>22</v>
      </c>
    </row>
    <row r="1979" spans="1:17" x14ac:dyDescent="0.35">
      <c r="A1979">
        <v>701</v>
      </c>
      <c r="B1979">
        <v>18</v>
      </c>
      <c r="C1979" t="s">
        <v>16</v>
      </c>
      <c r="D1979">
        <v>167</v>
      </c>
      <c r="E1979">
        <v>73</v>
      </c>
      <c r="F1979" s="3">
        <v>29.6572298148828</v>
      </c>
      <c r="G1979" s="3" t="str">
        <f t="shared" si="30"/>
        <v>Overweight</v>
      </c>
      <c r="H1979" t="s">
        <v>625</v>
      </c>
      <c r="I1979" t="s">
        <v>18</v>
      </c>
      <c r="J1979" t="s">
        <v>19</v>
      </c>
      <c r="K1979" t="s">
        <v>22</v>
      </c>
      <c r="L1979" t="s">
        <v>14</v>
      </c>
      <c r="M1979" t="s">
        <v>20</v>
      </c>
      <c r="N1979" t="s">
        <v>21</v>
      </c>
      <c r="O1979" t="s">
        <v>20</v>
      </c>
      <c r="P1979" t="s">
        <v>20</v>
      </c>
      <c r="Q1979" t="s">
        <v>40</v>
      </c>
    </row>
    <row r="1980" spans="1:17" x14ac:dyDescent="0.35">
      <c r="A1980">
        <v>1989</v>
      </c>
      <c r="B1980">
        <v>76</v>
      </c>
      <c r="C1980" t="s">
        <v>16</v>
      </c>
      <c r="D1980">
        <v>162</v>
      </c>
      <c r="E1980">
        <v>85</v>
      </c>
      <c r="F1980" s="3">
        <v>27.844327522747701</v>
      </c>
      <c r="G1980" s="3" t="str">
        <f t="shared" si="30"/>
        <v>Overweight</v>
      </c>
      <c r="H1980" t="s">
        <v>1273</v>
      </c>
      <c r="I1980" t="s">
        <v>24</v>
      </c>
      <c r="J1980" t="s">
        <v>19</v>
      </c>
      <c r="K1980" t="s">
        <v>40</v>
      </c>
      <c r="L1980" t="s">
        <v>38</v>
      </c>
      <c r="M1980" t="s">
        <v>19</v>
      </c>
      <c r="N1980" t="s">
        <v>21</v>
      </c>
      <c r="O1980" t="s">
        <v>20</v>
      </c>
      <c r="P1980" t="s">
        <v>19</v>
      </c>
      <c r="Q1980" t="s">
        <v>18</v>
      </c>
    </row>
    <row r="1981" spans="1:17" x14ac:dyDescent="0.35">
      <c r="A1981">
        <v>890</v>
      </c>
      <c r="B1981">
        <v>18</v>
      </c>
      <c r="C1981" t="s">
        <v>16</v>
      </c>
      <c r="D1981">
        <v>157</v>
      </c>
      <c r="E1981">
        <v>92</v>
      </c>
      <c r="F1981" s="3">
        <v>22.4018360519384</v>
      </c>
      <c r="G1981" s="3" t="str">
        <f t="shared" si="30"/>
        <v>Normal Weight</v>
      </c>
      <c r="H1981" t="s">
        <v>148</v>
      </c>
      <c r="I1981" t="s">
        <v>31</v>
      </c>
      <c r="J1981" t="s">
        <v>19</v>
      </c>
      <c r="K1981" t="s">
        <v>22</v>
      </c>
      <c r="L1981" t="s">
        <v>32</v>
      </c>
      <c r="M1981" t="s">
        <v>19</v>
      </c>
      <c r="N1981" t="s">
        <v>21</v>
      </c>
      <c r="O1981" t="s">
        <v>19</v>
      </c>
      <c r="P1981" t="s">
        <v>20</v>
      </c>
      <c r="Q1981" t="s">
        <v>40</v>
      </c>
    </row>
    <row r="1982" spans="1:17" x14ac:dyDescent="0.35">
      <c r="A1982">
        <v>1990</v>
      </c>
      <c r="B1982">
        <v>59</v>
      </c>
      <c r="C1982" t="s">
        <v>16</v>
      </c>
      <c r="D1982">
        <v>170</v>
      </c>
      <c r="E1982">
        <v>65</v>
      </c>
      <c r="F1982" s="3">
        <v>31.094366047955099</v>
      </c>
      <c r="G1982" s="3" t="str">
        <f t="shared" si="30"/>
        <v>Obese</v>
      </c>
      <c r="H1982" t="s">
        <v>1274</v>
      </c>
      <c r="I1982" t="s">
        <v>31</v>
      </c>
      <c r="J1982" t="s">
        <v>20</v>
      </c>
      <c r="K1982" t="s">
        <v>18</v>
      </c>
      <c r="L1982" t="s">
        <v>38</v>
      </c>
      <c r="M1982" t="s">
        <v>20</v>
      </c>
      <c r="N1982" t="s">
        <v>25</v>
      </c>
      <c r="O1982" t="s">
        <v>20</v>
      </c>
      <c r="P1982" t="s">
        <v>20</v>
      </c>
      <c r="Q1982" t="s">
        <v>18</v>
      </c>
    </row>
    <row r="1983" spans="1:17" x14ac:dyDescent="0.35">
      <c r="A1983">
        <v>996</v>
      </c>
      <c r="B1983">
        <v>18</v>
      </c>
      <c r="C1983" t="s">
        <v>27</v>
      </c>
      <c r="D1983">
        <v>181</v>
      </c>
      <c r="E1983">
        <v>53</v>
      </c>
      <c r="F1983" s="3">
        <v>21.1344947645579</v>
      </c>
      <c r="G1983" s="3" t="str">
        <f t="shared" si="30"/>
        <v>Normal Weight</v>
      </c>
      <c r="H1983" t="s">
        <v>800</v>
      </c>
      <c r="I1983" t="s">
        <v>24</v>
      </c>
      <c r="J1983" t="s">
        <v>20</v>
      </c>
      <c r="K1983" t="s">
        <v>22</v>
      </c>
      <c r="L1983" t="s">
        <v>38</v>
      </c>
      <c r="M1983" t="s">
        <v>20</v>
      </c>
      <c r="N1983" t="s">
        <v>25</v>
      </c>
      <c r="O1983" t="s">
        <v>20</v>
      </c>
      <c r="P1983" t="s">
        <v>19</v>
      </c>
      <c r="Q1983" t="s">
        <v>40</v>
      </c>
    </row>
    <row r="1984" spans="1:17" x14ac:dyDescent="0.35">
      <c r="A1984">
        <v>1014</v>
      </c>
      <c r="B1984">
        <v>18</v>
      </c>
      <c r="C1984" t="s">
        <v>27</v>
      </c>
      <c r="D1984">
        <v>176</v>
      </c>
      <c r="E1984">
        <v>55</v>
      </c>
      <c r="F1984" s="3">
        <v>32.1213248850868</v>
      </c>
      <c r="G1984" s="3" t="str">
        <f t="shared" si="30"/>
        <v>Obese</v>
      </c>
      <c r="H1984" t="s">
        <v>810</v>
      </c>
      <c r="I1984" t="s">
        <v>31</v>
      </c>
      <c r="J1984" t="s">
        <v>19</v>
      </c>
      <c r="K1984" t="s">
        <v>22</v>
      </c>
      <c r="L1984" t="s">
        <v>32</v>
      </c>
      <c r="M1984" t="s">
        <v>19</v>
      </c>
      <c r="N1984" t="s">
        <v>25</v>
      </c>
      <c r="O1984" t="s">
        <v>19</v>
      </c>
      <c r="P1984" t="s">
        <v>20</v>
      </c>
      <c r="Q1984" t="s">
        <v>18</v>
      </c>
    </row>
    <row r="1985" spans="1:17" x14ac:dyDescent="0.35">
      <c r="A1985">
        <v>1991</v>
      </c>
      <c r="B1985">
        <v>56</v>
      </c>
      <c r="C1985" t="s">
        <v>16</v>
      </c>
      <c r="D1985">
        <v>179</v>
      </c>
      <c r="E1985">
        <v>73</v>
      </c>
      <c r="F1985" s="3">
        <v>20.752299699379101</v>
      </c>
      <c r="G1985" s="3" t="str">
        <f t="shared" si="30"/>
        <v>Normal Weight</v>
      </c>
      <c r="H1985" t="s">
        <v>1275</v>
      </c>
      <c r="I1985" t="s">
        <v>18</v>
      </c>
      <c r="J1985" t="s">
        <v>19</v>
      </c>
      <c r="K1985" t="s">
        <v>18</v>
      </c>
      <c r="L1985" t="s">
        <v>29</v>
      </c>
      <c r="M1985" t="s">
        <v>20</v>
      </c>
      <c r="N1985" t="s">
        <v>25</v>
      </c>
      <c r="O1985" t="s">
        <v>19</v>
      </c>
      <c r="P1985" t="s">
        <v>19</v>
      </c>
      <c r="Q1985" t="s">
        <v>40</v>
      </c>
    </row>
    <row r="1986" spans="1:17" x14ac:dyDescent="0.35">
      <c r="A1986">
        <v>1045</v>
      </c>
      <c r="B1986">
        <v>18</v>
      </c>
      <c r="C1986" t="s">
        <v>27</v>
      </c>
      <c r="D1986">
        <v>153</v>
      </c>
      <c r="E1986">
        <v>52</v>
      </c>
      <c r="F1986" s="3">
        <v>29.196239742284</v>
      </c>
      <c r="G1986" s="3" t="str">
        <f t="shared" si="30"/>
        <v>Overweight</v>
      </c>
      <c r="H1986" t="s">
        <v>828</v>
      </c>
      <c r="I1986" t="s">
        <v>31</v>
      </c>
      <c r="J1986" t="s">
        <v>19</v>
      </c>
      <c r="K1986" t="s">
        <v>22</v>
      </c>
      <c r="L1986" t="s">
        <v>38</v>
      </c>
      <c r="M1986" t="s">
        <v>19</v>
      </c>
      <c r="N1986" t="s">
        <v>21</v>
      </c>
      <c r="O1986" t="s">
        <v>19</v>
      </c>
      <c r="P1986" t="s">
        <v>19</v>
      </c>
      <c r="Q1986" t="s">
        <v>18</v>
      </c>
    </row>
    <row r="1987" spans="1:17" x14ac:dyDescent="0.35">
      <c r="A1987">
        <v>1992</v>
      </c>
      <c r="B1987">
        <v>34</v>
      </c>
      <c r="C1987" t="s">
        <v>27</v>
      </c>
      <c r="D1987">
        <v>170</v>
      </c>
      <c r="E1987">
        <v>50</v>
      </c>
      <c r="F1987" s="3">
        <v>22.2730673978459</v>
      </c>
      <c r="G1987" s="3" t="str">
        <f t="shared" ref="G1987:G2001" si="31">_xlfn.IFS(F1987&lt;18.5, "Underweight", F1987&lt;=24.9, "Normal Weight", F1987&lt;=29.9, "Overweight", TRUE, "Obese")</f>
        <v>Normal Weight</v>
      </c>
      <c r="H1987" t="s">
        <v>815</v>
      </c>
      <c r="I1987" t="s">
        <v>24</v>
      </c>
      <c r="J1987" t="s">
        <v>20</v>
      </c>
      <c r="K1987" t="s">
        <v>18</v>
      </c>
      <c r="L1987" t="s">
        <v>14</v>
      </c>
      <c r="M1987" t="s">
        <v>20</v>
      </c>
      <c r="N1987" t="s">
        <v>25</v>
      </c>
      <c r="O1987" t="s">
        <v>19</v>
      </c>
      <c r="P1987" t="s">
        <v>19</v>
      </c>
      <c r="Q1987" t="s">
        <v>40</v>
      </c>
    </row>
    <row r="1988" spans="1:17" x14ac:dyDescent="0.35">
      <c r="A1988">
        <v>1993</v>
      </c>
      <c r="B1988">
        <v>31</v>
      </c>
      <c r="C1988" t="s">
        <v>16</v>
      </c>
      <c r="D1988">
        <v>166</v>
      </c>
      <c r="E1988">
        <v>98</v>
      </c>
      <c r="F1988" s="3">
        <v>33.061169233624199</v>
      </c>
      <c r="G1988" s="3" t="str">
        <f t="shared" si="31"/>
        <v>Obese</v>
      </c>
      <c r="H1988" t="s">
        <v>678</v>
      </c>
      <c r="I1988" t="s">
        <v>18</v>
      </c>
      <c r="J1988" t="s">
        <v>20</v>
      </c>
      <c r="K1988" t="s">
        <v>18</v>
      </c>
      <c r="L1988" t="s">
        <v>14</v>
      </c>
      <c r="M1988" t="s">
        <v>20</v>
      </c>
      <c r="N1988" t="s">
        <v>21</v>
      </c>
      <c r="O1988" t="s">
        <v>20</v>
      </c>
      <c r="P1988" t="s">
        <v>19</v>
      </c>
      <c r="Q1988" t="s">
        <v>22</v>
      </c>
    </row>
    <row r="1989" spans="1:17" x14ac:dyDescent="0.35">
      <c r="A1989">
        <v>1994</v>
      </c>
      <c r="B1989">
        <v>48</v>
      </c>
      <c r="C1989" t="s">
        <v>27</v>
      </c>
      <c r="D1989">
        <v>189</v>
      </c>
      <c r="E1989">
        <v>74</v>
      </c>
      <c r="F1989" s="3">
        <v>18.8320084105757</v>
      </c>
      <c r="G1989" s="3" t="str">
        <f t="shared" si="31"/>
        <v>Normal Weight</v>
      </c>
      <c r="H1989" t="s">
        <v>808</v>
      </c>
      <c r="I1989" t="s">
        <v>31</v>
      </c>
      <c r="J1989" t="s">
        <v>19</v>
      </c>
      <c r="K1989" t="s">
        <v>18</v>
      </c>
      <c r="L1989" t="s">
        <v>38</v>
      </c>
      <c r="M1989" t="s">
        <v>20</v>
      </c>
      <c r="N1989" t="s">
        <v>25</v>
      </c>
      <c r="O1989" t="s">
        <v>19</v>
      </c>
      <c r="P1989" t="s">
        <v>19</v>
      </c>
      <c r="Q1989" t="s">
        <v>18</v>
      </c>
    </row>
    <row r="1990" spans="1:17" x14ac:dyDescent="0.35">
      <c r="A1990">
        <v>1997</v>
      </c>
      <c r="B1990">
        <v>61</v>
      </c>
      <c r="C1990" t="s">
        <v>16</v>
      </c>
      <c r="D1990">
        <v>158</v>
      </c>
      <c r="E1990">
        <v>65</v>
      </c>
      <c r="F1990" s="3">
        <v>25.871740620853501</v>
      </c>
      <c r="G1990" s="3" t="str">
        <f t="shared" si="31"/>
        <v>Overweight</v>
      </c>
      <c r="H1990" t="s">
        <v>512</v>
      </c>
      <c r="I1990" t="s">
        <v>31</v>
      </c>
      <c r="J1990" t="s">
        <v>19</v>
      </c>
      <c r="K1990" t="s">
        <v>18</v>
      </c>
      <c r="L1990" t="s">
        <v>32</v>
      </c>
      <c r="M1990" t="s">
        <v>19</v>
      </c>
      <c r="N1990" t="s">
        <v>21</v>
      </c>
      <c r="O1990" t="s">
        <v>20</v>
      </c>
      <c r="P1990" t="s">
        <v>19</v>
      </c>
      <c r="Q1990" t="s">
        <v>18</v>
      </c>
    </row>
    <row r="1991" spans="1:17" x14ac:dyDescent="0.35">
      <c r="A1991">
        <v>1367</v>
      </c>
      <c r="B1991">
        <v>18</v>
      </c>
      <c r="C1991" t="s">
        <v>16</v>
      </c>
      <c r="D1991">
        <v>158</v>
      </c>
      <c r="E1991">
        <v>88</v>
      </c>
      <c r="F1991" s="3">
        <v>27.504869716360599</v>
      </c>
      <c r="G1991" s="3" t="str">
        <f t="shared" si="31"/>
        <v>Overweight</v>
      </c>
      <c r="H1991" t="s">
        <v>1013</v>
      </c>
      <c r="I1991" t="s">
        <v>24</v>
      </c>
      <c r="J1991" t="s">
        <v>19</v>
      </c>
      <c r="K1991" t="s">
        <v>22</v>
      </c>
      <c r="L1991" t="s">
        <v>38</v>
      </c>
      <c r="M1991" t="s">
        <v>20</v>
      </c>
      <c r="N1991" t="s">
        <v>25</v>
      </c>
      <c r="O1991" t="s">
        <v>19</v>
      </c>
      <c r="P1991" t="s">
        <v>20</v>
      </c>
      <c r="Q1991" t="s">
        <v>40</v>
      </c>
    </row>
    <row r="1992" spans="1:17" x14ac:dyDescent="0.35">
      <c r="A1992">
        <v>1395</v>
      </c>
      <c r="B1992">
        <v>18</v>
      </c>
      <c r="C1992" t="s">
        <v>27</v>
      </c>
      <c r="D1992">
        <v>164</v>
      </c>
      <c r="E1992">
        <v>78</v>
      </c>
      <c r="F1992" s="3">
        <v>18.621404188819302</v>
      </c>
      <c r="G1992" s="3" t="str">
        <f t="shared" si="31"/>
        <v>Normal Weight</v>
      </c>
      <c r="H1992" t="s">
        <v>1024</v>
      </c>
      <c r="I1992" t="s">
        <v>18</v>
      </c>
      <c r="J1992" t="s">
        <v>19</v>
      </c>
      <c r="K1992" t="s">
        <v>22</v>
      </c>
      <c r="L1992" t="s">
        <v>32</v>
      </c>
      <c r="M1992" t="s">
        <v>20</v>
      </c>
      <c r="N1992" t="s">
        <v>21</v>
      </c>
      <c r="O1992" t="s">
        <v>20</v>
      </c>
      <c r="P1992" t="s">
        <v>20</v>
      </c>
      <c r="Q1992" t="s">
        <v>22</v>
      </c>
    </row>
    <row r="1993" spans="1:17" x14ac:dyDescent="0.35">
      <c r="A1993">
        <v>1562</v>
      </c>
      <c r="B1993">
        <v>18</v>
      </c>
      <c r="C1993" t="s">
        <v>27</v>
      </c>
      <c r="D1993">
        <v>176</v>
      </c>
      <c r="E1993">
        <v>66</v>
      </c>
      <c r="F1993" s="3">
        <v>30.4981863607122</v>
      </c>
      <c r="G1993" s="3" t="str">
        <f t="shared" si="31"/>
        <v>Obese</v>
      </c>
      <c r="H1993" t="s">
        <v>28</v>
      </c>
      <c r="I1993" t="s">
        <v>24</v>
      </c>
      <c r="J1993" t="s">
        <v>20</v>
      </c>
      <c r="K1993" t="s">
        <v>22</v>
      </c>
      <c r="L1993" t="s">
        <v>38</v>
      </c>
      <c r="M1993" t="s">
        <v>20</v>
      </c>
      <c r="N1993" t="s">
        <v>25</v>
      </c>
      <c r="O1993" t="s">
        <v>19</v>
      </c>
      <c r="P1993" t="s">
        <v>19</v>
      </c>
      <c r="Q1993" t="s">
        <v>18</v>
      </c>
    </row>
    <row r="1994" spans="1:17" x14ac:dyDescent="0.35">
      <c r="A1994">
        <v>1572</v>
      </c>
      <c r="B1994">
        <v>18</v>
      </c>
      <c r="C1994" t="s">
        <v>27</v>
      </c>
      <c r="D1994">
        <v>157</v>
      </c>
      <c r="E1994">
        <v>76</v>
      </c>
      <c r="F1994" s="3">
        <v>32.281526992621203</v>
      </c>
      <c r="G1994" s="3" t="str">
        <f t="shared" si="31"/>
        <v>Obese</v>
      </c>
      <c r="H1994" t="s">
        <v>1107</v>
      </c>
      <c r="I1994" t="s">
        <v>18</v>
      </c>
      <c r="J1994" t="s">
        <v>19</v>
      </c>
      <c r="K1994" t="s">
        <v>22</v>
      </c>
      <c r="L1994" t="s">
        <v>14</v>
      </c>
      <c r="M1994" t="s">
        <v>19</v>
      </c>
      <c r="N1994" t="s">
        <v>25</v>
      </c>
      <c r="O1994" t="s">
        <v>20</v>
      </c>
      <c r="P1994" t="s">
        <v>20</v>
      </c>
      <c r="Q1994" t="s">
        <v>40</v>
      </c>
    </row>
    <row r="1995" spans="1:17" x14ac:dyDescent="0.35">
      <c r="A1995">
        <v>1638</v>
      </c>
      <c r="B1995">
        <v>18</v>
      </c>
      <c r="C1995" t="s">
        <v>16</v>
      </c>
      <c r="D1995">
        <v>164</v>
      </c>
      <c r="E1995">
        <v>90</v>
      </c>
      <c r="F1995" s="3">
        <v>32.597591969873697</v>
      </c>
      <c r="G1995" s="3" t="str">
        <f t="shared" si="31"/>
        <v>Obese</v>
      </c>
      <c r="H1995" t="s">
        <v>1127</v>
      </c>
      <c r="I1995" t="s">
        <v>24</v>
      </c>
      <c r="J1995" t="s">
        <v>19</v>
      </c>
      <c r="K1995" t="s">
        <v>22</v>
      </c>
      <c r="L1995" t="s">
        <v>14</v>
      </c>
      <c r="M1995" t="s">
        <v>20</v>
      </c>
      <c r="N1995" t="s">
        <v>21</v>
      </c>
      <c r="O1995" t="s">
        <v>19</v>
      </c>
      <c r="P1995" t="s">
        <v>20</v>
      </c>
      <c r="Q1995" t="s">
        <v>22</v>
      </c>
    </row>
    <row r="1996" spans="1:17" x14ac:dyDescent="0.35">
      <c r="A1996">
        <v>1998</v>
      </c>
      <c r="B1996">
        <v>77</v>
      </c>
      <c r="C1996" t="s">
        <v>16</v>
      </c>
      <c r="D1996">
        <v>159</v>
      </c>
      <c r="E1996">
        <v>57</v>
      </c>
      <c r="F1996" s="3">
        <v>18.6170927861656</v>
      </c>
      <c r="G1996" s="3" t="str">
        <f t="shared" si="31"/>
        <v>Normal Weight</v>
      </c>
      <c r="H1996" t="s">
        <v>1277</v>
      </c>
      <c r="I1996" t="s">
        <v>18</v>
      </c>
      <c r="J1996" t="s">
        <v>20</v>
      </c>
      <c r="K1996" t="s">
        <v>40</v>
      </c>
      <c r="L1996" t="s">
        <v>14</v>
      </c>
      <c r="M1996" t="s">
        <v>19</v>
      </c>
      <c r="N1996" t="s">
        <v>21</v>
      </c>
      <c r="O1996" t="s">
        <v>19</v>
      </c>
      <c r="P1996" t="s">
        <v>20</v>
      </c>
      <c r="Q1996" t="s">
        <v>22</v>
      </c>
    </row>
    <row r="1997" spans="1:17" x14ac:dyDescent="0.35">
      <c r="A1997">
        <v>1999</v>
      </c>
      <c r="B1997">
        <v>62</v>
      </c>
      <c r="C1997" t="s">
        <v>16</v>
      </c>
      <c r="D1997">
        <v>180</v>
      </c>
      <c r="E1997">
        <v>78</v>
      </c>
      <c r="F1997" s="3">
        <v>32.020070810947097</v>
      </c>
      <c r="G1997" s="3" t="str">
        <f t="shared" si="31"/>
        <v>Obese</v>
      </c>
      <c r="H1997" t="s">
        <v>400</v>
      </c>
      <c r="I1997" t="s">
        <v>18</v>
      </c>
      <c r="J1997" t="s">
        <v>19</v>
      </c>
      <c r="K1997" t="s">
        <v>18</v>
      </c>
      <c r="L1997" t="s">
        <v>14</v>
      </c>
      <c r="M1997" t="s">
        <v>19</v>
      </c>
      <c r="N1997" t="s">
        <v>21</v>
      </c>
      <c r="O1997" t="s">
        <v>19</v>
      </c>
      <c r="P1997" t="s">
        <v>20</v>
      </c>
      <c r="Q1997" t="s">
        <v>40</v>
      </c>
    </row>
    <row r="1998" spans="1:17" x14ac:dyDescent="0.35">
      <c r="A1998">
        <v>1695</v>
      </c>
      <c r="B1998">
        <v>18</v>
      </c>
      <c r="C1998" t="s">
        <v>27</v>
      </c>
      <c r="D1998">
        <v>171</v>
      </c>
      <c r="E1998">
        <v>53</v>
      </c>
      <c r="F1998" s="3">
        <v>19.964758904777799</v>
      </c>
      <c r="G1998" s="3" t="str">
        <f t="shared" si="31"/>
        <v>Normal Weight</v>
      </c>
      <c r="H1998" t="s">
        <v>1152</v>
      </c>
      <c r="I1998" t="s">
        <v>24</v>
      </c>
      <c r="J1998" t="s">
        <v>19</v>
      </c>
      <c r="K1998" t="s">
        <v>22</v>
      </c>
      <c r="L1998" t="s">
        <v>29</v>
      </c>
      <c r="M1998" t="s">
        <v>20</v>
      </c>
      <c r="N1998" t="s">
        <v>25</v>
      </c>
      <c r="O1998" t="s">
        <v>19</v>
      </c>
      <c r="P1998" t="s">
        <v>19</v>
      </c>
      <c r="Q1998" t="s">
        <v>22</v>
      </c>
    </row>
    <row r="1999" spans="1:17" x14ac:dyDescent="0.35">
      <c r="A1999">
        <v>1749</v>
      </c>
      <c r="B1999">
        <v>18</v>
      </c>
      <c r="C1999" t="s">
        <v>27</v>
      </c>
      <c r="D1999">
        <v>150</v>
      </c>
      <c r="E1999">
        <v>63</v>
      </c>
      <c r="F1999" s="3">
        <v>26.079209167851499</v>
      </c>
      <c r="G1999" s="3" t="str">
        <f t="shared" si="31"/>
        <v>Overweight</v>
      </c>
      <c r="H1999" t="s">
        <v>1180</v>
      </c>
      <c r="I1999" t="s">
        <v>31</v>
      </c>
      <c r="J1999" t="s">
        <v>19</v>
      </c>
      <c r="K1999" t="s">
        <v>22</v>
      </c>
      <c r="L1999" t="s">
        <v>32</v>
      </c>
      <c r="M1999" t="s">
        <v>19</v>
      </c>
      <c r="N1999" t="s">
        <v>25</v>
      </c>
      <c r="O1999" t="s">
        <v>20</v>
      </c>
      <c r="P1999" t="s">
        <v>20</v>
      </c>
      <c r="Q1999" t="s">
        <v>22</v>
      </c>
    </row>
    <row r="2000" spans="1:17" x14ac:dyDescent="0.35">
      <c r="A2000">
        <v>1852</v>
      </c>
      <c r="B2000">
        <v>18</v>
      </c>
      <c r="C2000" t="s">
        <v>16</v>
      </c>
      <c r="D2000">
        <v>187</v>
      </c>
      <c r="E2000">
        <v>81</v>
      </c>
      <c r="F2000" s="3">
        <v>25.534251850846498</v>
      </c>
      <c r="G2000" s="3" t="str">
        <f t="shared" si="31"/>
        <v>Overweight</v>
      </c>
      <c r="H2000" t="s">
        <v>116</v>
      </c>
      <c r="I2000" t="s">
        <v>24</v>
      </c>
      <c r="J2000" t="s">
        <v>20</v>
      </c>
      <c r="K2000" t="s">
        <v>22</v>
      </c>
      <c r="L2000" t="s">
        <v>38</v>
      </c>
      <c r="M2000" t="s">
        <v>19</v>
      </c>
      <c r="N2000" t="s">
        <v>21</v>
      </c>
      <c r="O2000" t="s">
        <v>20</v>
      </c>
      <c r="P2000" t="s">
        <v>19</v>
      </c>
      <c r="Q2000" t="s">
        <v>22</v>
      </c>
    </row>
    <row r="2001" spans="1:17" x14ac:dyDescent="0.35">
      <c r="A2001">
        <v>1901</v>
      </c>
      <c r="B2001">
        <v>18</v>
      </c>
      <c r="C2001" t="s">
        <v>27</v>
      </c>
      <c r="D2001">
        <v>156</v>
      </c>
      <c r="E2001">
        <v>92</v>
      </c>
      <c r="F2001" s="3">
        <v>28.861319133157899</v>
      </c>
      <c r="G2001" s="3" t="str">
        <f t="shared" si="31"/>
        <v>Overweight</v>
      </c>
      <c r="H2001" t="s">
        <v>1238</v>
      </c>
      <c r="I2001" t="s">
        <v>18</v>
      </c>
      <c r="J2001" t="s">
        <v>20</v>
      </c>
      <c r="K2001" t="s">
        <v>22</v>
      </c>
      <c r="L2001" t="s">
        <v>32</v>
      </c>
      <c r="M2001" t="s">
        <v>19</v>
      </c>
      <c r="N2001" t="s">
        <v>25</v>
      </c>
      <c r="O2001" t="s">
        <v>20</v>
      </c>
      <c r="P2001" t="s">
        <v>20</v>
      </c>
      <c r="Q200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D537-255B-4771-84FE-AF2F9BED08A5}">
  <dimension ref="A1:T30"/>
  <sheetViews>
    <sheetView showGridLines="0" showRowColHeaders="0" zoomScaleNormal="100" workbookViewId="0">
      <selection activeCell="V25" sqref="V25"/>
    </sheetView>
  </sheetViews>
  <sheetFormatPr defaultRowHeight="14.5" x14ac:dyDescent="0.35"/>
  <sheetData>
    <row r="1" spans="1:20" ht="15" customHeight="1" x14ac:dyDescent="0.35">
      <c r="A1" s="7"/>
      <c r="B1" s="7"/>
      <c r="C1" s="7"/>
      <c r="D1" s="7"/>
      <c r="E1" s="7"/>
      <c r="F1" s="7"/>
      <c r="G1" s="7"/>
      <c r="H1" s="7"/>
      <c r="I1" s="7"/>
      <c r="J1" s="7"/>
      <c r="K1" s="7"/>
      <c r="L1" s="7"/>
      <c r="M1" s="7"/>
      <c r="N1" s="7"/>
      <c r="O1" s="7"/>
      <c r="P1" s="7"/>
      <c r="Q1" s="7"/>
      <c r="R1" s="7"/>
      <c r="S1" s="7"/>
      <c r="T1" s="7"/>
    </row>
    <row r="2" spans="1:20" ht="15" customHeight="1" x14ac:dyDescent="0.65">
      <c r="A2" s="8"/>
      <c r="B2" s="12"/>
      <c r="C2" s="13"/>
      <c r="D2" s="13"/>
      <c r="E2" s="13"/>
      <c r="F2" s="13"/>
      <c r="G2" s="13"/>
      <c r="H2" s="13"/>
      <c r="I2" s="13"/>
      <c r="J2" s="13"/>
      <c r="K2" s="13"/>
      <c r="L2" s="13"/>
      <c r="M2" s="13"/>
      <c r="N2" s="13"/>
      <c r="O2" s="13"/>
      <c r="P2" s="13"/>
      <c r="Q2" s="13"/>
      <c r="R2" s="13"/>
      <c r="S2" s="7"/>
      <c r="T2" s="7"/>
    </row>
    <row r="3" spans="1:20" ht="15" customHeight="1" x14ac:dyDescent="0.55000000000000004">
      <c r="A3" s="8"/>
      <c r="B3" s="8"/>
      <c r="C3" s="8"/>
      <c r="D3" s="8"/>
      <c r="E3" s="8"/>
      <c r="F3" s="8"/>
      <c r="G3" s="8"/>
      <c r="H3" s="8"/>
      <c r="I3" s="8"/>
      <c r="J3" s="8"/>
      <c r="K3" s="8"/>
      <c r="L3" s="8"/>
      <c r="M3" s="8"/>
      <c r="N3" s="8"/>
      <c r="O3" s="8"/>
      <c r="P3" s="8"/>
      <c r="Q3" s="8"/>
      <c r="R3" s="8"/>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row r="10" spans="1:20" x14ac:dyDescent="0.35">
      <c r="A10" s="7"/>
      <c r="B10" s="7"/>
      <c r="C10" s="7"/>
      <c r="D10" s="7"/>
      <c r="E10" s="7"/>
      <c r="F10" s="7"/>
      <c r="G10" s="7"/>
      <c r="H10" s="7"/>
      <c r="I10" s="7"/>
      <c r="J10" s="7"/>
      <c r="K10" s="7"/>
      <c r="L10" s="7"/>
      <c r="M10" s="7"/>
      <c r="N10" s="7"/>
      <c r="O10" s="7"/>
      <c r="P10" s="7"/>
      <c r="Q10" s="7"/>
      <c r="R10" s="7"/>
      <c r="S10" s="7"/>
      <c r="T10" s="7"/>
    </row>
    <row r="11" spans="1:20" x14ac:dyDescent="0.35">
      <c r="A11" s="7"/>
      <c r="B11" s="7"/>
      <c r="C11" s="7"/>
      <c r="D11" s="7"/>
      <c r="E11" s="7"/>
      <c r="F11" s="7"/>
      <c r="G11" s="7"/>
      <c r="H11" s="7"/>
      <c r="I11" s="7"/>
      <c r="J11" s="7"/>
      <c r="K11" s="7"/>
      <c r="L11" s="7"/>
      <c r="M11" s="7"/>
      <c r="N11" s="7"/>
      <c r="O11" s="7"/>
      <c r="P11" s="7"/>
      <c r="Q11" s="7"/>
      <c r="R11" s="7"/>
      <c r="S11" s="7"/>
      <c r="T11" s="7"/>
    </row>
    <row r="12" spans="1:20" x14ac:dyDescent="0.35">
      <c r="A12" s="7"/>
      <c r="B12" s="7"/>
      <c r="C12" s="7"/>
      <c r="D12" s="7"/>
      <c r="E12" s="7"/>
      <c r="F12" s="7"/>
      <c r="G12" s="7"/>
      <c r="H12" s="7"/>
      <c r="I12" s="7"/>
      <c r="J12" s="7"/>
      <c r="K12" s="7"/>
      <c r="L12" s="7"/>
      <c r="M12" s="7"/>
      <c r="N12" s="7"/>
      <c r="O12" s="7"/>
      <c r="P12" s="7"/>
      <c r="Q12" s="7"/>
      <c r="R12" s="7"/>
      <c r="S12" s="7"/>
      <c r="T12" s="7"/>
    </row>
    <row r="13" spans="1:20" x14ac:dyDescent="0.35">
      <c r="A13" s="7"/>
      <c r="B13" s="7"/>
      <c r="C13" s="7"/>
      <c r="D13" s="7"/>
      <c r="E13" s="7"/>
      <c r="F13" s="7"/>
      <c r="G13" s="7"/>
      <c r="H13" s="7"/>
      <c r="I13" s="7"/>
      <c r="J13" s="7"/>
      <c r="K13" s="7"/>
      <c r="L13" s="7"/>
      <c r="M13" s="7"/>
      <c r="N13" s="7"/>
      <c r="O13" s="7"/>
      <c r="P13" s="7"/>
      <c r="Q13" s="7"/>
      <c r="R13" s="7"/>
      <c r="S13" s="7"/>
      <c r="T13" s="7"/>
    </row>
    <row r="14" spans="1:20" x14ac:dyDescent="0.35">
      <c r="A14" s="7"/>
      <c r="B14" s="7"/>
      <c r="C14" s="7"/>
      <c r="D14" s="7"/>
      <c r="E14" s="7"/>
      <c r="F14" s="7"/>
      <c r="G14" s="7"/>
      <c r="H14" s="7"/>
      <c r="I14" s="7"/>
      <c r="J14" s="7"/>
      <c r="K14" s="7"/>
      <c r="L14" s="7"/>
      <c r="M14" s="7"/>
      <c r="N14" s="7"/>
      <c r="O14" s="7"/>
      <c r="P14" s="7"/>
      <c r="Q14" s="7"/>
      <c r="R14" s="7"/>
      <c r="S14" s="7"/>
      <c r="T14" s="7"/>
    </row>
    <row r="15" spans="1:20" x14ac:dyDescent="0.35">
      <c r="A15" s="7"/>
      <c r="B15" s="7"/>
      <c r="C15" s="7"/>
      <c r="D15" s="7"/>
      <c r="E15" s="7"/>
      <c r="F15" s="7"/>
      <c r="G15" s="7"/>
      <c r="H15" s="7"/>
      <c r="I15" s="7"/>
      <c r="J15" s="7"/>
      <c r="K15" s="7"/>
      <c r="L15" s="7"/>
      <c r="M15" s="7"/>
      <c r="N15" s="7"/>
      <c r="O15" s="7"/>
      <c r="P15" s="7"/>
      <c r="Q15" s="7"/>
      <c r="R15" s="7"/>
      <c r="S15" s="7"/>
      <c r="T15" s="7"/>
    </row>
    <row r="16" spans="1:20" x14ac:dyDescent="0.35">
      <c r="A16" s="7"/>
      <c r="B16" s="7"/>
      <c r="C16" s="7"/>
      <c r="D16" s="7"/>
      <c r="E16" s="7"/>
      <c r="F16" s="7"/>
      <c r="G16" s="7"/>
      <c r="H16" s="7"/>
      <c r="I16" s="7"/>
      <c r="J16" s="7"/>
      <c r="K16" s="7"/>
      <c r="L16" s="7"/>
      <c r="M16" s="7"/>
      <c r="N16" s="7"/>
      <c r="O16" s="7"/>
      <c r="P16" s="7"/>
      <c r="Q16" s="7"/>
      <c r="R16" s="7"/>
      <c r="S16" s="7"/>
      <c r="T16" s="7"/>
    </row>
    <row r="17" spans="1:20" x14ac:dyDescent="0.35">
      <c r="A17" s="7"/>
      <c r="B17" s="7"/>
      <c r="C17" s="7"/>
      <c r="D17" s="7"/>
      <c r="E17" s="7"/>
      <c r="F17" s="7"/>
      <c r="G17" s="7"/>
      <c r="H17" s="7"/>
      <c r="I17" s="7"/>
      <c r="J17" s="7"/>
      <c r="K17" s="7"/>
      <c r="L17" s="7"/>
      <c r="M17" s="7"/>
      <c r="N17" s="7"/>
      <c r="O17" s="7"/>
      <c r="P17" s="7"/>
      <c r="Q17" s="7"/>
      <c r="R17" s="7"/>
      <c r="S17" s="7"/>
      <c r="T17" s="7"/>
    </row>
    <row r="18" spans="1:20" x14ac:dyDescent="0.35">
      <c r="A18" s="7"/>
      <c r="B18" s="7"/>
      <c r="C18" s="7"/>
      <c r="D18" s="7"/>
      <c r="E18" s="7"/>
      <c r="F18" s="7"/>
      <c r="G18" s="7"/>
      <c r="H18" s="7"/>
      <c r="I18" s="7"/>
      <c r="J18" s="7"/>
      <c r="K18" s="7"/>
      <c r="L18" s="7"/>
      <c r="M18" s="7"/>
      <c r="N18" s="7"/>
      <c r="O18" s="7"/>
      <c r="P18" s="7"/>
      <c r="Q18" s="7"/>
      <c r="R18" s="7"/>
      <c r="S18" s="7"/>
      <c r="T18" s="7"/>
    </row>
    <row r="19" spans="1:20" x14ac:dyDescent="0.35">
      <c r="A19" s="7"/>
      <c r="B19" s="7"/>
      <c r="C19" s="7"/>
      <c r="D19" s="7"/>
      <c r="E19" s="7"/>
      <c r="F19" s="7"/>
      <c r="G19" s="7"/>
      <c r="H19" s="7"/>
      <c r="I19" s="7"/>
      <c r="J19" s="7"/>
      <c r="K19" s="7"/>
      <c r="L19" s="7"/>
      <c r="M19" s="7"/>
      <c r="N19" s="7"/>
      <c r="O19" s="7"/>
      <c r="P19" s="7"/>
      <c r="Q19" s="7"/>
      <c r="R19" s="7"/>
      <c r="S19" s="7"/>
      <c r="T19" s="7"/>
    </row>
    <row r="20" spans="1:20" x14ac:dyDescent="0.35">
      <c r="A20" s="7"/>
      <c r="B20" s="7"/>
      <c r="C20" s="7"/>
      <c r="D20" s="7"/>
      <c r="E20" s="7"/>
      <c r="F20" s="7"/>
      <c r="G20" s="7"/>
      <c r="H20" s="7"/>
      <c r="I20" s="7"/>
      <c r="J20" s="7"/>
      <c r="K20" s="7"/>
      <c r="L20" s="7"/>
      <c r="M20" s="7"/>
      <c r="N20" s="7"/>
      <c r="O20" s="7"/>
      <c r="P20" s="7"/>
      <c r="Q20" s="7"/>
      <c r="R20" s="7"/>
      <c r="S20" s="7"/>
      <c r="T20" s="7"/>
    </row>
    <row r="21" spans="1:20" x14ac:dyDescent="0.35">
      <c r="A21" s="7"/>
      <c r="B21" s="7"/>
      <c r="C21" s="7"/>
      <c r="D21" s="7"/>
      <c r="E21" s="7"/>
      <c r="F21" s="7"/>
      <c r="G21" s="7"/>
      <c r="H21" s="7"/>
      <c r="I21" s="7"/>
      <c r="J21" s="7"/>
      <c r="K21" s="7"/>
      <c r="L21" s="7"/>
      <c r="M21" s="7"/>
      <c r="N21" s="7"/>
      <c r="O21" s="7"/>
      <c r="P21" s="7"/>
      <c r="Q21" s="7"/>
      <c r="R21" s="7"/>
      <c r="S21" s="7"/>
      <c r="T21" s="7"/>
    </row>
    <row r="22" spans="1:20" x14ac:dyDescent="0.35">
      <c r="A22" s="7"/>
      <c r="B22" s="7"/>
      <c r="C22" s="7"/>
      <c r="D22" s="7"/>
      <c r="E22" s="7"/>
      <c r="F22" s="7"/>
      <c r="G22" s="7"/>
      <c r="H22" s="7"/>
      <c r="I22" s="7"/>
      <c r="J22" s="7"/>
      <c r="K22" s="7"/>
      <c r="L22" s="7"/>
      <c r="M22" s="7"/>
      <c r="N22" s="7"/>
      <c r="O22" s="7"/>
      <c r="P22" s="7"/>
      <c r="Q22" s="7"/>
      <c r="R22" s="7"/>
      <c r="S22" s="7"/>
      <c r="T22" s="7"/>
    </row>
    <row r="23" spans="1:20" x14ac:dyDescent="0.35">
      <c r="A23" s="7"/>
      <c r="B23" s="7"/>
      <c r="C23" s="7"/>
      <c r="D23" s="7"/>
      <c r="E23" s="7"/>
      <c r="F23" s="7"/>
      <c r="G23" s="7"/>
      <c r="H23" s="7"/>
      <c r="I23" s="7"/>
      <c r="J23" s="7"/>
      <c r="K23" s="7"/>
      <c r="L23" s="7"/>
      <c r="M23" s="7"/>
      <c r="N23" s="7"/>
      <c r="O23" s="7"/>
      <c r="P23" s="7"/>
      <c r="Q23" s="7"/>
      <c r="R23" s="7"/>
      <c r="S23" s="7"/>
      <c r="T23" s="7"/>
    </row>
    <row r="24" spans="1:20" x14ac:dyDescent="0.35">
      <c r="A24" s="7"/>
      <c r="B24" s="7"/>
      <c r="C24" s="7"/>
      <c r="D24" s="7"/>
      <c r="E24" s="7"/>
      <c r="F24" s="7"/>
      <c r="G24" s="7"/>
      <c r="H24" s="7"/>
      <c r="I24" s="7"/>
      <c r="J24" s="7"/>
      <c r="K24" s="7"/>
      <c r="L24" s="7"/>
      <c r="M24" s="7"/>
      <c r="N24" s="7"/>
      <c r="O24" s="7"/>
      <c r="P24" s="7"/>
      <c r="Q24" s="7"/>
      <c r="R24" s="7"/>
      <c r="S24" s="7"/>
      <c r="T24" s="7"/>
    </row>
    <row r="25" spans="1:20" x14ac:dyDescent="0.35">
      <c r="A25" s="7"/>
      <c r="B25" s="7"/>
      <c r="C25" s="7"/>
      <c r="D25" s="7"/>
      <c r="E25" s="7"/>
      <c r="F25" s="7"/>
      <c r="G25" s="7"/>
      <c r="H25" s="7"/>
      <c r="I25" s="7"/>
      <c r="J25" s="7"/>
      <c r="K25" s="7"/>
      <c r="L25" s="7"/>
      <c r="M25" s="7"/>
      <c r="N25" s="7"/>
      <c r="O25" s="7"/>
      <c r="P25" s="7"/>
      <c r="Q25" s="7"/>
      <c r="R25" s="7"/>
      <c r="S25" s="7"/>
      <c r="T25" s="7"/>
    </row>
    <row r="26" spans="1:20" x14ac:dyDescent="0.35">
      <c r="A26" s="7"/>
      <c r="B26" s="7"/>
      <c r="C26" s="7"/>
      <c r="D26" s="7"/>
      <c r="E26" s="7"/>
      <c r="F26" s="7"/>
      <c r="G26" s="7"/>
      <c r="H26" s="7"/>
      <c r="I26" s="7"/>
      <c r="J26" s="7"/>
      <c r="K26" s="7"/>
      <c r="L26" s="7"/>
      <c r="M26" s="7"/>
      <c r="N26" s="7"/>
      <c r="O26" s="7"/>
      <c r="P26" s="7"/>
      <c r="Q26" s="7"/>
      <c r="R26" s="7"/>
      <c r="S26" s="7"/>
      <c r="T26" s="7"/>
    </row>
    <row r="27" spans="1:20" x14ac:dyDescent="0.35">
      <c r="A27" s="7"/>
      <c r="B27" s="7"/>
      <c r="C27" s="7"/>
      <c r="D27" s="7"/>
      <c r="E27" s="7"/>
      <c r="F27" s="7"/>
      <c r="G27" s="7"/>
      <c r="H27" s="7"/>
      <c r="I27" s="7"/>
      <c r="J27" s="7"/>
      <c r="K27" s="7"/>
      <c r="L27" s="7"/>
      <c r="M27" s="7"/>
      <c r="N27" s="7"/>
      <c r="O27" s="7"/>
      <c r="P27" s="7"/>
      <c r="Q27" s="7"/>
      <c r="R27" s="7"/>
      <c r="S27" s="7"/>
      <c r="T27" s="7"/>
    </row>
    <row r="28" spans="1:20" x14ac:dyDescent="0.35">
      <c r="A28" s="7"/>
      <c r="B28" s="7"/>
      <c r="C28" s="7"/>
      <c r="D28" s="7"/>
      <c r="E28" s="7"/>
      <c r="F28" s="7"/>
      <c r="G28" s="7"/>
      <c r="H28" s="7"/>
      <c r="I28" s="7"/>
      <c r="J28" s="7"/>
      <c r="K28" s="7"/>
      <c r="L28" s="7"/>
      <c r="M28" s="7"/>
      <c r="N28" s="7"/>
      <c r="O28" s="7"/>
      <c r="P28" s="7"/>
      <c r="Q28" s="7"/>
      <c r="R28" s="7"/>
      <c r="S28" s="7"/>
      <c r="T28" s="7"/>
    </row>
    <row r="29" spans="1:20" x14ac:dyDescent="0.35">
      <c r="A29" s="7"/>
      <c r="B29" s="7"/>
      <c r="C29" s="7"/>
      <c r="D29" s="7"/>
      <c r="E29" s="7"/>
      <c r="F29" s="7"/>
      <c r="G29" s="7"/>
      <c r="H29" s="7"/>
      <c r="I29" s="7"/>
      <c r="J29" s="7"/>
      <c r="K29" s="7"/>
      <c r="L29" s="7"/>
      <c r="M29" s="7"/>
      <c r="N29" s="7"/>
      <c r="O29" s="7"/>
      <c r="P29" s="7"/>
      <c r="Q29" s="7"/>
      <c r="R29" s="7"/>
      <c r="S29" s="7"/>
      <c r="T29" s="7"/>
    </row>
    <row r="30" spans="1:20" x14ac:dyDescent="0.35">
      <c r="A30" s="7"/>
      <c r="B30" s="7"/>
      <c r="C30" s="7"/>
      <c r="D30" s="7"/>
      <c r="E30" s="7"/>
      <c r="F30" s="7"/>
      <c r="G30" s="7"/>
      <c r="H30" s="7"/>
      <c r="I30" s="7"/>
      <c r="J30" s="7"/>
      <c r="K30" s="7"/>
      <c r="L30" s="7"/>
      <c r="M30" s="7"/>
      <c r="N30" s="7"/>
      <c r="O30" s="7"/>
      <c r="P30" s="7"/>
      <c r="Q30" s="7"/>
      <c r="R30" s="7"/>
      <c r="S30" s="7"/>
      <c r="T30" s="7"/>
    </row>
  </sheetData>
  <mergeCells count="1">
    <mergeCell ref="B2: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32EB-6954-46F4-BC0F-514A10AC0B85}">
  <dimension ref="A3:E6"/>
  <sheetViews>
    <sheetView workbookViewId="0">
      <selection activeCell="B5" sqref="B5"/>
    </sheetView>
  </sheetViews>
  <sheetFormatPr defaultRowHeight="14.5" x14ac:dyDescent="0.35"/>
  <cols>
    <col min="1" max="1" width="17.6328125" bestFit="1" customWidth="1"/>
    <col min="2" max="2" width="15.26953125" bestFit="1" customWidth="1"/>
    <col min="3" max="3" width="4.1796875" bestFit="1" customWidth="1"/>
    <col min="4" max="4" width="7.81640625" bestFit="1" customWidth="1"/>
    <col min="5" max="5" width="10.7265625" bestFit="1" customWidth="1"/>
    <col min="6" max="6" width="3.81640625" bestFit="1" customWidth="1"/>
    <col min="7" max="7" width="9.7265625" bestFit="1" customWidth="1"/>
  </cols>
  <sheetData>
    <row r="3" spans="1:5" x14ac:dyDescent="0.35">
      <c r="A3" s="1" t="s">
        <v>1282</v>
      </c>
      <c r="B3" s="1" t="s">
        <v>1278</v>
      </c>
    </row>
    <row r="4" spans="1:5" x14ac:dyDescent="0.35">
      <c r="A4" s="1" t="s">
        <v>8</v>
      </c>
      <c r="B4" t="s">
        <v>18</v>
      </c>
      <c r="C4" t="s">
        <v>22</v>
      </c>
      <c r="D4" t="s">
        <v>40</v>
      </c>
      <c r="E4" t="s">
        <v>1279</v>
      </c>
    </row>
    <row r="5" spans="1:5" x14ac:dyDescent="0.35">
      <c r="A5" s="2" t="s">
        <v>20</v>
      </c>
      <c r="B5">
        <v>176</v>
      </c>
      <c r="C5">
        <v>182</v>
      </c>
      <c r="D5">
        <v>157</v>
      </c>
      <c r="E5">
        <v>515</v>
      </c>
    </row>
    <row r="6" spans="1:5" x14ac:dyDescent="0.35">
      <c r="A6" s="2" t="s">
        <v>19</v>
      </c>
      <c r="B6">
        <v>166</v>
      </c>
      <c r="C6">
        <v>169</v>
      </c>
      <c r="D6">
        <v>176</v>
      </c>
      <c r="E6">
        <v>511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46D9D-CEF5-4CF4-8E23-F426AA1094C4}">
  <dimension ref="A3:C9"/>
  <sheetViews>
    <sheetView workbookViewId="0">
      <selection activeCell="S2" sqref="S2"/>
    </sheetView>
  </sheetViews>
  <sheetFormatPr defaultRowHeight="14.5" x14ac:dyDescent="0.35"/>
  <cols>
    <col min="1" max="1" width="17.6328125" bestFit="1" customWidth="1"/>
    <col min="2" max="2" width="14.90625" bestFit="1" customWidth="1"/>
    <col min="3" max="4" width="10.7265625" bestFit="1" customWidth="1"/>
  </cols>
  <sheetData>
    <row r="3" spans="1:3" x14ac:dyDescent="0.35">
      <c r="A3" s="1" t="s">
        <v>1282</v>
      </c>
      <c r="B3" s="1" t="s">
        <v>1287</v>
      </c>
    </row>
    <row r="4" spans="1:3" x14ac:dyDescent="0.35">
      <c r="A4" s="1" t="s">
        <v>1286</v>
      </c>
      <c r="B4" t="s">
        <v>19</v>
      </c>
      <c r="C4" t="s">
        <v>1279</v>
      </c>
    </row>
    <row r="5" spans="1:3" x14ac:dyDescent="0.35">
      <c r="A5" s="2" t="s">
        <v>14</v>
      </c>
      <c r="B5">
        <v>135</v>
      </c>
      <c r="C5">
        <v>135</v>
      </c>
    </row>
    <row r="6" spans="1:3" x14ac:dyDescent="0.35">
      <c r="A6" s="2" t="s">
        <v>29</v>
      </c>
      <c r="B6">
        <v>124</v>
      </c>
      <c r="C6">
        <v>124</v>
      </c>
    </row>
    <row r="7" spans="1:3" x14ac:dyDescent="0.35">
      <c r="A7" s="2" t="s">
        <v>32</v>
      </c>
      <c r="B7">
        <v>150</v>
      </c>
      <c r="C7">
        <v>150</v>
      </c>
    </row>
    <row r="8" spans="1:3" x14ac:dyDescent="0.35">
      <c r="A8" s="2" t="s">
        <v>38</v>
      </c>
      <c r="B8">
        <v>118</v>
      </c>
      <c r="C8">
        <v>118</v>
      </c>
    </row>
    <row r="9" spans="1:3" x14ac:dyDescent="0.35">
      <c r="A9" s="2" t="s">
        <v>1279</v>
      </c>
      <c r="B9">
        <v>527</v>
      </c>
      <c r="C9">
        <v>527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0CAB-AB6A-4B8E-B924-F6C8B0BDD637}">
  <dimension ref="A1:M2001"/>
  <sheetViews>
    <sheetView tabSelected="1" workbookViewId="0">
      <selection activeCell="A21" sqref="A21:B22"/>
    </sheetView>
  </sheetViews>
  <sheetFormatPr defaultRowHeight="14.5" x14ac:dyDescent="0.35"/>
  <cols>
    <col min="1" max="1" width="12.36328125" bestFit="1" customWidth="1"/>
    <col min="2" max="2" width="17.6328125" bestFit="1" customWidth="1"/>
    <col min="3" max="3" width="6.08984375" bestFit="1" customWidth="1"/>
    <col min="4" max="4" width="10.453125" bestFit="1" customWidth="1"/>
    <col min="5" max="5" width="10.7265625" bestFit="1" customWidth="1"/>
  </cols>
  <sheetData>
    <row r="1" spans="1:8" x14ac:dyDescent="0.35">
      <c r="A1" s="1" t="s">
        <v>1280</v>
      </c>
      <c r="B1" t="s">
        <v>1282</v>
      </c>
      <c r="G1" s="6" t="s">
        <v>1285</v>
      </c>
      <c r="H1" s="6" t="s">
        <v>1283</v>
      </c>
    </row>
    <row r="2" spans="1:8" x14ac:dyDescent="0.35">
      <c r="A2" s="2" t="s">
        <v>1292</v>
      </c>
      <c r="B2">
        <v>203</v>
      </c>
      <c r="G2">
        <v>20.5</v>
      </c>
      <c r="H2">
        <v>245</v>
      </c>
    </row>
    <row r="3" spans="1:8" x14ac:dyDescent="0.35">
      <c r="A3" s="2" t="s">
        <v>1293</v>
      </c>
      <c r="B3">
        <v>193</v>
      </c>
      <c r="G3">
        <v>22.5</v>
      </c>
      <c r="H3">
        <v>250</v>
      </c>
    </row>
    <row r="4" spans="1:8" x14ac:dyDescent="0.35">
      <c r="A4" s="2" t="s">
        <v>1294</v>
      </c>
      <c r="B4">
        <v>189</v>
      </c>
      <c r="G4">
        <v>24.5</v>
      </c>
      <c r="H4">
        <v>253</v>
      </c>
    </row>
    <row r="5" spans="1:8" x14ac:dyDescent="0.35">
      <c r="A5" s="2" t="s">
        <v>1295</v>
      </c>
      <c r="B5">
        <v>172</v>
      </c>
      <c r="G5">
        <v>26.5</v>
      </c>
      <c r="H5">
        <v>245</v>
      </c>
    </row>
    <row r="6" spans="1:8" x14ac:dyDescent="0.35">
      <c r="A6" s="2" t="s">
        <v>1296</v>
      </c>
      <c r="B6">
        <v>169</v>
      </c>
      <c r="G6">
        <v>28.5</v>
      </c>
      <c r="H6">
        <v>248</v>
      </c>
    </row>
    <row r="7" spans="1:8" x14ac:dyDescent="0.35">
      <c r="A7" s="2" t="s">
        <v>1297</v>
      </c>
      <c r="B7">
        <v>100</v>
      </c>
      <c r="G7">
        <v>30.5</v>
      </c>
      <c r="H7">
        <v>222</v>
      </c>
    </row>
    <row r="8" spans="1:8" x14ac:dyDescent="0.35">
      <c r="A8" s="4" t="s">
        <v>1279</v>
      </c>
      <c r="B8">
        <v>1026</v>
      </c>
      <c r="G8">
        <v>32.5</v>
      </c>
      <c r="H8">
        <v>230</v>
      </c>
    </row>
    <row r="9" spans="1:8" x14ac:dyDescent="0.35">
      <c r="G9">
        <v>34.5</v>
      </c>
      <c r="H9">
        <v>248</v>
      </c>
    </row>
    <row r="10" spans="1:8" x14ac:dyDescent="0.35">
      <c r="G10">
        <v>36.5</v>
      </c>
      <c r="H10">
        <v>59</v>
      </c>
    </row>
    <row r="11" spans="1:8" ht="15" thickBot="1" x14ac:dyDescent="0.4">
      <c r="G11" s="5"/>
      <c r="H11" s="5"/>
    </row>
    <row r="21" spans="1:13" x14ac:dyDescent="0.35">
      <c r="A21" s="2"/>
      <c r="E21" s="3"/>
    </row>
    <row r="22" spans="1:13" x14ac:dyDescent="0.35">
      <c r="A22" s="2"/>
      <c r="E22" s="3"/>
    </row>
    <row r="23" spans="1:13" x14ac:dyDescent="0.35">
      <c r="E23" s="3"/>
    </row>
    <row r="24" spans="1:13" x14ac:dyDescent="0.35">
      <c r="E24" s="3"/>
    </row>
    <row r="25" spans="1:13" x14ac:dyDescent="0.35">
      <c r="E25" s="3"/>
      <c r="M25" t="s">
        <v>1298</v>
      </c>
    </row>
    <row r="26" spans="1:13" x14ac:dyDescent="0.35">
      <c r="E26" s="3"/>
    </row>
    <row r="27" spans="1:13" x14ac:dyDescent="0.35">
      <c r="E27" s="3"/>
    </row>
    <row r="28" spans="1:13" x14ac:dyDescent="0.35">
      <c r="E28" s="3"/>
    </row>
    <row r="29" spans="1:13" x14ac:dyDescent="0.35">
      <c r="E29" s="3"/>
    </row>
    <row r="30" spans="1:13" x14ac:dyDescent="0.35">
      <c r="E30" s="3"/>
    </row>
    <row r="31" spans="1:13" x14ac:dyDescent="0.35">
      <c r="E31" s="3"/>
    </row>
    <row r="32" spans="1:13" x14ac:dyDescent="0.35">
      <c r="E32" s="3"/>
    </row>
    <row r="33" spans="5:5" x14ac:dyDescent="0.35">
      <c r="E33" s="3"/>
    </row>
    <row r="34" spans="5:5" x14ac:dyDescent="0.35">
      <c r="E34" s="3"/>
    </row>
    <row r="35" spans="5:5" x14ac:dyDescent="0.35">
      <c r="E35" s="3"/>
    </row>
    <row r="36" spans="5:5" x14ac:dyDescent="0.35">
      <c r="E36" s="3"/>
    </row>
    <row r="37" spans="5:5" x14ac:dyDescent="0.35">
      <c r="E37" s="3"/>
    </row>
    <row r="38" spans="5:5" x14ac:dyDescent="0.35">
      <c r="E38" s="3"/>
    </row>
    <row r="39" spans="5:5" x14ac:dyDescent="0.35">
      <c r="E39" s="3"/>
    </row>
    <row r="40" spans="5:5" x14ac:dyDescent="0.35">
      <c r="E40" s="3"/>
    </row>
    <row r="41" spans="5:5" x14ac:dyDescent="0.35">
      <c r="E41" s="3"/>
    </row>
    <row r="42" spans="5:5" x14ac:dyDescent="0.35">
      <c r="E42" s="3"/>
    </row>
    <row r="43" spans="5:5" x14ac:dyDescent="0.35">
      <c r="E43" s="3"/>
    </row>
    <row r="44" spans="5:5" x14ac:dyDescent="0.35">
      <c r="E44" s="3"/>
    </row>
    <row r="45" spans="5:5" x14ac:dyDescent="0.35">
      <c r="E45" s="3"/>
    </row>
    <row r="46" spans="5:5" x14ac:dyDescent="0.35">
      <c r="E46" s="3"/>
    </row>
    <row r="47" spans="5:5" x14ac:dyDescent="0.35">
      <c r="E47" s="3"/>
    </row>
    <row r="48" spans="5:5" x14ac:dyDescent="0.35">
      <c r="E48" s="3"/>
    </row>
    <row r="49" spans="5:5" x14ac:dyDescent="0.35">
      <c r="E49" s="3"/>
    </row>
    <row r="50" spans="5:5" x14ac:dyDescent="0.35">
      <c r="E50" s="3"/>
    </row>
    <row r="51" spans="5:5" x14ac:dyDescent="0.35">
      <c r="E51" s="3"/>
    </row>
    <row r="52" spans="5:5" x14ac:dyDescent="0.35">
      <c r="E52" s="3"/>
    </row>
    <row r="53" spans="5:5" x14ac:dyDescent="0.35">
      <c r="E53" s="3"/>
    </row>
    <row r="54" spans="5:5" x14ac:dyDescent="0.35">
      <c r="E54" s="3"/>
    </row>
    <row r="55" spans="5:5" x14ac:dyDescent="0.35">
      <c r="E55" s="3"/>
    </row>
    <row r="56" spans="5:5" x14ac:dyDescent="0.35">
      <c r="E56" s="3"/>
    </row>
    <row r="57" spans="5:5" x14ac:dyDescent="0.35">
      <c r="E57" s="3"/>
    </row>
    <row r="58" spans="5:5" x14ac:dyDescent="0.35">
      <c r="E58" s="3"/>
    </row>
    <row r="59" spans="5:5" x14ac:dyDescent="0.35">
      <c r="E59" s="3"/>
    </row>
    <row r="60" spans="5:5" x14ac:dyDescent="0.35">
      <c r="E60" s="3"/>
    </row>
    <row r="61" spans="5:5" x14ac:dyDescent="0.35">
      <c r="E61" s="3"/>
    </row>
    <row r="62" spans="5:5" x14ac:dyDescent="0.35">
      <c r="E62" s="3"/>
    </row>
    <row r="63" spans="5:5" x14ac:dyDescent="0.35">
      <c r="E63" s="3"/>
    </row>
    <row r="64" spans="5:5" x14ac:dyDescent="0.35">
      <c r="E64" s="3"/>
    </row>
    <row r="65" spans="5:5" x14ac:dyDescent="0.35">
      <c r="E65" s="3"/>
    </row>
    <row r="66" spans="5:5" x14ac:dyDescent="0.35">
      <c r="E66" s="3"/>
    </row>
    <row r="67" spans="5:5" x14ac:dyDescent="0.35">
      <c r="E67" s="3"/>
    </row>
    <row r="68" spans="5:5" x14ac:dyDescent="0.35">
      <c r="E68" s="3"/>
    </row>
    <row r="69" spans="5:5" x14ac:dyDescent="0.35">
      <c r="E69" s="3"/>
    </row>
    <row r="70" spans="5:5" x14ac:dyDescent="0.35">
      <c r="E70" s="3"/>
    </row>
    <row r="71" spans="5:5" x14ac:dyDescent="0.35">
      <c r="E71" s="3"/>
    </row>
    <row r="72" spans="5:5" x14ac:dyDescent="0.35">
      <c r="E72" s="3"/>
    </row>
    <row r="73" spans="5:5" x14ac:dyDescent="0.35">
      <c r="E73" s="3"/>
    </row>
    <row r="74" spans="5:5" x14ac:dyDescent="0.35">
      <c r="E74" s="3"/>
    </row>
    <row r="75" spans="5:5" x14ac:dyDescent="0.35">
      <c r="E75" s="3"/>
    </row>
    <row r="76" spans="5:5" x14ac:dyDescent="0.35">
      <c r="E76" s="3"/>
    </row>
    <row r="77" spans="5:5" x14ac:dyDescent="0.35">
      <c r="E77" s="3"/>
    </row>
    <row r="78" spans="5:5" x14ac:dyDescent="0.35">
      <c r="E78" s="3"/>
    </row>
    <row r="79" spans="5:5" x14ac:dyDescent="0.35">
      <c r="E79" s="3"/>
    </row>
    <row r="80" spans="5:5" x14ac:dyDescent="0.35">
      <c r="E80" s="3"/>
    </row>
    <row r="81" spans="5:5" x14ac:dyDescent="0.35">
      <c r="E81" s="3"/>
    </row>
    <row r="82" spans="5:5" x14ac:dyDescent="0.35">
      <c r="E82" s="3"/>
    </row>
    <row r="83" spans="5:5" x14ac:dyDescent="0.35">
      <c r="E83" s="3"/>
    </row>
    <row r="84" spans="5:5" x14ac:dyDescent="0.35">
      <c r="E84" s="3"/>
    </row>
    <row r="85" spans="5:5" x14ac:dyDescent="0.35">
      <c r="E85" s="3"/>
    </row>
    <row r="86" spans="5:5" x14ac:dyDescent="0.35">
      <c r="E86" s="3"/>
    </row>
    <row r="87" spans="5:5" x14ac:dyDescent="0.35">
      <c r="E87" s="3"/>
    </row>
    <row r="88" spans="5:5" x14ac:dyDescent="0.35">
      <c r="E88" s="3"/>
    </row>
    <row r="89" spans="5:5" x14ac:dyDescent="0.35">
      <c r="E89" s="3"/>
    </row>
    <row r="90" spans="5:5" x14ac:dyDescent="0.35">
      <c r="E90" s="3"/>
    </row>
    <row r="91" spans="5:5" x14ac:dyDescent="0.35">
      <c r="E91" s="3"/>
    </row>
    <row r="92" spans="5:5" x14ac:dyDescent="0.35">
      <c r="E92" s="3"/>
    </row>
    <row r="93" spans="5:5" x14ac:dyDescent="0.35">
      <c r="E93" s="3"/>
    </row>
    <row r="94" spans="5:5" x14ac:dyDescent="0.35">
      <c r="E94" s="3"/>
    </row>
    <row r="95" spans="5:5" x14ac:dyDescent="0.35">
      <c r="E95" s="3"/>
    </row>
    <row r="96" spans="5:5" x14ac:dyDescent="0.35">
      <c r="E96" s="3"/>
    </row>
    <row r="97" spans="5:5" x14ac:dyDescent="0.35">
      <c r="E97" s="3"/>
    </row>
    <row r="98" spans="5:5" x14ac:dyDescent="0.35">
      <c r="E98" s="3"/>
    </row>
    <row r="99" spans="5:5" x14ac:dyDescent="0.35">
      <c r="E99" s="3"/>
    </row>
    <row r="100" spans="5:5" x14ac:dyDescent="0.35">
      <c r="E100" s="3"/>
    </row>
    <row r="101" spans="5:5" x14ac:dyDescent="0.35">
      <c r="E101" s="3"/>
    </row>
    <row r="102" spans="5:5" x14ac:dyDescent="0.35">
      <c r="E102" s="3"/>
    </row>
    <row r="103" spans="5:5" x14ac:dyDescent="0.35">
      <c r="E103" s="3"/>
    </row>
    <row r="104" spans="5:5" x14ac:dyDescent="0.35">
      <c r="E104" s="3"/>
    </row>
    <row r="105" spans="5:5" x14ac:dyDescent="0.35">
      <c r="E105" s="3"/>
    </row>
    <row r="106" spans="5:5" x14ac:dyDescent="0.35">
      <c r="E106" s="3"/>
    </row>
    <row r="107" spans="5:5" x14ac:dyDescent="0.35">
      <c r="E107" s="3"/>
    </row>
    <row r="108" spans="5:5" x14ac:dyDescent="0.35">
      <c r="E108" s="3"/>
    </row>
    <row r="109" spans="5:5" x14ac:dyDescent="0.35">
      <c r="E109" s="3"/>
    </row>
    <row r="110" spans="5:5" x14ac:dyDescent="0.35">
      <c r="E110" s="3"/>
    </row>
    <row r="111" spans="5:5" x14ac:dyDescent="0.35">
      <c r="E111" s="3"/>
    </row>
    <row r="112" spans="5:5" x14ac:dyDescent="0.35">
      <c r="E112" s="3"/>
    </row>
    <row r="113" spans="5:5" x14ac:dyDescent="0.35">
      <c r="E113" s="3"/>
    </row>
    <row r="114" spans="5:5" x14ac:dyDescent="0.35">
      <c r="E114" s="3"/>
    </row>
    <row r="115" spans="5:5" x14ac:dyDescent="0.35">
      <c r="E115" s="3"/>
    </row>
    <row r="116" spans="5:5" x14ac:dyDescent="0.35">
      <c r="E116" s="3"/>
    </row>
    <row r="117" spans="5:5" x14ac:dyDescent="0.35">
      <c r="E117" s="3"/>
    </row>
    <row r="118" spans="5:5" x14ac:dyDescent="0.35">
      <c r="E118" s="3"/>
    </row>
    <row r="119" spans="5:5" x14ac:dyDescent="0.35">
      <c r="E119" s="3"/>
    </row>
    <row r="120" spans="5:5" x14ac:dyDescent="0.35">
      <c r="E120" s="3"/>
    </row>
    <row r="121" spans="5:5" x14ac:dyDescent="0.35">
      <c r="E121" s="3"/>
    </row>
    <row r="122" spans="5:5" x14ac:dyDescent="0.35">
      <c r="E122" s="3"/>
    </row>
    <row r="123" spans="5:5" x14ac:dyDescent="0.35">
      <c r="E123" s="3"/>
    </row>
    <row r="124" spans="5:5" x14ac:dyDescent="0.35">
      <c r="E124" s="3"/>
    </row>
    <row r="125" spans="5:5" x14ac:dyDescent="0.35">
      <c r="E125" s="3"/>
    </row>
    <row r="126" spans="5:5" x14ac:dyDescent="0.35">
      <c r="E126" s="3"/>
    </row>
    <row r="127" spans="5:5" x14ac:dyDescent="0.35">
      <c r="E127" s="3"/>
    </row>
    <row r="128" spans="5:5" x14ac:dyDescent="0.35">
      <c r="E128" s="3"/>
    </row>
    <row r="129" spans="5:5" x14ac:dyDescent="0.35">
      <c r="E129" s="3"/>
    </row>
    <row r="130" spans="5:5" x14ac:dyDescent="0.35">
      <c r="E130" s="3"/>
    </row>
    <row r="131" spans="5:5" x14ac:dyDescent="0.35">
      <c r="E131" s="3"/>
    </row>
    <row r="132" spans="5:5" x14ac:dyDescent="0.35">
      <c r="E132" s="3"/>
    </row>
    <row r="133" spans="5:5" x14ac:dyDescent="0.35">
      <c r="E133" s="3"/>
    </row>
    <row r="134" spans="5:5" x14ac:dyDescent="0.35">
      <c r="E134" s="3"/>
    </row>
    <row r="135" spans="5:5" x14ac:dyDescent="0.35">
      <c r="E135" s="3"/>
    </row>
    <row r="136" spans="5:5" x14ac:dyDescent="0.35">
      <c r="E136" s="3"/>
    </row>
    <row r="137" spans="5:5" x14ac:dyDescent="0.35">
      <c r="E137" s="3"/>
    </row>
    <row r="138" spans="5:5" x14ac:dyDescent="0.35">
      <c r="E138" s="3"/>
    </row>
    <row r="139" spans="5:5" x14ac:dyDescent="0.35">
      <c r="E139" s="3"/>
    </row>
    <row r="140" spans="5:5" x14ac:dyDescent="0.35">
      <c r="E140" s="3"/>
    </row>
    <row r="141" spans="5:5" x14ac:dyDescent="0.35">
      <c r="E141" s="3"/>
    </row>
    <row r="142" spans="5:5" x14ac:dyDescent="0.35">
      <c r="E142" s="3"/>
    </row>
    <row r="143" spans="5:5" x14ac:dyDescent="0.35">
      <c r="E143" s="3"/>
    </row>
    <row r="144" spans="5:5" x14ac:dyDescent="0.35">
      <c r="E144" s="3"/>
    </row>
    <row r="145" spans="5:5" x14ac:dyDescent="0.35">
      <c r="E145" s="3"/>
    </row>
    <row r="146" spans="5:5" x14ac:dyDescent="0.35">
      <c r="E146" s="3"/>
    </row>
    <row r="147" spans="5:5" x14ac:dyDescent="0.35">
      <c r="E147" s="3"/>
    </row>
    <row r="148" spans="5:5" x14ac:dyDescent="0.35">
      <c r="E148" s="3"/>
    </row>
    <row r="149" spans="5:5" x14ac:dyDescent="0.35">
      <c r="E149" s="3"/>
    </row>
    <row r="150" spans="5:5" x14ac:dyDescent="0.35">
      <c r="E150" s="3"/>
    </row>
    <row r="151" spans="5:5" x14ac:dyDescent="0.35">
      <c r="E151" s="3"/>
    </row>
    <row r="152" spans="5:5" x14ac:dyDescent="0.35">
      <c r="E152" s="3"/>
    </row>
    <row r="153" spans="5:5" x14ac:dyDescent="0.35">
      <c r="E153" s="3"/>
    </row>
    <row r="154" spans="5:5" x14ac:dyDescent="0.35">
      <c r="E154" s="3"/>
    </row>
    <row r="155" spans="5:5" x14ac:dyDescent="0.35">
      <c r="E155" s="3"/>
    </row>
    <row r="156" spans="5:5" x14ac:dyDescent="0.35">
      <c r="E156" s="3"/>
    </row>
    <row r="157" spans="5:5" x14ac:dyDescent="0.35">
      <c r="E157" s="3"/>
    </row>
    <row r="158" spans="5:5" x14ac:dyDescent="0.35">
      <c r="E158" s="3"/>
    </row>
    <row r="159" spans="5:5" x14ac:dyDescent="0.35">
      <c r="E159" s="3"/>
    </row>
    <row r="160" spans="5:5" x14ac:dyDescent="0.35">
      <c r="E160" s="3"/>
    </row>
    <row r="161" spans="5:5" x14ac:dyDescent="0.35">
      <c r="E161" s="3"/>
    </row>
    <row r="162" spans="5:5" x14ac:dyDescent="0.35">
      <c r="E162" s="3"/>
    </row>
    <row r="163" spans="5:5" x14ac:dyDescent="0.35">
      <c r="E163" s="3"/>
    </row>
    <row r="164" spans="5:5" x14ac:dyDescent="0.35">
      <c r="E164" s="3"/>
    </row>
    <row r="165" spans="5:5" x14ac:dyDescent="0.35">
      <c r="E165" s="3"/>
    </row>
    <row r="166" spans="5:5" x14ac:dyDescent="0.35">
      <c r="E166" s="3"/>
    </row>
    <row r="167" spans="5:5" x14ac:dyDescent="0.35">
      <c r="E167" s="3"/>
    </row>
    <row r="168" spans="5:5" x14ac:dyDescent="0.35">
      <c r="E168" s="3"/>
    </row>
    <row r="169" spans="5:5" x14ac:dyDescent="0.35">
      <c r="E169" s="3"/>
    </row>
    <row r="170" spans="5:5" x14ac:dyDescent="0.35">
      <c r="E170" s="3"/>
    </row>
    <row r="171" spans="5:5" x14ac:dyDescent="0.35">
      <c r="E171" s="3"/>
    </row>
    <row r="172" spans="5:5" x14ac:dyDescent="0.35">
      <c r="E172" s="3"/>
    </row>
    <row r="173" spans="5:5" x14ac:dyDescent="0.35">
      <c r="E173" s="3"/>
    </row>
    <row r="174" spans="5:5" x14ac:dyDescent="0.35">
      <c r="E174" s="3"/>
    </row>
    <row r="175" spans="5:5" x14ac:dyDescent="0.35">
      <c r="E175" s="3"/>
    </row>
    <row r="176" spans="5:5" x14ac:dyDescent="0.35">
      <c r="E176" s="3"/>
    </row>
    <row r="177" spans="5:5" x14ac:dyDescent="0.35">
      <c r="E177" s="3"/>
    </row>
    <row r="178" spans="5:5" x14ac:dyDescent="0.35">
      <c r="E178" s="3"/>
    </row>
    <row r="179" spans="5:5" x14ac:dyDescent="0.35">
      <c r="E179" s="3"/>
    </row>
    <row r="180" spans="5:5" x14ac:dyDescent="0.35">
      <c r="E180" s="3"/>
    </row>
    <row r="181" spans="5:5" x14ac:dyDescent="0.35">
      <c r="E181" s="3"/>
    </row>
    <row r="182" spans="5:5" x14ac:dyDescent="0.35">
      <c r="E182" s="3"/>
    </row>
    <row r="183" spans="5:5" x14ac:dyDescent="0.35">
      <c r="E183" s="3"/>
    </row>
    <row r="184" spans="5:5" x14ac:dyDescent="0.35">
      <c r="E184" s="3"/>
    </row>
    <row r="185" spans="5:5" x14ac:dyDescent="0.35">
      <c r="E185" s="3"/>
    </row>
    <row r="186" spans="5:5" x14ac:dyDescent="0.35">
      <c r="E186" s="3"/>
    </row>
    <row r="187" spans="5:5" x14ac:dyDescent="0.35">
      <c r="E187" s="3"/>
    </row>
    <row r="188" spans="5:5" x14ac:dyDescent="0.35">
      <c r="E188" s="3"/>
    </row>
    <row r="189" spans="5:5" x14ac:dyDescent="0.35">
      <c r="E189" s="3"/>
    </row>
    <row r="190" spans="5:5" x14ac:dyDescent="0.35">
      <c r="E190" s="3"/>
    </row>
    <row r="191" spans="5:5" x14ac:dyDescent="0.35">
      <c r="E191" s="3"/>
    </row>
    <row r="192" spans="5:5" x14ac:dyDescent="0.35">
      <c r="E192" s="3"/>
    </row>
    <row r="193" spans="5:5" x14ac:dyDescent="0.35">
      <c r="E193" s="3"/>
    </row>
    <row r="194" spans="5:5" x14ac:dyDescent="0.35">
      <c r="E194" s="3"/>
    </row>
    <row r="195" spans="5:5" x14ac:dyDescent="0.35">
      <c r="E195" s="3"/>
    </row>
    <row r="196" spans="5:5" x14ac:dyDescent="0.35">
      <c r="E196" s="3"/>
    </row>
    <row r="197" spans="5:5" x14ac:dyDescent="0.35">
      <c r="E197" s="3"/>
    </row>
    <row r="198" spans="5:5" x14ac:dyDescent="0.35">
      <c r="E198" s="3"/>
    </row>
    <row r="199" spans="5:5" x14ac:dyDescent="0.35">
      <c r="E199" s="3"/>
    </row>
    <row r="200" spans="5:5" x14ac:dyDescent="0.35">
      <c r="E200" s="3"/>
    </row>
    <row r="201" spans="5:5" x14ac:dyDescent="0.35">
      <c r="E201" s="3"/>
    </row>
    <row r="202" spans="5:5" x14ac:dyDescent="0.35">
      <c r="E202" s="3"/>
    </row>
    <row r="203" spans="5:5" x14ac:dyDescent="0.35">
      <c r="E203" s="3"/>
    </row>
    <row r="204" spans="5:5" x14ac:dyDescent="0.35">
      <c r="E204" s="3"/>
    </row>
    <row r="205" spans="5:5" x14ac:dyDescent="0.35">
      <c r="E205" s="3"/>
    </row>
    <row r="206" spans="5:5" x14ac:dyDescent="0.35">
      <c r="E206" s="3"/>
    </row>
    <row r="207" spans="5:5" x14ac:dyDescent="0.35">
      <c r="E207" s="3"/>
    </row>
    <row r="208" spans="5:5" x14ac:dyDescent="0.35">
      <c r="E208" s="3"/>
    </row>
    <row r="209" spans="5:5" x14ac:dyDescent="0.35">
      <c r="E209" s="3"/>
    </row>
    <row r="210" spans="5:5" x14ac:dyDescent="0.35">
      <c r="E210" s="3"/>
    </row>
    <row r="211" spans="5:5" x14ac:dyDescent="0.35">
      <c r="E211" s="3"/>
    </row>
    <row r="212" spans="5:5" x14ac:dyDescent="0.35">
      <c r="E212" s="3"/>
    </row>
    <row r="213" spans="5:5" x14ac:dyDescent="0.35">
      <c r="E213" s="3"/>
    </row>
    <row r="214" spans="5:5" x14ac:dyDescent="0.35">
      <c r="E214" s="3"/>
    </row>
    <row r="215" spans="5:5" x14ac:dyDescent="0.35">
      <c r="E215" s="3"/>
    </row>
    <row r="216" spans="5:5" x14ac:dyDescent="0.35">
      <c r="E216" s="3"/>
    </row>
    <row r="217" spans="5:5" x14ac:dyDescent="0.35">
      <c r="E217" s="3"/>
    </row>
    <row r="218" spans="5:5" x14ac:dyDescent="0.35">
      <c r="E218" s="3"/>
    </row>
    <row r="219" spans="5:5" x14ac:dyDescent="0.35">
      <c r="E219" s="3"/>
    </row>
    <row r="220" spans="5:5" x14ac:dyDescent="0.35">
      <c r="E220" s="3"/>
    </row>
    <row r="221" spans="5:5" x14ac:dyDescent="0.35">
      <c r="E221" s="3"/>
    </row>
    <row r="222" spans="5:5" x14ac:dyDescent="0.35">
      <c r="E222" s="3"/>
    </row>
    <row r="223" spans="5:5" x14ac:dyDescent="0.35">
      <c r="E223" s="3"/>
    </row>
    <row r="224" spans="5:5" x14ac:dyDescent="0.35">
      <c r="E224" s="3"/>
    </row>
    <row r="225" spans="5:5" x14ac:dyDescent="0.35">
      <c r="E225" s="3"/>
    </row>
    <row r="226" spans="5:5" x14ac:dyDescent="0.35">
      <c r="E226" s="3"/>
    </row>
    <row r="227" spans="5:5" x14ac:dyDescent="0.35">
      <c r="E227" s="3"/>
    </row>
    <row r="228" spans="5:5" x14ac:dyDescent="0.35">
      <c r="E228" s="3"/>
    </row>
    <row r="229" spans="5:5" x14ac:dyDescent="0.35">
      <c r="E229" s="3"/>
    </row>
    <row r="230" spans="5:5" x14ac:dyDescent="0.35">
      <c r="E230" s="3"/>
    </row>
    <row r="231" spans="5:5" x14ac:dyDescent="0.35">
      <c r="E231" s="3"/>
    </row>
    <row r="232" spans="5:5" x14ac:dyDescent="0.35">
      <c r="E232" s="3"/>
    </row>
    <row r="233" spans="5:5" x14ac:dyDescent="0.35">
      <c r="E233" s="3"/>
    </row>
    <row r="234" spans="5:5" x14ac:dyDescent="0.35">
      <c r="E234" s="3"/>
    </row>
    <row r="235" spans="5:5" x14ac:dyDescent="0.35">
      <c r="E235" s="3"/>
    </row>
    <row r="236" spans="5:5" x14ac:dyDescent="0.35">
      <c r="E236" s="3"/>
    </row>
    <row r="237" spans="5:5" x14ac:dyDescent="0.35">
      <c r="E237" s="3"/>
    </row>
    <row r="238" spans="5:5" x14ac:dyDescent="0.35">
      <c r="E238" s="3"/>
    </row>
    <row r="239" spans="5:5" x14ac:dyDescent="0.35">
      <c r="E239" s="3"/>
    </row>
    <row r="240" spans="5:5" x14ac:dyDescent="0.35">
      <c r="E240" s="3"/>
    </row>
    <row r="241" spans="5:5" x14ac:dyDescent="0.35">
      <c r="E241" s="3"/>
    </row>
    <row r="242" spans="5:5" x14ac:dyDescent="0.35">
      <c r="E242" s="3"/>
    </row>
    <row r="243" spans="5:5" x14ac:dyDescent="0.35">
      <c r="E243" s="3"/>
    </row>
    <row r="244" spans="5:5" x14ac:dyDescent="0.35">
      <c r="E244" s="3"/>
    </row>
    <row r="245" spans="5:5" x14ac:dyDescent="0.35">
      <c r="E245" s="3"/>
    </row>
    <row r="246" spans="5:5" x14ac:dyDescent="0.35">
      <c r="E246" s="3"/>
    </row>
    <row r="247" spans="5:5" x14ac:dyDescent="0.35">
      <c r="E247" s="3"/>
    </row>
    <row r="248" spans="5:5" x14ac:dyDescent="0.35">
      <c r="E248" s="3"/>
    </row>
    <row r="249" spans="5:5" x14ac:dyDescent="0.35">
      <c r="E249" s="3"/>
    </row>
    <row r="250" spans="5:5" x14ac:dyDescent="0.35">
      <c r="E250" s="3"/>
    </row>
    <row r="251" spans="5:5" x14ac:dyDescent="0.35">
      <c r="E251" s="3"/>
    </row>
    <row r="252" spans="5:5" x14ac:dyDescent="0.35">
      <c r="E252" s="3"/>
    </row>
    <row r="253" spans="5:5" x14ac:dyDescent="0.35">
      <c r="E253" s="3"/>
    </row>
    <row r="254" spans="5:5" x14ac:dyDescent="0.35">
      <c r="E254" s="3"/>
    </row>
    <row r="255" spans="5:5" x14ac:dyDescent="0.35">
      <c r="E255" s="3"/>
    </row>
    <row r="256" spans="5:5" x14ac:dyDescent="0.35">
      <c r="E256" s="3"/>
    </row>
    <row r="257" spans="5:5" x14ac:dyDescent="0.35">
      <c r="E257" s="3"/>
    </row>
    <row r="258" spans="5:5" x14ac:dyDescent="0.35">
      <c r="E258" s="3"/>
    </row>
    <row r="259" spans="5:5" x14ac:dyDescent="0.35">
      <c r="E259" s="3"/>
    </row>
    <row r="260" spans="5:5" x14ac:dyDescent="0.35">
      <c r="E260" s="3"/>
    </row>
    <row r="261" spans="5:5" x14ac:dyDescent="0.35">
      <c r="E261" s="3"/>
    </row>
    <row r="262" spans="5:5" x14ac:dyDescent="0.35">
      <c r="E262" s="3"/>
    </row>
    <row r="263" spans="5:5" x14ac:dyDescent="0.35">
      <c r="E263" s="3"/>
    </row>
    <row r="264" spans="5:5" x14ac:dyDescent="0.35">
      <c r="E264" s="3"/>
    </row>
    <row r="265" spans="5:5" x14ac:dyDescent="0.35">
      <c r="E265" s="3"/>
    </row>
    <row r="266" spans="5:5" x14ac:dyDescent="0.35">
      <c r="E266" s="3"/>
    </row>
    <row r="267" spans="5:5" x14ac:dyDescent="0.35">
      <c r="E267" s="3"/>
    </row>
    <row r="268" spans="5:5" x14ac:dyDescent="0.35">
      <c r="E268" s="3"/>
    </row>
    <row r="269" spans="5:5" x14ac:dyDescent="0.35">
      <c r="E269" s="3"/>
    </row>
    <row r="270" spans="5:5" x14ac:dyDescent="0.35">
      <c r="E270" s="3"/>
    </row>
    <row r="271" spans="5:5" x14ac:dyDescent="0.35">
      <c r="E271" s="3"/>
    </row>
    <row r="272" spans="5:5" x14ac:dyDescent="0.35">
      <c r="E272" s="3"/>
    </row>
    <row r="273" spans="5:5" x14ac:dyDescent="0.35">
      <c r="E273" s="3"/>
    </row>
    <row r="274" spans="5:5" x14ac:dyDescent="0.35">
      <c r="E274" s="3"/>
    </row>
    <row r="275" spans="5:5" x14ac:dyDescent="0.35">
      <c r="E275" s="3"/>
    </row>
    <row r="276" spans="5:5" x14ac:dyDescent="0.35">
      <c r="E276" s="3"/>
    </row>
    <row r="277" spans="5:5" x14ac:dyDescent="0.35">
      <c r="E277" s="3"/>
    </row>
    <row r="278" spans="5:5" x14ac:dyDescent="0.35">
      <c r="E278" s="3"/>
    </row>
    <row r="279" spans="5:5" x14ac:dyDescent="0.35">
      <c r="E279" s="3"/>
    </row>
    <row r="280" spans="5:5" x14ac:dyDescent="0.35">
      <c r="E280" s="3"/>
    </row>
    <row r="281" spans="5:5" x14ac:dyDescent="0.35">
      <c r="E281" s="3"/>
    </row>
    <row r="282" spans="5:5" x14ac:dyDescent="0.35">
      <c r="E282" s="3"/>
    </row>
    <row r="283" spans="5:5" x14ac:dyDescent="0.35">
      <c r="E283" s="3"/>
    </row>
    <row r="284" spans="5:5" x14ac:dyDescent="0.35">
      <c r="E284" s="3"/>
    </row>
    <row r="285" spans="5:5" x14ac:dyDescent="0.35">
      <c r="E285" s="3"/>
    </row>
    <row r="286" spans="5:5" x14ac:dyDescent="0.35">
      <c r="E286" s="3"/>
    </row>
    <row r="287" spans="5:5" x14ac:dyDescent="0.35">
      <c r="E287" s="3"/>
    </row>
    <row r="288" spans="5:5" x14ac:dyDescent="0.35">
      <c r="E288" s="3"/>
    </row>
    <row r="289" spans="5:5" x14ac:dyDescent="0.35">
      <c r="E289" s="3"/>
    </row>
    <row r="290" spans="5:5" x14ac:dyDescent="0.35">
      <c r="E290" s="3"/>
    </row>
    <row r="291" spans="5:5" x14ac:dyDescent="0.35">
      <c r="E291" s="3"/>
    </row>
    <row r="292" spans="5:5" x14ac:dyDescent="0.35">
      <c r="E292" s="3"/>
    </row>
    <row r="293" spans="5:5" x14ac:dyDescent="0.35">
      <c r="E293" s="3"/>
    </row>
    <row r="294" spans="5:5" x14ac:dyDescent="0.35">
      <c r="E294" s="3"/>
    </row>
    <row r="295" spans="5:5" x14ac:dyDescent="0.35">
      <c r="E295" s="3"/>
    </row>
    <row r="296" spans="5:5" x14ac:dyDescent="0.35">
      <c r="E296" s="3"/>
    </row>
    <row r="297" spans="5:5" x14ac:dyDescent="0.35">
      <c r="E297" s="3"/>
    </row>
    <row r="298" spans="5:5" x14ac:dyDescent="0.35">
      <c r="E298" s="3"/>
    </row>
    <row r="299" spans="5:5" x14ac:dyDescent="0.35">
      <c r="E299" s="3"/>
    </row>
    <row r="300" spans="5:5" x14ac:dyDescent="0.35">
      <c r="E300" s="3"/>
    </row>
    <row r="301" spans="5:5" x14ac:dyDescent="0.35">
      <c r="E301" s="3"/>
    </row>
    <row r="302" spans="5:5" x14ac:dyDescent="0.35">
      <c r="E302" s="3"/>
    </row>
    <row r="303" spans="5:5" x14ac:dyDescent="0.35">
      <c r="E303" s="3"/>
    </row>
    <row r="304" spans="5:5" x14ac:dyDescent="0.35">
      <c r="E304" s="3"/>
    </row>
    <row r="305" spans="5:5" x14ac:dyDescent="0.35">
      <c r="E305" s="3"/>
    </row>
    <row r="306" spans="5:5" x14ac:dyDescent="0.35">
      <c r="E306" s="3"/>
    </row>
    <row r="307" spans="5:5" x14ac:dyDescent="0.35">
      <c r="E307" s="3"/>
    </row>
    <row r="308" spans="5:5" x14ac:dyDescent="0.35">
      <c r="E308" s="3"/>
    </row>
    <row r="309" spans="5:5" x14ac:dyDescent="0.35">
      <c r="E309" s="3"/>
    </row>
    <row r="310" spans="5:5" x14ac:dyDescent="0.35">
      <c r="E310" s="3"/>
    </row>
    <row r="311" spans="5:5" x14ac:dyDescent="0.35">
      <c r="E311" s="3"/>
    </row>
    <row r="312" spans="5:5" x14ac:dyDescent="0.35">
      <c r="E312" s="3"/>
    </row>
    <row r="313" spans="5:5" x14ac:dyDescent="0.35">
      <c r="E313" s="3"/>
    </row>
    <row r="314" spans="5:5" x14ac:dyDescent="0.35">
      <c r="E314" s="3"/>
    </row>
    <row r="315" spans="5:5" x14ac:dyDescent="0.35">
      <c r="E315" s="3"/>
    </row>
    <row r="316" spans="5:5" x14ac:dyDescent="0.35">
      <c r="E316" s="3"/>
    </row>
    <row r="317" spans="5:5" x14ac:dyDescent="0.35">
      <c r="E317" s="3"/>
    </row>
    <row r="318" spans="5:5" x14ac:dyDescent="0.35">
      <c r="E318" s="3"/>
    </row>
    <row r="319" spans="5:5" x14ac:dyDescent="0.35">
      <c r="E319" s="3"/>
    </row>
    <row r="320" spans="5:5" x14ac:dyDescent="0.35">
      <c r="E320" s="3"/>
    </row>
    <row r="321" spans="5:5" x14ac:dyDescent="0.35">
      <c r="E321" s="3"/>
    </row>
    <row r="322" spans="5:5" x14ac:dyDescent="0.35">
      <c r="E322" s="3"/>
    </row>
    <row r="323" spans="5:5" x14ac:dyDescent="0.35">
      <c r="E323" s="3"/>
    </row>
    <row r="324" spans="5:5" x14ac:dyDescent="0.35">
      <c r="E324" s="3"/>
    </row>
    <row r="325" spans="5:5" x14ac:dyDescent="0.35">
      <c r="E325" s="3"/>
    </row>
    <row r="326" spans="5:5" x14ac:dyDescent="0.35">
      <c r="E326" s="3"/>
    </row>
    <row r="327" spans="5:5" x14ac:dyDescent="0.35">
      <c r="E327" s="3"/>
    </row>
    <row r="328" spans="5:5" x14ac:dyDescent="0.35">
      <c r="E328" s="3"/>
    </row>
    <row r="329" spans="5:5" x14ac:dyDescent="0.35">
      <c r="E329" s="3"/>
    </row>
    <row r="330" spans="5:5" x14ac:dyDescent="0.35">
      <c r="E330" s="3"/>
    </row>
    <row r="331" spans="5:5" x14ac:dyDescent="0.35">
      <c r="E331" s="3"/>
    </row>
    <row r="332" spans="5:5" x14ac:dyDescent="0.35">
      <c r="E332" s="3"/>
    </row>
    <row r="333" spans="5:5" x14ac:dyDescent="0.35">
      <c r="E333" s="3"/>
    </row>
    <row r="334" spans="5:5" x14ac:dyDescent="0.35">
      <c r="E334" s="3"/>
    </row>
    <row r="335" spans="5:5" x14ac:dyDescent="0.35">
      <c r="E335" s="3"/>
    </row>
    <row r="336" spans="5:5" x14ac:dyDescent="0.35">
      <c r="E336" s="3"/>
    </row>
    <row r="337" spans="5:5" x14ac:dyDescent="0.35">
      <c r="E337" s="3"/>
    </row>
    <row r="338" spans="5:5" x14ac:dyDescent="0.35">
      <c r="E338" s="3"/>
    </row>
    <row r="339" spans="5:5" x14ac:dyDescent="0.35">
      <c r="E339" s="3"/>
    </row>
    <row r="340" spans="5:5" x14ac:dyDescent="0.35">
      <c r="E340" s="3"/>
    </row>
    <row r="341" spans="5:5" x14ac:dyDescent="0.35">
      <c r="E341" s="3"/>
    </row>
    <row r="342" spans="5:5" x14ac:dyDescent="0.35">
      <c r="E342" s="3"/>
    </row>
    <row r="343" spans="5:5" x14ac:dyDescent="0.35">
      <c r="E343" s="3"/>
    </row>
    <row r="344" spans="5:5" x14ac:dyDescent="0.35">
      <c r="E344" s="3"/>
    </row>
    <row r="345" spans="5:5" x14ac:dyDescent="0.35">
      <c r="E345" s="3"/>
    </row>
    <row r="346" spans="5:5" x14ac:dyDescent="0.35">
      <c r="E346" s="3"/>
    </row>
    <row r="347" spans="5:5" x14ac:dyDescent="0.35">
      <c r="E347" s="3"/>
    </row>
    <row r="348" spans="5:5" x14ac:dyDescent="0.35">
      <c r="E348" s="3"/>
    </row>
    <row r="349" spans="5:5" x14ac:dyDescent="0.35">
      <c r="E349" s="3"/>
    </row>
    <row r="350" spans="5:5" x14ac:dyDescent="0.35">
      <c r="E350" s="3"/>
    </row>
    <row r="351" spans="5:5" x14ac:dyDescent="0.35">
      <c r="E351" s="3"/>
    </row>
    <row r="352" spans="5:5" x14ac:dyDescent="0.35">
      <c r="E352" s="3"/>
    </row>
    <row r="353" spans="5:5" x14ac:dyDescent="0.35">
      <c r="E353" s="3"/>
    </row>
    <row r="354" spans="5:5" x14ac:dyDescent="0.35">
      <c r="E354" s="3"/>
    </row>
    <row r="355" spans="5:5" x14ac:dyDescent="0.35">
      <c r="E355" s="3"/>
    </row>
    <row r="356" spans="5:5" x14ac:dyDescent="0.35">
      <c r="E356" s="3"/>
    </row>
    <row r="357" spans="5:5" x14ac:dyDescent="0.35">
      <c r="E357" s="3"/>
    </row>
    <row r="358" spans="5:5" x14ac:dyDescent="0.35">
      <c r="E358" s="3"/>
    </row>
    <row r="359" spans="5:5" x14ac:dyDescent="0.35">
      <c r="E359" s="3"/>
    </row>
    <row r="360" spans="5:5" x14ac:dyDescent="0.35">
      <c r="E360" s="3"/>
    </row>
    <row r="361" spans="5:5" x14ac:dyDescent="0.35">
      <c r="E361" s="3"/>
    </row>
    <row r="362" spans="5:5" x14ac:dyDescent="0.35">
      <c r="E362" s="3"/>
    </row>
    <row r="363" spans="5:5" x14ac:dyDescent="0.35">
      <c r="E363" s="3"/>
    </row>
    <row r="364" spans="5:5" x14ac:dyDescent="0.35">
      <c r="E364" s="3"/>
    </row>
    <row r="365" spans="5:5" x14ac:dyDescent="0.35">
      <c r="E365" s="3"/>
    </row>
    <row r="366" spans="5:5" x14ac:dyDescent="0.35">
      <c r="E366" s="3"/>
    </row>
    <row r="367" spans="5:5" x14ac:dyDescent="0.35">
      <c r="E367" s="3"/>
    </row>
    <row r="368" spans="5:5" x14ac:dyDescent="0.35">
      <c r="E368" s="3"/>
    </row>
    <row r="369" spans="5:5" x14ac:dyDescent="0.35">
      <c r="E369" s="3"/>
    </row>
    <row r="370" spans="5:5" x14ac:dyDescent="0.35">
      <c r="E370" s="3"/>
    </row>
    <row r="371" spans="5:5" x14ac:dyDescent="0.35">
      <c r="E371" s="3"/>
    </row>
    <row r="372" spans="5:5" x14ac:dyDescent="0.35">
      <c r="E372" s="3"/>
    </row>
    <row r="373" spans="5:5" x14ac:dyDescent="0.35">
      <c r="E373" s="3"/>
    </row>
    <row r="374" spans="5:5" x14ac:dyDescent="0.35">
      <c r="E374" s="3"/>
    </row>
    <row r="375" spans="5:5" x14ac:dyDescent="0.35">
      <c r="E375" s="3"/>
    </row>
    <row r="376" spans="5:5" x14ac:dyDescent="0.35">
      <c r="E376" s="3"/>
    </row>
    <row r="377" spans="5:5" x14ac:dyDescent="0.35">
      <c r="E377" s="3"/>
    </row>
    <row r="378" spans="5:5" x14ac:dyDescent="0.35">
      <c r="E378" s="3"/>
    </row>
    <row r="379" spans="5:5" x14ac:dyDescent="0.35">
      <c r="E379" s="3"/>
    </row>
    <row r="380" spans="5:5" x14ac:dyDescent="0.35">
      <c r="E380" s="3"/>
    </row>
    <row r="381" spans="5:5" x14ac:dyDescent="0.35">
      <c r="E381" s="3"/>
    </row>
    <row r="382" spans="5:5" x14ac:dyDescent="0.35">
      <c r="E382" s="3"/>
    </row>
    <row r="383" spans="5:5" x14ac:dyDescent="0.35">
      <c r="E383" s="3"/>
    </row>
    <row r="384" spans="5:5" x14ac:dyDescent="0.35">
      <c r="E384" s="3"/>
    </row>
    <row r="385" spans="5:5" x14ac:dyDescent="0.35">
      <c r="E385" s="3"/>
    </row>
    <row r="386" spans="5:5" x14ac:dyDescent="0.35">
      <c r="E386" s="3"/>
    </row>
    <row r="387" spans="5:5" x14ac:dyDescent="0.35">
      <c r="E387" s="3"/>
    </row>
    <row r="388" spans="5:5" x14ac:dyDescent="0.35">
      <c r="E388" s="3"/>
    </row>
    <row r="389" spans="5:5" x14ac:dyDescent="0.35">
      <c r="E389" s="3"/>
    </row>
    <row r="390" spans="5:5" x14ac:dyDescent="0.35">
      <c r="E390" s="3"/>
    </row>
    <row r="391" spans="5:5" x14ac:dyDescent="0.35">
      <c r="E391" s="3"/>
    </row>
    <row r="392" spans="5:5" x14ac:dyDescent="0.35">
      <c r="E392" s="3"/>
    </row>
    <row r="393" spans="5:5" x14ac:dyDescent="0.35">
      <c r="E393" s="3"/>
    </row>
    <row r="394" spans="5:5" x14ac:dyDescent="0.35">
      <c r="E394" s="3"/>
    </row>
    <row r="395" spans="5:5" x14ac:dyDescent="0.35">
      <c r="E395" s="3"/>
    </row>
    <row r="396" spans="5:5" x14ac:dyDescent="0.35">
      <c r="E396" s="3"/>
    </row>
    <row r="397" spans="5:5" x14ac:dyDescent="0.35">
      <c r="E397" s="3"/>
    </row>
    <row r="398" spans="5:5" x14ac:dyDescent="0.35">
      <c r="E398" s="3"/>
    </row>
    <row r="399" spans="5:5" x14ac:dyDescent="0.35">
      <c r="E399" s="3"/>
    </row>
    <row r="400" spans="5:5" x14ac:dyDescent="0.35">
      <c r="E400" s="3"/>
    </row>
    <row r="401" spans="5:5" x14ac:dyDescent="0.35">
      <c r="E401" s="3"/>
    </row>
    <row r="402" spans="5:5" x14ac:dyDescent="0.35">
      <c r="E402" s="3"/>
    </row>
    <row r="403" spans="5:5" x14ac:dyDescent="0.35">
      <c r="E403" s="3"/>
    </row>
    <row r="404" spans="5:5" x14ac:dyDescent="0.35">
      <c r="E404" s="3"/>
    </row>
    <row r="405" spans="5:5" x14ac:dyDescent="0.35">
      <c r="E405" s="3"/>
    </row>
    <row r="406" spans="5:5" x14ac:dyDescent="0.35">
      <c r="E406" s="3"/>
    </row>
    <row r="407" spans="5:5" x14ac:dyDescent="0.35">
      <c r="E407" s="3"/>
    </row>
    <row r="408" spans="5:5" x14ac:dyDescent="0.35">
      <c r="E408" s="3"/>
    </row>
    <row r="409" spans="5:5" x14ac:dyDescent="0.35">
      <c r="E409" s="3"/>
    </row>
    <row r="410" spans="5:5" x14ac:dyDescent="0.35">
      <c r="E410" s="3"/>
    </row>
    <row r="411" spans="5:5" x14ac:dyDescent="0.35">
      <c r="E411" s="3"/>
    </row>
    <row r="412" spans="5:5" x14ac:dyDescent="0.35">
      <c r="E412" s="3"/>
    </row>
    <row r="413" spans="5:5" x14ac:dyDescent="0.35">
      <c r="E413" s="3"/>
    </row>
    <row r="414" spans="5:5" x14ac:dyDescent="0.35">
      <c r="E414" s="3"/>
    </row>
    <row r="415" spans="5:5" x14ac:dyDescent="0.35">
      <c r="E415" s="3"/>
    </row>
    <row r="416" spans="5:5" x14ac:dyDescent="0.35">
      <c r="E416" s="3"/>
    </row>
    <row r="417" spans="5:5" x14ac:dyDescent="0.35">
      <c r="E417" s="3"/>
    </row>
    <row r="418" spans="5:5" x14ac:dyDescent="0.35">
      <c r="E418" s="3"/>
    </row>
    <row r="419" spans="5:5" x14ac:dyDescent="0.35">
      <c r="E419" s="3"/>
    </row>
    <row r="420" spans="5:5" x14ac:dyDescent="0.35">
      <c r="E420" s="3"/>
    </row>
    <row r="421" spans="5:5" x14ac:dyDescent="0.35">
      <c r="E421" s="3"/>
    </row>
    <row r="422" spans="5:5" x14ac:dyDescent="0.35">
      <c r="E422" s="3"/>
    </row>
    <row r="423" spans="5:5" x14ac:dyDescent="0.35">
      <c r="E423" s="3"/>
    </row>
    <row r="424" spans="5:5" x14ac:dyDescent="0.35">
      <c r="E424" s="3"/>
    </row>
    <row r="425" spans="5:5" x14ac:dyDescent="0.35">
      <c r="E425" s="3"/>
    </row>
    <row r="426" spans="5:5" x14ac:dyDescent="0.35">
      <c r="E426" s="3"/>
    </row>
    <row r="427" spans="5:5" x14ac:dyDescent="0.35">
      <c r="E427" s="3"/>
    </row>
    <row r="428" spans="5:5" x14ac:dyDescent="0.35">
      <c r="E428" s="3"/>
    </row>
    <row r="429" spans="5:5" x14ac:dyDescent="0.35">
      <c r="E429" s="3"/>
    </row>
    <row r="430" spans="5:5" x14ac:dyDescent="0.35">
      <c r="E430" s="3"/>
    </row>
    <row r="431" spans="5:5" x14ac:dyDescent="0.35">
      <c r="E431" s="3"/>
    </row>
    <row r="432" spans="5:5" x14ac:dyDescent="0.35">
      <c r="E432" s="3"/>
    </row>
    <row r="433" spans="5:5" x14ac:dyDescent="0.35">
      <c r="E433" s="3"/>
    </row>
    <row r="434" spans="5:5" x14ac:dyDescent="0.35">
      <c r="E434" s="3"/>
    </row>
    <row r="435" spans="5:5" x14ac:dyDescent="0.35">
      <c r="E435" s="3"/>
    </row>
    <row r="436" spans="5:5" x14ac:dyDescent="0.35">
      <c r="E436" s="3"/>
    </row>
    <row r="437" spans="5:5" x14ac:dyDescent="0.35">
      <c r="E437" s="3"/>
    </row>
    <row r="438" spans="5:5" x14ac:dyDescent="0.35">
      <c r="E438" s="3"/>
    </row>
    <row r="439" spans="5:5" x14ac:dyDescent="0.35">
      <c r="E439" s="3"/>
    </row>
    <row r="440" spans="5:5" x14ac:dyDescent="0.35">
      <c r="E440" s="3"/>
    </row>
    <row r="441" spans="5:5" x14ac:dyDescent="0.35">
      <c r="E441" s="3"/>
    </row>
    <row r="442" spans="5:5" x14ac:dyDescent="0.35">
      <c r="E442" s="3"/>
    </row>
    <row r="443" spans="5:5" x14ac:dyDescent="0.35">
      <c r="E443" s="3"/>
    </row>
    <row r="444" spans="5:5" x14ac:dyDescent="0.35">
      <c r="E444" s="3"/>
    </row>
    <row r="445" spans="5:5" x14ac:dyDescent="0.35">
      <c r="E445" s="3"/>
    </row>
    <row r="446" spans="5:5" x14ac:dyDescent="0.35">
      <c r="E446" s="3"/>
    </row>
    <row r="447" spans="5:5" x14ac:dyDescent="0.35">
      <c r="E447" s="3"/>
    </row>
    <row r="448" spans="5:5" x14ac:dyDescent="0.35">
      <c r="E448" s="3"/>
    </row>
    <row r="449" spans="5:5" x14ac:dyDescent="0.35">
      <c r="E449" s="3"/>
    </row>
    <row r="450" spans="5:5" x14ac:dyDescent="0.35">
      <c r="E450" s="3"/>
    </row>
    <row r="451" spans="5:5" x14ac:dyDescent="0.35">
      <c r="E451" s="3"/>
    </row>
    <row r="452" spans="5:5" x14ac:dyDescent="0.35">
      <c r="E452" s="3"/>
    </row>
    <row r="453" spans="5:5" x14ac:dyDescent="0.35">
      <c r="E453" s="3"/>
    </row>
    <row r="454" spans="5:5" x14ac:dyDescent="0.35">
      <c r="E454" s="3"/>
    </row>
    <row r="455" spans="5:5" x14ac:dyDescent="0.35">
      <c r="E455" s="3"/>
    </row>
    <row r="456" spans="5:5" x14ac:dyDescent="0.35">
      <c r="E456" s="3"/>
    </row>
    <row r="457" spans="5:5" x14ac:dyDescent="0.35">
      <c r="E457" s="3"/>
    </row>
    <row r="458" spans="5:5" x14ac:dyDescent="0.35">
      <c r="E458" s="3"/>
    </row>
    <row r="459" spans="5:5" x14ac:dyDescent="0.35">
      <c r="E459" s="3"/>
    </row>
    <row r="460" spans="5:5" x14ac:dyDescent="0.35">
      <c r="E460" s="3"/>
    </row>
    <row r="461" spans="5:5" x14ac:dyDescent="0.35">
      <c r="E461" s="3"/>
    </row>
    <row r="462" spans="5:5" x14ac:dyDescent="0.35">
      <c r="E462" s="3"/>
    </row>
    <row r="463" spans="5:5" x14ac:dyDescent="0.35">
      <c r="E463" s="3"/>
    </row>
    <row r="464" spans="5:5" x14ac:dyDescent="0.35">
      <c r="E464" s="3"/>
    </row>
    <row r="465" spans="5:5" x14ac:dyDescent="0.35">
      <c r="E465" s="3"/>
    </row>
    <row r="466" spans="5:5" x14ac:dyDescent="0.35">
      <c r="E466" s="3"/>
    </row>
    <row r="467" spans="5:5" x14ac:dyDescent="0.35">
      <c r="E467" s="3"/>
    </row>
    <row r="468" spans="5:5" x14ac:dyDescent="0.35">
      <c r="E468" s="3"/>
    </row>
    <row r="469" spans="5:5" x14ac:dyDescent="0.35">
      <c r="E469" s="3"/>
    </row>
    <row r="470" spans="5:5" x14ac:dyDescent="0.35">
      <c r="E470" s="3"/>
    </row>
    <row r="471" spans="5:5" x14ac:dyDescent="0.35">
      <c r="E471" s="3"/>
    </row>
    <row r="472" spans="5:5" x14ac:dyDescent="0.35">
      <c r="E472" s="3"/>
    </row>
    <row r="473" spans="5:5" x14ac:dyDescent="0.35">
      <c r="E473" s="3"/>
    </row>
    <row r="474" spans="5:5" x14ac:dyDescent="0.35">
      <c r="E474" s="3"/>
    </row>
    <row r="475" spans="5:5" x14ac:dyDescent="0.35">
      <c r="E475" s="3"/>
    </row>
    <row r="476" spans="5:5" x14ac:dyDescent="0.35">
      <c r="E476" s="3"/>
    </row>
    <row r="477" spans="5:5" x14ac:dyDescent="0.35">
      <c r="E477" s="3"/>
    </row>
    <row r="478" spans="5:5" x14ac:dyDescent="0.35">
      <c r="E478" s="3"/>
    </row>
    <row r="479" spans="5:5" x14ac:dyDescent="0.35">
      <c r="E479" s="3"/>
    </row>
    <row r="480" spans="5:5" x14ac:dyDescent="0.35">
      <c r="E480" s="3"/>
    </row>
    <row r="481" spans="5:5" x14ac:dyDescent="0.35">
      <c r="E481" s="3"/>
    </row>
    <row r="482" spans="5:5" x14ac:dyDescent="0.35">
      <c r="E482" s="3"/>
    </row>
    <row r="483" spans="5:5" x14ac:dyDescent="0.35">
      <c r="E483" s="3"/>
    </row>
    <row r="484" spans="5:5" x14ac:dyDescent="0.35">
      <c r="E484" s="3"/>
    </row>
    <row r="485" spans="5:5" x14ac:dyDescent="0.35">
      <c r="E485" s="3"/>
    </row>
    <row r="486" spans="5:5" x14ac:dyDescent="0.35">
      <c r="E486" s="3"/>
    </row>
    <row r="487" spans="5:5" x14ac:dyDescent="0.35">
      <c r="E487" s="3"/>
    </row>
    <row r="488" spans="5:5" x14ac:dyDescent="0.35">
      <c r="E488" s="3"/>
    </row>
    <row r="489" spans="5:5" x14ac:dyDescent="0.35">
      <c r="E489" s="3"/>
    </row>
    <row r="490" spans="5:5" x14ac:dyDescent="0.35">
      <c r="E490" s="3"/>
    </row>
    <row r="491" spans="5:5" x14ac:dyDescent="0.35">
      <c r="E491" s="3"/>
    </row>
    <row r="492" spans="5:5" x14ac:dyDescent="0.35">
      <c r="E492" s="3"/>
    </row>
    <row r="493" spans="5:5" x14ac:dyDescent="0.35">
      <c r="E493" s="3"/>
    </row>
    <row r="494" spans="5:5" x14ac:dyDescent="0.35">
      <c r="E494" s="3"/>
    </row>
    <row r="495" spans="5:5" x14ac:dyDescent="0.35">
      <c r="E495" s="3"/>
    </row>
    <row r="496" spans="5:5" x14ac:dyDescent="0.35">
      <c r="E496" s="3"/>
    </row>
    <row r="497" spans="5:5" x14ac:dyDescent="0.35">
      <c r="E497" s="3"/>
    </row>
    <row r="498" spans="5:5" x14ac:dyDescent="0.35">
      <c r="E498" s="3"/>
    </row>
    <row r="499" spans="5:5" x14ac:dyDescent="0.35">
      <c r="E499" s="3"/>
    </row>
    <row r="500" spans="5:5" x14ac:dyDescent="0.35">
      <c r="E500" s="3"/>
    </row>
    <row r="501" spans="5:5" x14ac:dyDescent="0.35">
      <c r="E501" s="3"/>
    </row>
    <row r="502" spans="5:5" x14ac:dyDescent="0.35">
      <c r="E502" s="3"/>
    </row>
    <row r="503" spans="5:5" x14ac:dyDescent="0.35">
      <c r="E503" s="3"/>
    </row>
    <row r="504" spans="5:5" x14ac:dyDescent="0.35">
      <c r="E504" s="3"/>
    </row>
    <row r="505" spans="5:5" x14ac:dyDescent="0.35">
      <c r="E505" s="3"/>
    </row>
    <row r="506" spans="5:5" x14ac:dyDescent="0.35">
      <c r="E506" s="3"/>
    </row>
    <row r="507" spans="5:5" x14ac:dyDescent="0.35">
      <c r="E507" s="3"/>
    </row>
    <row r="508" spans="5:5" x14ac:dyDescent="0.35">
      <c r="E508" s="3"/>
    </row>
    <row r="509" spans="5:5" x14ac:dyDescent="0.35">
      <c r="E509" s="3"/>
    </row>
    <row r="510" spans="5:5" x14ac:dyDescent="0.35">
      <c r="E510" s="3"/>
    </row>
    <row r="511" spans="5:5" x14ac:dyDescent="0.35">
      <c r="E511" s="3"/>
    </row>
    <row r="512" spans="5:5" x14ac:dyDescent="0.35">
      <c r="E512" s="3"/>
    </row>
    <row r="513" spans="5:5" x14ac:dyDescent="0.35">
      <c r="E513" s="3"/>
    </row>
    <row r="514" spans="5:5" x14ac:dyDescent="0.35">
      <c r="E514" s="3"/>
    </row>
    <row r="515" spans="5:5" x14ac:dyDescent="0.35">
      <c r="E515" s="3"/>
    </row>
    <row r="516" spans="5:5" x14ac:dyDescent="0.35">
      <c r="E516" s="3"/>
    </row>
    <row r="517" spans="5:5" x14ac:dyDescent="0.35">
      <c r="E517" s="3"/>
    </row>
    <row r="518" spans="5:5" x14ac:dyDescent="0.35">
      <c r="E518" s="3"/>
    </row>
    <row r="519" spans="5:5" x14ac:dyDescent="0.35">
      <c r="E519" s="3"/>
    </row>
    <row r="520" spans="5:5" x14ac:dyDescent="0.35">
      <c r="E520" s="3"/>
    </row>
    <row r="521" spans="5:5" x14ac:dyDescent="0.35">
      <c r="E521" s="3"/>
    </row>
    <row r="522" spans="5:5" x14ac:dyDescent="0.35">
      <c r="E522" s="3"/>
    </row>
    <row r="523" spans="5:5" x14ac:dyDescent="0.35">
      <c r="E523" s="3"/>
    </row>
    <row r="524" spans="5:5" x14ac:dyDescent="0.35">
      <c r="E524" s="3"/>
    </row>
    <row r="525" spans="5:5" x14ac:dyDescent="0.35">
      <c r="E525" s="3"/>
    </row>
    <row r="526" spans="5:5" x14ac:dyDescent="0.35">
      <c r="E526" s="3"/>
    </row>
    <row r="527" spans="5:5" x14ac:dyDescent="0.35">
      <c r="E527" s="3"/>
    </row>
    <row r="528" spans="5:5" x14ac:dyDescent="0.35">
      <c r="E528" s="3"/>
    </row>
    <row r="529" spans="5:5" x14ac:dyDescent="0.35">
      <c r="E529" s="3"/>
    </row>
    <row r="530" spans="5:5" x14ac:dyDescent="0.35">
      <c r="E530" s="3"/>
    </row>
    <row r="531" spans="5:5" x14ac:dyDescent="0.35">
      <c r="E531" s="3"/>
    </row>
    <row r="532" spans="5:5" x14ac:dyDescent="0.35">
      <c r="E532" s="3"/>
    </row>
    <row r="533" spans="5:5" x14ac:dyDescent="0.35">
      <c r="E533" s="3"/>
    </row>
    <row r="534" spans="5:5" x14ac:dyDescent="0.35">
      <c r="E534" s="3"/>
    </row>
    <row r="535" spans="5:5" x14ac:dyDescent="0.35">
      <c r="E535" s="3"/>
    </row>
    <row r="536" spans="5:5" x14ac:dyDescent="0.35">
      <c r="E536" s="3"/>
    </row>
    <row r="537" spans="5:5" x14ac:dyDescent="0.35">
      <c r="E537" s="3"/>
    </row>
    <row r="538" spans="5:5" x14ac:dyDescent="0.35">
      <c r="E538" s="3"/>
    </row>
    <row r="539" spans="5:5" x14ac:dyDescent="0.35">
      <c r="E539" s="3"/>
    </row>
    <row r="540" spans="5:5" x14ac:dyDescent="0.35">
      <c r="E540" s="3"/>
    </row>
    <row r="541" spans="5:5" x14ac:dyDescent="0.35">
      <c r="E541" s="3"/>
    </row>
    <row r="542" spans="5:5" x14ac:dyDescent="0.35">
      <c r="E542" s="3"/>
    </row>
    <row r="543" spans="5:5" x14ac:dyDescent="0.35">
      <c r="E543" s="3"/>
    </row>
    <row r="544" spans="5:5" x14ac:dyDescent="0.35">
      <c r="E544" s="3"/>
    </row>
    <row r="545" spans="5:5" x14ac:dyDescent="0.35">
      <c r="E545" s="3"/>
    </row>
    <row r="546" spans="5:5" x14ac:dyDescent="0.35">
      <c r="E546" s="3"/>
    </row>
    <row r="547" spans="5:5" x14ac:dyDescent="0.35">
      <c r="E547" s="3"/>
    </row>
    <row r="548" spans="5:5" x14ac:dyDescent="0.35">
      <c r="E548" s="3"/>
    </row>
    <row r="549" spans="5:5" x14ac:dyDescent="0.35">
      <c r="E549" s="3"/>
    </row>
    <row r="550" spans="5:5" x14ac:dyDescent="0.35">
      <c r="E550" s="3"/>
    </row>
    <row r="551" spans="5:5" x14ac:dyDescent="0.35">
      <c r="E551" s="3"/>
    </row>
    <row r="552" spans="5:5" x14ac:dyDescent="0.35">
      <c r="E552" s="3"/>
    </row>
    <row r="553" spans="5:5" x14ac:dyDescent="0.35">
      <c r="E553" s="3"/>
    </row>
    <row r="554" spans="5:5" x14ac:dyDescent="0.35">
      <c r="E554" s="3"/>
    </row>
    <row r="555" spans="5:5" x14ac:dyDescent="0.35">
      <c r="E555" s="3"/>
    </row>
    <row r="556" spans="5:5" x14ac:dyDescent="0.35">
      <c r="E556" s="3"/>
    </row>
    <row r="557" spans="5:5" x14ac:dyDescent="0.35">
      <c r="E557" s="3"/>
    </row>
    <row r="558" spans="5:5" x14ac:dyDescent="0.35">
      <c r="E558" s="3"/>
    </row>
    <row r="559" spans="5:5" x14ac:dyDescent="0.35">
      <c r="E559" s="3"/>
    </row>
    <row r="560" spans="5:5" x14ac:dyDescent="0.35">
      <c r="E560" s="3"/>
    </row>
    <row r="561" spans="5:5" x14ac:dyDescent="0.35">
      <c r="E561" s="3"/>
    </row>
    <row r="562" spans="5:5" x14ac:dyDescent="0.35">
      <c r="E562" s="3"/>
    </row>
    <row r="563" spans="5:5" x14ac:dyDescent="0.35">
      <c r="E563" s="3"/>
    </row>
    <row r="564" spans="5:5" x14ac:dyDescent="0.35">
      <c r="E564" s="3"/>
    </row>
    <row r="565" spans="5:5" x14ac:dyDescent="0.35">
      <c r="E565" s="3"/>
    </row>
    <row r="566" spans="5:5" x14ac:dyDescent="0.35">
      <c r="E566" s="3"/>
    </row>
    <row r="567" spans="5:5" x14ac:dyDescent="0.35">
      <c r="E567" s="3"/>
    </row>
    <row r="568" spans="5:5" x14ac:dyDescent="0.35">
      <c r="E568" s="3"/>
    </row>
    <row r="569" spans="5:5" x14ac:dyDescent="0.35">
      <c r="E569" s="3"/>
    </row>
    <row r="570" spans="5:5" x14ac:dyDescent="0.35">
      <c r="E570" s="3"/>
    </row>
    <row r="571" spans="5:5" x14ac:dyDescent="0.35">
      <c r="E571" s="3"/>
    </row>
    <row r="572" spans="5:5" x14ac:dyDescent="0.35">
      <c r="E572" s="3"/>
    </row>
    <row r="573" spans="5:5" x14ac:dyDescent="0.35">
      <c r="E573" s="3"/>
    </row>
    <row r="574" spans="5:5" x14ac:dyDescent="0.35">
      <c r="E574" s="3"/>
    </row>
    <row r="575" spans="5:5" x14ac:dyDescent="0.35">
      <c r="E575" s="3"/>
    </row>
    <row r="576" spans="5:5" x14ac:dyDescent="0.35">
      <c r="E576" s="3"/>
    </row>
    <row r="577" spans="5:5" x14ac:dyDescent="0.35">
      <c r="E577" s="3"/>
    </row>
    <row r="578" spans="5:5" x14ac:dyDescent="0.35">
      <c r="E578" s="3"/>
    </row>
    <row r="579" spans="5:5" x14ac:dyDescent="0.35">
      <c r="E579" s="3"/>
    </row>
    <row r="580" spans="5:5" x14ac:dyDescent="0.35">
      <c r="E580" s="3"/>
    </row>
    <row r="581" spans="5:5" x14ac:dyDescent="0.35">
      <c r="E581" s="3"/>
    </row>
    <row r="582" spans="5:5" x14ac:dyDescent="0.35">
      <c r="E582" s="3"/>
    </row>
    <row r="583" spans="5:5" x14ac:dyDescent="0.35">
      <c r="E583" s="3"/>
    </row>
    <row r="584" spans="5:5" x14ac:dyDescent="0.35">
      <c r="E584" s="3"/>
    </row>
    <row r="585" spans="5:5" x14ac:dyDescent="0.35">
      <c r="E585" s="3"/>
    </row>
    <row r="586" spans="5:5" x14ac:dyDescent="0.35">
      <c r="E586" s="3"/>
    </row>
    <row r="587" spans="5:5" x14ac:dyDescent="0.35">
      <c r="E587" s="3"/>
    </row>
    <row r="588" spans="5:5" x14ac:dyDescent="0.35">
      <c r="E588" s="3"/>
    </row>
    <row r="589" spans="5:5" x14ac:dyDescent="0.35">
      <c r="E589" s="3"/>
    </row>
    <row r="590" spans="5:5" x14ac:dyDescent="0.35">
      <c r="E590" s="3"/>
    </row>
    <row r="591" spans="5:5" x14ac:dyDescent="0.35">
      <c r="E591" s="3"/>
    </row>
    <row r="592" spans="5:5" x14ac:dyDescent="0.35">
      <c r="E592" s="3"/>
    </row>
    <row r="593" spans="5:5" x14ac:dyDescent="0.35">
      <c r="E593" s="3"/>
    </row>
    <row r="594" spans="5:5" x14ac:dyDescent="0.35">
      <c r="E594" s="3"/>
    </row>
    <row r="595" spans="5:5" x14ac:dyDescent="0.35">
      <c r="E595" s="3"/>
    </row>
    <row r="596" spans="5:5" x14ac:dyDescent="0.35">
      <c r="E596" s="3"/>
    </row>
    <row r="597" spans="5:5" x14ac:dyDescent="0.35">
      <c r="E597" s="3"/>
    </row>
    <row r="598" spans="5:5" x14ac:dyDescent="0.35">
      <c r="E598" s="3"/>
    </row>
    <row r="599" spans="5:5" x14ac:dyDescent="0.35">
      <c r="E599" s="3"/>
    </row>
    <row r="600" spans="5:5" x14ac:dyDescent="0.35">
      <c r="E600" s="3"/>
    </row>
    <row r="601" spans="5:5" x14ac:dyDescent="0.35">
      <c r="E601" s="3"/>
    </row>
    <row r="602" spans="5:5" x14ac:dyDescent="0.35">
      <c r="E602" s="3"/>
    </row>
    <row r="603" spans="5:5" x14ac:dyDescent="0.35">
      <c r="E603" s="3"/>
    </row>
    <row r="604" spans="5:5" x14ac:dyDescent="0.35">
      <c r="E604" s="3"/>
    </row>
    <row r="605" spans="5:5" x14ac:dyDescent="0.35">
      <c r="E605" s="3"/>
    </row>
    <row r="606" spans="5:5" x14ac:dyDescent="0.35">
      <c r="E606" s="3"/>
    </row>
    <row r="607" spans="5:5" x14ac:dyDescent="0.35">
      <c r="E607" s="3"/>
    </row>
    <row r="608" spans="5:5" x14ac:dyDescent="0.35">
      <c r="E608" s="3"/>
    </row>
    <row r="609" spans="5:5" x14ac:dyDescent="0.35">
      <c r="E609" s="3"/>
    </row>
    <row r="610" spans="5:5" x14ac:dyDescent="0.35">
      <c r="E610" s="3"/>
    </row>
    <row r="611" spans="5:5" x14ac:dyDescent="0.35">
      <c r="E611" s="3"/>
    </row>
    <row r="612" spans="5:5" x14ac:dyDescent="0.35">
      <c r="E612" s="3"/>
    </row>
    <row r="613" spans="5:5" x14ac:dyDescent="0.35">
      <c r="E613" s="3"/>
    </row>
    <row r="614" spans="5:5" x14ac:dyDescent="0.35">
      <c r="E614" s="3"/>
    </row>
    <row r="615" spans="5:5" x14ac:dyDescent="0.35">
      <c r="E615" s="3"/>
    </row>
    <row r="616" spans="5:5" x14ac:dyDescent="0.35">
      <c r="E616" s="3"/>
    </row>
    <row r="617" spans="5:5" x14ac:dyDescent="0.35">
      <c r="E617" s="3"/>
    </row>
    <row r="618" spans="5:5" x14ac:dyDescent="0.35">
      <c r="E618" s="3"/>
    </row>
    <row r="619" spans="5:5" x14ac:dyDescent="0.35">
      <c r="E619" s="3"/>
    </row>
    <row r="620" spans="5:5" x14ac:dyDescent="0.35">
      <c r="E620" s="3"/>
    </row>
    <row r="621" spans="5:5" x14ac:dyDescent="0.35">
      <c r="E621" s="3"/>
    </row>
    <row r="622" spans="5:5" x14ac:dyDescent="0.35">
      <c r="E622" s="3"/>
    </row>
    <row r="623" spans="5:5" x14ac:dyDescent="0.35">
      <c r="E623" s="3"/>
    </row>
    <row r="624" spans="5:5" x14ac:dyDescent="0.35">
      <c r="E624" s="3"/>
    </row>
    <row r="625" spans="5:5" x14ac:dyDescent="0.35">
      <c r="E625" s="3"/>
    </row>
    <row r="626" spans="5:5" x14ac:dyDescent="0.35">
      <c r="E626" s="3"/>
    </row>
    <row r="627" spans="5:5" x14ac:dyDescent="0.35">
      <c r="E627" s="3"/>
    </row>
    <row r="628" spans="5:5" x14ac:dyDescent="0.35">
      <c r="E628" s="3"/>
    </row>
    <row r="629" spans="5:5" x14ac:dyDescent="0.35">
      <c r="E629" s="3"/>
    </row>
    <row r="630" spans="5:5" x14ac:dyDescent="0.35">
      <c r="E630" s="3"/>
    </row>
    <row r="631" spans="5:5" x14ac:dyDescent="0.35">
      <c r="E631" s="3"/>
    </row>
    <row r="632" spans="5:5" x14ac:dyDescent="0.35">
      <c r="E632" s="3"/>
    </row>
    <row r="633" spans="5:5" x14ac:dyDescent="0.35">
      <c r="E633" s="3"/>
    </row>
    <row r="634" spans="5:5" x14ac:dyDescent="0.35">
      <c r="E634" s="3"/>
    </row>
    <row r="635" spans="5:5" x14ac:dyDescent="0.35">
      <c r="E635" s="3"/>
    </row>
    <row r="636" spans="5:5" x14ac:dyDescent="0.35">
      <c r="E636" s="3"/>
    </row>
    <row r="637" spans="5:5" x14ac:dyDescent="0.35">
      <c r="E637" s="3"/>
    </row>
    <row r="638" spans="5:5" x14ac:dyDescent="0.35">
      <c r="E638" s="3"/>
    </row>
    <row r="639" spans="5:5" x14ac:dyDescent="0.35">
      <c r="E639" s="3"/>
    </row>
    <row r="640" spans="5:5" x14ac:dyDescent="0.35">
      <c r="E640" s="3"/>
    </row>
    <row r="641" spans="5:5" x14ac:dyDescent="0.35">
      <c r="E641" s="3"/>
    </row>
    <row r="642" spans="5:5" x14ac:dyDescent="0.35">
      <c r="E642" s="3"/>
    </row>
    <row r="643" spans="5:5" x14ac:dyDescent="0.35">
      <c r="E643" s="3"/>
    </row>
    <row r="644" spans="5:5" x14ac:dyDescent="0.35">
      <c r="E644" s="3"/>
    </row>
    <row r="645" spans="5:5" x14ac:dyDescent="0.35">
      <c r="E645" s="3"/>
    </row>
    <row r="646" spans="5:5" x14ac:dyDescent="0.35">
      <c r="E646" s="3"/>
    </row>
    <row r="647" spans="5:5" x14ac:dyDescent="0.35">
      <c r="E647" s="3"/>
    </row>
    <row r="648" spans="5:5" x14ac:dyDescent="0.35">
      <c r="E648" s="3"/>
    </row>
    <row r="649" spans="5:5" x14ac:dyDescent="0.35">
      <c r="E649" s="3"/>
    </row>
    <row r="650" spans="5:5" x14ac:dyDescent="0.35">
      <c r="E650" s="3"/>
    </row>
    <row r="651" spans="5:5" x14ac:dyDescent="0.35">
      <c r="E651" s="3"/>
    </row>
    <row r="652" spans="5:5" x14ac:dyDescent="0.35">
      <c r="E652" s="3"/>
    </row>
    <row r="653" spans="5:5" x14ac:dyDescent="0.35">
      <c r="E653" s="3"/>
    </row>
    <row r="654" spans="5:5" x14ac:dyDescent="0.35">
      <c r="E654" s="3"/>
    </row>
    <row r="655" spans="5:5" x14ac:dyDescent="0.35">
      <c r="E655" s="3"/>
    </row>
    <row r="656" spans="5:5" x14ac:dyDescent="0.35">
      <c r="E656" s="3"/>
    </row>
    <row r="657" spans="5:5" x14ac:dyDescent="0.35">
      <c r="E657" s="3"/>
    </row>
    <row r="658" spans="5:5" x14ac:dyDescent="0.35">
      <c r="E658" s="3"/>
    </row>
    <row r="659" spans="5:5" x14ac:dyDescent="0.35">
      <c r="E659" s="3"/>
    </row>
    <row r="660" spans="5:5" x14ac:dyDescent="0.35">
      <c r="E660" s="3"/>
    </row>
    <row r="661" spans="5:5" x14ac:dyDescent="0.35">
      <c r="E661" s="3"/>
    </row>
    <row r="662" spans="5:5" x14ac:dyDescent="0.35">
      <c r="E662" s="3"/>
    </row>
    <row r="663" spans="5:5" x14ac:dyDescent="0.35">
      <c r="E663" s="3"/>
    </row>
    <row r="664" spans="5:5" x14ac:dyDescent="0.35">
      <c r="E664" s="3"/>
    </row>
    <row r="665" spans="5:5" x14ac:dyDescent="0.35">
      <c r="E665" s="3"/>
    </row>
    <row r="666" spans="5:5" x14ac:dyDescent="0.35">
      <c r="E666" s="3"/>
    </row>
    <row r="667" spans="5:5" x14ac:dyDescent="0.35">
      <c r="E667" s="3"/>
    </row>
    <row r="668" spans="5:5" x14ac:dyDescent="0.35">
      <c r="E668" s="3"/>
    </row>
    <row r="669" spans="5:5" x14ac:dyDescent="0.35">
      <c r="E669" s="3"/>
    </row>
    <row r="670" spans="5:5" x14ac:dyDescent="0.35">
      <c r="E670" s="3"/>
    </row>
    <row r="671" spans="5:5" x14ac:dyDescent="0.35">
      <c r="E671" s="3"/>
    </row>
    <row r="672" spans="5:5" x14ac:dyDescent="0.35">
      <c r="E672" s="3"/>
    </row>
    <row r="673" spans="5:5" x14ac:dyDescent="0.35">
      <c r="E673" s="3"/>
    </row>
    <row r="674" spans="5:5" x14ac:dyDescent="0.35">
      <c r="E674" s="3"/>
    </row>
    <row r="675" spans="5:5" x14ac:dyDescent="0.35">
      <c r="E675" s="3"/>
    </row>
    <row r="676" spans="5:5" x14ac:dyDescent="0.35">
      <c r="E676" s="3"/>
    </row>
    <row r="677" spans="5:5" x14ac:dyDescent="0.35">
      <c r="E677" s="3"/>
    </row>
    <row r="678" spans="5:5" x14ac:dyDescent="0.35">
      <c r="E678" s="3"/>
    </row>
    <row r="679" spans="5:5" x14ac:dyDescent="0.35">
      <c r="E679" s="3"/>
    </row>
    <row r="680" spans="5:5" x14ac:dyDescent="0.35">
      <c r="E680" s="3"/>
    </row>
    <row r="681" spans="5:5" x14ac:dyDescent="0.35">
      <c r="E681" s="3"/>
    </row>
    <row r="682" spans="5:5" x14ac:dyDescent="0.35">
      <c r="E682" s="3"/>
    </row>
    <row r="683" spans="5:5" x14ac:dyDescent="0.35">
      <c r="E683" s="3"/>
    </row>
    <row r="684" spans="5:5" x14ac:dyDescent="0.35">
      <c r="E684" s="3"/>
    </row>
    <row r="685" spans="5:5" x14ac:dyDescent="0.35">
      <c r="E685" s="3"/>
    </row>
    <row r="686" spans="5:5" x14ac:dyDescent="0.35">
      <c r="E686" s="3"/>
    </row>
    <row r="687" spans="5:5" x14ac:dyDescent="0.35">
      <c r="E687" s="3"/>
    </row>
    <row r="688" spans="5:5" x14ac:dyDescent="0.35">
      <c r="E688" s="3"/>
    </row>
    <row r="689" spans="5:5" x14ac:dyDescent="0.35">
      <c r="E689" s="3"/>
    </row>
    <row r="690" spans="5:5" x14ac:dyDescent="0.35">
      <c r="E690" s="3"/>
    </row>
    <row r="691" spans="5:5" x14ac:dyDescent="0.35">
      <c r="E691" s="3"/>
    </row>
    <row r="692" spans="5:5" x14ac:dyDescent="0.35">
      <c r="E692" s="3"/>
    </row>
    <row r="693" spans="5:5" x14ac:dyDescent="0.35">
      <c r="E693" s="3"/>
    </row>
    <row r="694" spans="5:5" x14ac:dyDescent="0.35">
      <c r="E694" s="3"/>
    </row>
    <row r="695" spans="5:5" x14ac:dyDescent="0.35">
      <c r="E695" s="3"/>
    </row>
    <row r="696" spans="5:5" x14ac:dyDescent="0.35">
      <c r="E696" s="3"/>
    </row>
    <row r="697" spans="5:5" x14ac:dyDescent="0.35">
      <c r="E697" s="3"/>
    </row>
    <row r="698" spans="5:5" x14ac:dyDescent="0.35">
      <c r="E698" s="3"/>
    </row>
    <row r="699" spans="5:5" x14ac:dyDescent="0.35">
      <c r="E699" s="3"/>
    </row>
    <row r="700" spans="5:5" x14ac:dyDescent="0.35">
      <c r="E700" s="3"/>
    </row>
    <row r="701" spans="5:5" x14ac:dyDescent="0.35">
      <c r="E701" s="3"/>
    </row>
    <row r="702" spans="5:5" x14ac:dyDescent="0.35">
      <c r="E702" s="3"/>
    </row>
    <row r="703" spans="5:5" x14ac:dyDescent="0.35">
      <c r="E703" s="3"/>
    </row>
    <row r="704" spans="5:5" x14ac:dyDescent="0.35">
      <c r="E704" s="3"/>
    </row>
    <row r="705" spans="5:5" x14ac:dyDescent="0.35">
      <c r="E705" s="3"/>
    </row>
    <row r="706" spans="5:5" x14ac:dyDescent="0.35">
      <c r="E706" s="3"/>
    </row>
    <row r="707" spans="5:5" x14ac:dyDescent="0.35">
      <c r="E707" s="3"/>
    </row>
    <row r="708" spans="5:5" x14ac:dyDescent="0.35">
      <c r="E708" s="3"/>
    </row>
    <row r="709" spans="5:5" x14ac:dyDescent="0.35">
      <c r="E709" s="3"/>
    </row>
    <row r="710" spans="5:5" x14ac:dyDescent="0.35">
      <c r="E710" s="3"/>
    </row>
    <row r="711" spans="5:5" x14ac:dyDescent="0.35">
      <c r="E711" s="3"/>
    </row>
    <row r="712" spans="5:5" x14ac:dyDescent="0.35">
      <c r="E712" s="3"/>
    </row>
    <row r="713" spans="5:5" x14ac:dyDescent="0.35">
      <c r="E713" s="3"/>
    </row>
    <row r="714" spans="5:5" x14ac:dyDescent="0.35">
      <c r="E714" s="3"/>
    </row>
    <row r="715" spans="5:5" x14ac:dyDescent="0.35">
      <c r="E715" s="3"/>
    </row>
    <row r="716" spans="5:5" x14ac:dyDescent="0.35">
      <c r="E716" s="3"/>
    </row>
    <row r="717" spans="5:5" x14ac:dyDescent="0.35">
      <c r="E717" s="3"/>
    </row>
    <row r="718" spans="5:5" x14ac:dyDescent="0.35">
      <c r="E718" s="3"/>
    </row>
    <row r="719" spans="5:5" x14ac:dyDescent="0.35">
      <c r="E719" s="3"/>
    </row>
    <row r="720" spans="5:5" x14ac:dyDescent="0.35">
      <c r="E720" s="3"/>
    </row>
    <row r="721" spans="5:5" x14ac:dyDescent="0.35">
      <c r="E721" s="3"/>
    </row>
    <row r="722" spans="5:5" x14ac:dyDescent="0.35">
      <c r="E722" s="3"/>
    </row>
    <row r="723" spans="5:5" x14ac:dyDescent="0.35">
      <c r="E723" s="3"/>
    </row>
    <row r="724" spans="5:5" x14ac:dyDescent="0.35">
      <c r="E724" s="3"/>
    </row>
    <row r="725" spans="5:5" x14ac:dyDescent="0.35">
      <c r="E725" s="3"/>
    </row>
    <row r="726" spans="5:5" x14ac:dyDescent="0.35">
      <c r="E726" s="3"/>
    </row>
    <row r="727" spans="5:5" x14ac:dyDescent="0.35">
      <c r="E727" s="3"/>
    </row>
    <row r="728" spans="5:5" x14ac:dyDescent="0.35">
      <c r="E728" s="3"/>
    </row>
    <row r="729" spans="5:5" x14ac:dyDescent="0.35">
      <c r="E729" s="3"/>
    </row>
    <row r="730" spans="5:5" x14ac:dyDescent="0.35">
      <c r="E730" s="3"/>
    </row>
    <row r="731" spans="5:5" x14ac:dyDescent="0.35">
      <c r="E731" s="3"/>
    </row>
    <row r="732" spans="5:5" x14ac:dyDescent="0.35">
      <c r="E732" s="3"/>
    </row>
    <row r="733" spans="5:5" x14ac:dyDescent="0.35">
      <c r="E733" s="3"/>
    </row>
    <row r="734" spans="5:5" x14ac:dyDescent="0.35">
      <c r="E734" s="3"/>
    </row>
    <row r="735" spans="5:5" x14ac:dyDescent="0.35">
      <c r="E735" s="3"/>
    </row>
    <row r="736" spans="5:5" x14ac:dyDescent="0.35">
      <c r="E736" s="3"/>
    </row>
    <row r="737" spans="5:5" x14ac:dyDescent="0.35">
      <c r="E737" s="3"/>
    </row>
    <row r="738" spans="5:5" x14ac:dyDescent="0.35">
      <c r="E738" s="3"/>
    </row>
    <row r="739" spans="5:5" x14ac:dyDescent="0.35">
      <c r="E739" s="3"/>
    </row>
    <row r="740" spans="5:5" x14ac:dyDescent="0.35">
      <c r="E740" s="3"/>
    </row>
    <row r="741" spans="5:5" x14ac:dyDescent="0.35">
      <c r="E741" s="3"/>
    </row>
    <row r="742" spans="5:5" x14ac:dyDescent="0.35">
      <c r="E742" s="3"/>
    </row>
    <row r="743" spans="5:5" x14ac:dyDescent="0.35">
      <c r="E743" s="3"/>
    </row>
    <row r="744" spans="5:5" x14ac:dyDescent="0.35">
      <c r="E744" s="3"/>
    </row>
    <row r="745" spans="5:5" x14ac:dyDescent="0.35">
      <c r="E745" s="3"/>
    </row>
    <row r="746" spans="5:5" x14ac:dyDescent="0.35">
      <c r="E746" s="3"/>
    </row>
    <row r="747" spans="5:5" x14ac:dyDescent="0.35">
      <c r="E747" s="3"/>
    </row>
    <row r="748" spans="5:5" x14ac:dyDescent="0.35">
      <c r="E748" s="3"/>
    </row>
    <row r="749" spans="5:5" x14ac:dyDescent="0.35">
      <c r="E749" s="3"/>
    </row>
    <row r="750" spans="5:5" x14ac:dyDescent="0.35">
      <c r="E750" s="3"/>
    </row>
    <row r="751" spans="5:5" x14ac:dyDescent="0.35">
      <c r="E751" s="3"/>
    </row>
    <row r="752" spans="5:5" x14ac:dyDescent="0.35">
      <c r="E752" s="3"/>
    </row>
    <row r="753" spans="5:5" x14ac:dyDescent="0.35">
      <c r="E753" s="3"/>
    </row>
    <row r="754" spans="5:5" x14ac:dyDescent="0.35">
      <c r="E754" s="3"/>
    </row>
    <row r="755" spans="5:5" x14ac:dyDescent="0.35">
      <c r="E755" s="3"/>
    </row>
    <row r="756" spans="5:5" x14ac:dyDescent="0.35">
      <c r="E756" s="3"/>
    </row>
    <row r="757" spans="5:5" x14ac:dyDescent="0.35">
      <c r="E757" s="3"/>
    </row>
    <row r="758" spans="5:5" x14ac:dyDescent="0.35">
      <c r="E758" s="3"/>
    </row>
    <row r="759" spans="5:5" x14ac:dyDescent="0.35">
      <c r="E759" s="3"/>
    </row>
    <row r="760" spans="5:5" x14ac:dyDescent="0.35">
      <c r="E760" s="3"/>
    </row>
    <row r="761" spans="5:5" x14ac:dyDescent="0.35">
      <c r="E761" s="3"/>
    </row>
    <row r="762" spans="5:5" x14ac:dyDescent="0.35">
      <c r="E762" s="3"/>
    </row>
    <row r="763" spans="5:5" x14ac:dyDescent="0.35">
      <c r="E763" s="3"/>
    </row>
    <row r="764" spans="5:5" x14ac:dyDescent="0.35">
      <c r="E764" s="3"/>
    </row>
    <row r="765" spans="5:5" x14ac:dyDescent="0.35">
      <c r="E765" s="3"/>
    </row>
    <row r="766" spans="5:5" x14ac:dyDescent="0.35">
      <c r="E766" s="3"/>
    </row>
    <row r="767" spans="5:5" x14ac:dyDescent="0.35">
      <c r="E767" s="3"/>
    </row>
    <row r="768" spans="5:5" x14ac:dyDescent="0.35">
      <c r="E768" s="3"/>
    </row>
    <row r="769" spans="5:5" x14ac:dyDescent="0.35">
      <c r="E769" s="3"/>
    </row>
    <row r="770" spans="5:5" x14ac:dyDescent="0.35">
      <c r="E770" s="3"/>
    </row>
    <row r="771" spans="5:5" x14ac:dyDescent="0.35">
      <c r="E771" s="3"/>
    </row>
    <row r="772" spans="5:5" x14ac:dyDescent="0.35">
      <c r="E772" s="3"/>
    </row>
    <row r="773" spans="5:5" x14ac:dyDescent="0.35">
      <c r="E773" s="3"/>
    </row>
    <row r="774" spans="5:5" x14ac:dyDescent="0.35">
      <c r="E774" s="3"/>
    </row>
    <row r="775" spans="5:5" x14ac:dyDescent="0.35">
      <c r="E775" s="3"/>
    </row>
    <row r="776" spans="5:5" x14ac:dyDescent="0.35">
      <c r="E776" s="3"/>
    </row>
    <row r="777" spans="5:5" x14ac:dyDescent="0.35">
      <c r="E777" s="3"/>
    </row>
    <row r="778" spans="5:5" x14ac:dyDescent="0.35">
      <c r="E778" s="3"/>
    </row>
    <row r="779" spans="5:5" x14ac:dyDescent="0.35">
      <c r="E779" s="3"/>
    </row>
    <row r="780" spans="5:5" x14ac:dyDescent="0.35">
      <c r="E780" s="3"/>
    </row>
    <row r="781" spans="5:5" x14ac:dyDescent="0.35">
      <c r="E781" s="3"/>
    </row>
    <row r="782" spans="5:5" x14ac:dyDescent="0.35">
      <c r="E782" s="3"/>
    </row>
    <row r="783" spans="5:5" x14ac:dyDescent="0.35">
      <c r="E783" s="3"/>
    </row>
    <row r="784" spans="5:5" x14ac:dyDescent="0.35">
      <c r="E784" s="3"/>
    </row>
    <row r="785" spans="5:5" x14ac:dyDescent="0.35">
      <c r="E785" s="3"/>
    </row>
    <row r="786" spans="5:5" x14ac:dyDescent="0.35">
      <c r="E786" s="3"/>
    </row>
    <row r="787" spans="5:5" x14ac:dyDescent="0.35">
      <c r="E787" s="3"/>
    </row>
    <row r="788" spans="5:5" x14ac:dyDescent="0.35">
      <c r="E788" s="3"/>
    </row>
    <row r="789" spans="5:5" x14ac:dyDescent="0.35">
      <c r="E789" s="3"/>
    </row>
    <row r="790" spans="5:5" x14ac:dyDescent="0.35">
      <c r="E790" s="3"/>
    </row>
    <row r="791" spans="5:5" x14ac:dyDescent="0.35">
      <c r="E791" s="3"/>
    </row>
    <row r="792" spans="5:5" x14ac:dyDescent="0.35">
      <c r="E792" s="3"/>
    </row>
    <row r="793" spans="5:5" x14ac:dyDescent="0.35">
      <c r="E793" s="3"/>
    </row>
    <row r="794" spans="5:5" x14ac:dyDescent="0.35">
      <c r="E794" s="3"/>
    </row>
    <row r="795" spans="5:5" x14ac:dyDescent="0.35">
      <c r="E795" s="3"/>
    </row>
    <row r="796" spans="5:5" x14ac:dyDescent="0.35">
      <c r="E796" s="3"/>
    </row>
    <row r="797" spans="5:5" x14ac:dyDescent="0.35">
      <c r="E797" s="3"/>
    </row>
    <row r="798" spans="5:5" x14ac:dyDescent="0.35">
      <c r="E798" s="3"/>
    </row>
    <row r="799" spans="5:5" x14ac:dyDescent="0.35">
      <c r="E799" s="3"/>
    </row>
    <row r="800" spans="5:5" x14ac:dyDescent="0.35">
      <c r="E800" s="3"/>
    </row>
    <row r="801" spans="5:5" x14ac:dyDescent="0.35">
      <c r="E801" s="3"/>
    </row>
    <row r="802" spans="5:5" x14ac:dyDescent="0.35">
      <c r="E802" s="3"/>
    </row>
    <row r="803" spans="5:5" x14ac:dyDescent="0.35">
      <c r="E803" s="3"/>
    </row>
    <row r="804" spans="5:5" x14ac:dyDescent="0.35">
      <c r="E804" s="3"/>
    </row>
    <row r="805" spans="5:5" x14ac:dyDescent="0.35">
      <c r="E805" s="3"/>
    </row>
    <row r="806" spans="5:5" x14ac:dyDescent="0.35">
      <c r="E806" s="3"/>
    </row>
    <row r="807" spans="5:5" x14ac:dyDescent="0.35">
      <c r="E807" s="3"/>
    </row>
    <row r="808" spans="5:5" x14ac:dyDescent="0.35">
      <c r="E808" s="3"/>
    </row>
    <row r="809" spans="5:5" x14ac:dyDescent="0.35">
      <c r="E809" s="3"/>
    </row>
    <row r="810" spans="5:5" x14ac:dyDescent="0.35">
      <c r="E810" s="3"/>
    </row>
    <row r="811" spans="5:5" x14ac:dyDescent="0.35">
      <c r="E811" s="3"/>
    </row>
    <row r="812" spans="5:5" x14ac:dyDescent="0.35">
      <c r="E812" s="3"/>
    </row>
    <row r="813" spans="5:5" x14ac:dyDescent="0.35">
      <c r="E813" s="3"/>
    </row>
    <row r="814" spans="5:5" x14ac:dyDescent="0.35">
      <c r="E814" s="3"/>
    </row>
    <row r="815" spans="5:5" x14ac:dyDescent="0.35">
      <c r="E815" s="3"/>
    </row>
    <row r="816" spans="5:5" x14ac:dyDescent="0.35">
      <c r="E816" s="3"/>
    </row>
    <row r="817" spans="5:5" x14ac:dyDescent="0.35">
      <c r="E817" s="3"/>
    </row>
    <row r="818" spans="5:5" x14ac:dyDescent="0.35">
      <c r="E818" s="3"/>
    </row>
    <row r="819" spans="5:5" x14ac:dyDescent="0.35">
      <c r="E819" s="3"/>
    </row>
    <row r="820" spans="5:5" x14ac:dyDescent="0.35">
      <c r="E820" s="3"/>
    </row>
    <row r="821" spans="5:5" x14ac:dyDescent="0.35">
      <c r="E821" s="3"/>
    </row>
    <row r="822" spans="5:5" x14ac:dyDescent="0.35">
      <c r="E822" s="3"/>
    </row>
    <row r="823" spans="5:5" x14ac:dyDescent="0.35">
      <c r="E823" s="3"/>
    </row>
    <row r="824" spans="5:5" x14ac:dyDescent="0.35">
      <c r="E824" s="3"/>
    </row>
    <row r="825" spans="5:5" x14ac:dyDescent="0.35">
      <c r="E825" s="3"/>
    </row>
    <row r="826" spans="5:5" x14ac:dyDescent="0.35">
      <c r="E826" s="3"/>
    </row>
    <row r="827" spans="5:5" x14ac:dyDescent="0.35">
      <c r="E827" s="3"/>
    </row>
    <row r="828" spans="5:5" x14ac:dyDescent="0.35">
      <c r="E828" s="3"/>
    </row>
    <row r="829" spans="5:5" x14ac:dyDescent="0.35">
      <c r="E829" s="3"/>
    </row>
    <row r="830" spans="5:5" x14ac:dyDescent="0.35">
      <c r="E830" s="3"/>
    </row>
    <row r="831" spans="5:5" x14ac:dyDescent="0.35">
      <c r="E831" s="3"/>
    </row>
    <row r="832" spans="5:5" x14ac:dyDescent="0.35">
      <c r="E832" s="3"/>
    </row>
    <row r="833" spans="5:5" x14ac:dyDescent="0.35">
      <c r="E833" s="3"/>
    </row>
    <row r="834" spans="5:5" x14ac:dyDescent="0.35">
      <c r="E834" s="3"/>
    </row>
    <row r="835" spans="5:5" x14ac:dyDescent="0.35">
      <c r="E835" s="3"/>
    </row>
    <row r="836" spans="5:5" x14ac:dyDescent="0.35">
      <c r="E836" s="3"/>
    </row>
    <row r="837" spans="5:5" x14ac:dyDescent="0.35">
      <c r="E837" s="3"/>
    </row>
    <row r="838" spans="5:5" x14ac:dyDescent="0.35">
      <c r="E838" s="3"/>
    </row>
    <row r="839" spans="5:5" x14ac:dyDescent="0.35">
      <c r="E839" s="3"/>
    </row>
    <row r="840" spans="5:5" x14ac:dyDescent="0.35">
      <c r="E840" s="3"/>
    </row>
    <row r="841" spans="5:5" x14ac:dyDescent="0.35">
      <c r="E841" s="3"/>
    </row>
    <row r="842" spans="5:5" x14ac:dyDescent="0.35">
      <c r="E842" s="3"/>
    </row>
    <row r="843" spans="5:5" x14ac:dyDescent="0.35">
      <c r="E843" s="3"/>
    </row>
    <row r="844" spans="5:5" x14ac:dyDescent="0.35">
      <c r="E844" s="3"/>
    </row>
    <row r="845" spans="5:5" x14ac:dyDescent="0.35">
      <c r="E845" s="3"/>
    </row>
    <row r="846" spans="5:5" x14ac:dyDescent="0.35">
      <c r="E846" s="3"/>
    </row>
    <row r="847" spans="5:5" x14ac:dyDescent="0.35">
      <c r="E847" s="3"/>
    </row>
    <row r="848" spans="5:5" x14ac:dyDescent="0.35">
      <c r="E848" s="3"/>
    </row>
    <row r="849" spans="5:5" x14ac:dyDescent="0.35">
      <c r="E849" s="3"/>
    </row>
    <row r="850" spans="5:5" x14ac:dyDescent="0.35">
      <c r="E850" s="3"/>
    </row>
    <row r="851" spans="5:5" x14ac:dyDescent="0.35">
      <c r="E851" s="3"/>
    </row>
    <row r="852" spans="5:5" x14ac:dyDescent="0.35">
      <c r="E852" s="3"/>
    </row>
    <row r="853" spans="5:5" x14ac:dyDescent="0.35">
      <c r="E853" s="3"/>
    </row>
    <row r="854" spans="5:5" x14ac:dyDescent="0.35">
      <c r="E854" s="3"/>
    </row>
    <row r="855" spans="5:5" x14ac:dyDescent="0.35">
      <c r="E855" s="3"/>
    </row>
    <row r="856" spans="5:5" x14ac:dyDescent="0.35">
      <c r="E856" s="3"/>
    </row>
    <row r="857" spans="5:5" x14ac:dyDescent="0.35">
      <c r="E857" s="3"/>
    </row>
    <row r="858" spans="5:5" x14ac:dyDescent="0.35">
      <c r="E858" s="3"/>
    </row>
    <row r="859" spans="5:5" x14ac:dyDescent="0.35">
      <c r="E859" s="3"/>
    </row>
    <row r="860" spans="5:5" x14ac:dyDescent="0.35">
      <c r="E860" s="3"/>
    </row>
    <row r="861" spans="5:5" x14ac:dyDescent="0.35">
      <c r="E861" s="3"/>
    </row>
    <row r="862" spans="5:5" x14ac:dyDescent="0.35">
      <c r="E862" s="3"/>
    </row>
    <row r="863" spans="5:5" x14ac:dyDescent="0.35">
      <c r="E863" s="3"/>
    </row>
    <row r="864" spans="5:5" x14ac:dyDescent="0.35">
      <c r="E864" s="3"/>
    </row>
    <row r="865" spans="5:5" x14ac:dyDescent="0.35">
      <c r="E865" s="3"/>
    </row>
    <row r="866" spans="5:5" x14ac:dyDescent="0.35">
      <c r="E866" s="3"/>
    </row>
    <row r="867" spans="5:5" x14ac:dyDescent="0.35">
      <c r="E867" s="3"/>
    </row>
    <row r="868" spans="5:5" x14ac:dyDescent="0.35">
      <c r="E868" s="3"/>
    </row>
    <row r="869" spans="5:5" x14ac:dyDescent="0.35">
      <c r="E869" s="3"/>
    </row>
    <row r="870" spans="5:5" x14ac:dyDescent="0.35">
      <c r="E870" s="3"/>
    </row>
    <row r="871" spans="5:5" x14ac:dyDescent="0.35">
      <c r="E871" s="3"/>
    </row>
    <row r="872" spans="5:5" x14ac:dyDescent="0.35">
      <c r="E872" s="3"/>
    </row>
    <row r="873" spans="5:5" x14ac:dyDescent="0.35">
      <c r="E873" s="3"/>
    </row>
    <row r="874" spans="5:5" x14ac:dyDescent="0.35">
      <c r="E874" s="3"/>
    </row>
    <row r="875" spans="5:5" x14ac:dyDescent="0.35">
      <c r="E875" s="3"/>
    </row>
    <row r="876" spans="5:5" x14ac:dyDescent="0.35">
      <c r="E876" s="3"/>
    </row>
    <row r="877" spans="5:5" x14ac:dyDescent="0.35">
      <c r="E877" s="3"/>
    </row>
    <row r="878" spans="5:5" x14ac:dyDescent="0.35">
      <c r="E878" s="3"/>
    </row>
    <row r="879" spans="5:5" x14ac:dyDescent="0.35">
      <c r="E879" s="3"/>
    </row>
    <row r="880" spans="5:5" x14ac:dyDescent="0.35">
      <c r="E880" s="3"/>
    </row>
    <row r="881" spans="5:5" x14ac:dyDescent="0.35">
      <c r="E881" s="3"/>
    </row>
    <row r="882" spans="5:5" x14ac:dyDescent="0.35">
      <c r="E882" s="3"/>
    </row>
    <row r="883" spans="5:5" x14ac:dyDescent="0.35">
      <c r="E883" s="3"/>
    </row>
    <row r="884" spans="5:5" x14ac:dyDescent="0.35">
      <c r="E884" s="3"/>
    </row>
    <row r="885" spans="5:5" x14ac:dyDescent="0.35">
      <c r="E885" s="3"/>
    </row>
    <row r="886" spans="5:5" x14ac:dyDescent="0.35">
      <c r="E886" s="3"/>
    </row>
    <row r="887" spans="5:5" x14ac:dyDescent="0.35">
      <c r="E887" s="3"/>
    </row>
    <row r="888" spans="5:5" x14ac:dyDescent="0.35">
      <c r="E888" s="3"/>
    </row>
    <row r="889" spans="5:5" x14ac:dyDescent="0.35">
      <c r="E889" s="3"/>
    </row>
    <row r="890" spans="5:5" x14ac:dyDescent="0.35">
      <c r="E890" s="3"/>
    </row>
    <row r="891" spans="5:5" x14ac:dyDescent="0.35">
      <c r="E891" s="3"/>
    </row>
    <row r="892" spans="5:5" x14ac:dyDescent="0.35">
      <c r="E892" s="3"/>
    </row>
    <row r="893" spans="5:5" x14ac:dyDescent="0.35">
      <c r="E893" s="3"/>
    </row>
    <row r="894" spans="5:5" x14ac:dyDescent="0.35">
      <c r="E894" s="3"/>
    </row>
    <row r="895" spans="5:5" x14ac:dyDescent="0.35">
      <c r="E895" s="3"/>
    </row>
    <row r="896" spans="5:5" x14ac:dyDescent="0.35">
      <c r="E896" s="3"/>
    </row>
    <row r="897" spans="5:5" x14ac:dyDescent="0.35">
      <c r="E897" s="3"/>
    </row>
    <row r="898" spans="5:5" x14ac:dyDescent="0.35">
      <c r="E898" s="3"/>
    </row>
    <row r="899" spans="5:5" x14ac:dyDescent="0.35">
      <c r="E899" s="3"/>
    </row>
    <row r="900" spans="5:5" x14ac:dyDescent="0.35">
      <c r="E900" s="3"/>
    </row>
    <row r="901" spans="5:5" x14ac:dyDescent="0.35">
      <c r="E901" s="3"/>
    </row>
    <row r="902" spans="5:5" x14ac:dyDescent="0.35">
      <c r="E902" s="3"/>
    </row>
    <row r="903" spans="5:5" x14ac:dyDescent="0.35">
      <c r="E903" s="3"/>
    </row>
    <row r="904" spans="5:5" x14ac:dyDescent="0.35">
      <c r="E904" s="3"/>
    </row>
    <row r="905" spans="5:5" x14ac:dyDescent="0.35">
      <c r="E905" s="3"/>
    </row>
    <row r="906" spans="5:5" x14ac:dyDescent="0.35">
      <c r="E906" s="3"/>
    </row>
    <row r="907" spans="5:5" x14ac:dyDescent="0.35">
      <c r="E907" s="3"/>
    </row>
    <row r="908" spans="5:5" x14ac:dyDescent="0.35">
      <c r="E908" s="3"/>
    </row>
    <row r="909" spans="5:5" x14ac:dyDescent="0.35">
      <c r="E909" s="3"/>
    </row>
    <row r="910" spans="5:5" x14ac:dyDescent="0.35">
      <c r="E910" s="3"/>
    </row>
    <row r="911" spans="5:5" x14ac:dyDescent="0.35">
      <c r="E911" s="3"/>
    </row>
    <row r="912" spans="5:5" x14ac:dyDescent="0.35">
      <c r="E912" s="3"/>
    </row>
    <row r="913" spans="5:5" x14ac:dyDescent="0.35">
      <c r="E913" s="3"/>
    </row>
    <row r="914" spans="5:5" x14ac:dyDescent="0.35">
      <c r="E914" s="3"/>
    </row>
    <row r="915" spans="5:5" x14ac:dyDescent="0.35">
      <c r="E915" s="3"/>
    </row>
    <row r="916" spans="5:5" x14ac:dyDescent="0.35">
      <c r="E916" s="3"/>
    </row>
    <row r="917" spans="5:5" x14ac:dyDescent="0.35">
      <c r="E917" s="3"/>
    </row>
    <row r="918" spans="5:5" x14ac:dyDescent="0.35">
      <c r="E918" s="3"/>
    </row>
    <row r="919" spans="5:5" x14ac:dyDescent="0.35">
      <c r="E919" s="3"/>
    </row>
    <row r="920" spans="5:5" x14ac:dyDescent="0.35">
      <c r="E920" s="3"/>
    </row>
    <row r="921" spans="5:5" x14ac:dyDescent="0.35">
      <c r="E921" s="3"/>
    </row>
    <row r="922" spans="5:5" x14ac:dyDescent="0.35">
      <c r="E922" s="3"/>
    </row>
    <row r="923" spans="5:5" x14ac:dyDescent="0.35">
      <c r="E923" s="3"/>
    </row>
    <row r="924" spans="5:5" x14ac:dyDescent="0.35">
      <c r="E924" s="3"/>
    </row>
    <row r="925" spans="5:5" x14ac:dyDescent="0.35">
      <c r="E925" s="3"/>
    </row>
    <row r="926" spans="5:5" x14ac:dyDescent="0.35">
      <c r="E926" s="3"/>
    </row>
    <row r="927" spans="5:5" x14ac:dyDescent="0.35">
      <c r="E927" s="3"/>
    </row>
    <row r="928" spans="5:5" x14ac:dyDescent="0.35">
      <c r="E928" s="3"/>
    </row>
    <row r="929" spans="5:5" x14ac:dyDescent="0.35">
      <c r="E929" s="3"/>
    </row>
    <row r="930" spans="5:5" x14ac:dyDescent="0.35">
      <c r="E930" s="3"/>
    </row>
    <row r="931" spans="5:5" x14ac:dyDescent="0.35">
      <c r="E931" s="3"/>
    </row>
    <row r="932" spans="5:5" x14ac:dyDescent="0.35">
      <c r="E932" s="3"/>
    </row>
    <row r="933" spans="5:5" x14ac:dyDescent="0.35">
      <c r="E933" s="3"/>
    </row>
    <row r="934" spans="5:5" x14ac:dyDescent="0.35">
      <c r="E934" s="3"/>
    </row>
    <row r="935" spans="5:5" x14ac:dyDescent="0.35">
      <c r="E935" s="3"/>
    </row>
    <row r="936" spans="5:5" x14ac:dyDescent="0.35">
      <c r="E936" s="3"/>
    </row>
    <row r="937" spans="5:5" x14ac:dyDescent="0.35">
      <c r="E937" s="3"/>
    </row>
    <row r="938" spans="5:5" x14ac:dyDescent="0.35">
      <c r="E938" s="3"/>
    </row>
    <row r="939" spans="5:5" x14ac:dyDescent="0.35">
      <c r="E939" s="3"/>
    </row>
    <row r="940" spans="5:5" x14ac:dyDescent="0.35">
      <c r="E940" s="3"/>
    </row>
    <row r="941" spans="5:5" x14ac:dyDescent="0.35">
      <c r="E941" s="3"/>
    </row>
    <row r="942" spans="5:5" x14ac:dyDescent="0.35">
      <c r="E942" s="3"/>
    </row>
    <row r="943" spans="5:5" x14ac:dyDescent="0.35">
      <c r="E943" s="3"/>
    </row>
    <row r="944" spans="5:5" x14ac:dyDescent="0.35">
      <c r="E944" s="3"/>
    </row>
    <row r="945" spans="5:5" x14ac:dyDescent="0.35">
      <c r="E945" s="3"/>
    </row>
    <row r="946" spans="5:5" x14ac:dyDescent="0.35">
      <c r="E946" s="3"/>
    </row>
    <row r="947" spans="5:5" x14ac:dyDescent="0.35">
      <c r="E947" s="3"/>
    </row>
    <row r="948" spans="5:5" x14ac:dyDescent="0.35">
      <c r="E948" s="3"/>
    </row>
    <row r="949" spans="5:5" x14ac:dyDescent="0.35">
      <c r="E949" s="3"/>
    </row>
    <row r="950" spans="5:5" x14ac:dyDescent="0.35">
      <c r="E950" s="3"/>
    </row>
    <row r="951" spans="5:5" x14ac:dyDescent="0.35">
      <c r="E951" s="3"/>
    </row>
    <row r="952" spans="5:5" x14ac:dyDescent="0.35">
      <c r="E952" s="3"/>
    </row>
    <row r="953" spans="5:5" x14ac:dyDescent="0.35">
      <c r="E953" s="3"/>
    </row>
    <row r="954" spans="5:5" x14ac:dyDescent="0.35">
      <c r="E954" s="3"/>
    </row>
    <row r="955" spans="5:5" x14ac:dyDescent="0.35">
      <c r="E955" s="3"/>
    </row>
    <row r="956" spans="5:5" x14ac:dyDescent="0.35">
      <c r="E956" s="3"/>
    </row>
    <row r="957" spans="5:5" x14ac:dyDescent="0.35">
      <c r="E957" s="3"/>
    </row>
    <row r="958" spans="5:5" x14ac:dyDescent="0.35">
      <c r="E958" s="3"/>
    </row>
    <row r="959" spans="5:5" x14ac:dyDescent="0.35">
      <c r="E959" s="3"/>
    </row>
    <row r="960" spans="5:5" x14ac:dyDescent="0.35">
      <c r="E960" s="3"/>
    </row>
    <row r="961" spans="5:5" x14ac:dyDescent="0.35">
      <c r="E961" s="3"/>
    </row>
    <row r="962" spans="5:5" x14ac:dyDescent="0.35">
      <c r="E962" s="3"/>
    </row>
    <row r="963" spans="5:5" x14ac:dyDescent="0.35">
      <c r="E963" s="3"/>
    </row>
    <row r="964" spans="5:5" x14ac:dyDescent="0.35">
      <c r="E964" s="3"/>
    </row>
    <row r="965" spans="5:5" x14ac:dyDescent="0.35">
      <c r="E965" s="3"/>
    </row>
    <row r="966" spans="5:5" x14ac:dyDescent="0.35">
      <c r="E966" s="3"/>
    </row>
    <row r="967" spans="5:5" x14ac:dyDescent="0.35">
      <c r="E967" s="3"/>
    </row>
    <row r="968" spans="5:5" x14ac:dyDescent="0.35">
      <c r="E968" s="3"/>
    </row>
    <row r="969" spans="5:5" x14ac:dyDescent="0.35">
      <c r="E969" s="3"/>
    </row>
    <row r="970" spans="5:5" x14ac:dyDescent="0.35">
      <c r="E970" s="3"/>
    </row>
    <row r="971" spans="5:5" x14ac:dyDescent="0.35">
      <c r="E971" s="3"/>
    </row>
    <row r="972" spans="5:5" x14ac:dyDescent="0.35">
      <c r="E972" s="3"/>
    </row>
    <row r="973" spans="5:5" x14ac:dyDescent="0.35">
      <c r="E973" s="3"/>
    </row>
    <row r="974" spans="5:5" x14ac:dyDescent="0.35">
      <c r="E974" s="3"/>
    </row>
    <row r="975" spans="5:5" x14ac:dyDescent="0.35">
      <c r="E975" s="3"/>
    </row>
    <row r="976" spans="5:5" x14ac:dyDescent="0.35">
      <c r="E976" s="3"/>
    </row>
    <row r="977" spans="5:5" x14ac:dyDescent="0.35">
      <c r="E977" s="3"/>
    </row>
    <row r="978" spans="5:5" x14ac:dyDescent="0.35">
      <c r="E978" s="3"/>
    </row>
    <row r="979" spans="5:5" x14ac:dyDescent="0.35">
      <c r="E979" s="3"/>
    </row>
    <row r="980" spans="5:5" x14ac:dyDescent="0.35">
      <c r="E980" s="3"/>
    </row>
    <row r="981" spans="5:5" x14ac:dyDescent="0.35">
      <c r="E981" s="3"/>
    </row>
    <row r="982" spans="5:5" x14ac:dyDescent="0.35">
      <c r="E982" s="3"/>
    </row>
    <row r="983" spans="5:5" x14ac:dyDescent="0.35">
      <c r="E983" s="3"/>
    </row>
    <row r="984" spans="5:5" x14ac:dyDescent="0.35">
      <c r="E984" s="3"/>
    </row>
    <row r="985" spans="5:5" x14ac:dyDescent="0.35">
      <c r="E985" s="3"/>
    </row>
    <row r="986" spans="5:5" x14ac:dyDescent="0.35">
      <c r="E986" s="3"/>
    </row>
    <row r="987" spans="5:5" x14ac:dyDescent="0.35">
      <c r="E987" s="3"/>
    </row>
    <row r="988" spans="5:5" x14ac:dyDescent="0.35">
      <c r="E988" s="3"/>
    </row>
    <row r="989" spans="5:5" x14ac:dyDescent="0.35">
      <c r="E989" s="3"/>
    </row>
    <row r="990" spans="5:5" x14ac:dyDescent="0.35">
      <c r="E990" s="3"/>
    </row>
    <row r="991" spans="5:5" x14ac:dyDescent="0.35">
      <c r="E991" s="3"/>
    </row>
    <row r="992" spans="5:5" x14ac:dyDescent="0.35">
      <c r="E992" s="3"/>
    </row>
    <row r="993" spans="5:5" x14ac:dyDescent="0.35">
      <c r="E993" s="3"/>
    </row>
    <row r="994" spans="5:5" x14ac:dyDescent="0.35">
      <c r="E994" s="3"/>
    </row>
    <row r="995" spans="5:5" x14ac:dyDescent="0.35">
      <c r="E995" s="3"/>
    </row>
    <row r="996" spans="5:5" x14ac:dyDescent="0.35">
      <c r="E996" s="3"/>
    </row>
    <row r="997" spans="5:5" x14ac:dyDescent="0.35">
      <c r="E997" s="3"/>
    </row>
    <row r="998" spans="5:5" x14ac:dyDescent="0.35">
      <c r="E998" s="3"/>
    </row>
    <row r="999" spans="5:5" x14ac:dyDescent="0.35">
      <c r="E999" s="3"/>
    </row>
    <row r="1000" spans="5:5" x14ac:dyDescent="0.35">
      <c r="E1000" s="3"/>
    </row>
    <row r="1001" spans="5:5" x14ac:dyDescent="0.35">
      <c r="E1001" s="3"/>
    </row>
    <row r="1002" spans="5:5" x14ac:dyDescent="0.35">
      <c r="E1002" s="3"/>
    </row>
    <row r="1003" spans="5:5" x14ac:dyDescent="0.35">
      <c r="E1003" s="3"/>
    </row>
    <row r="1004" spans="5:5" x14ac:dyDescent="0.35">
      <c r="E1004" s="3"/>
    </row>
    <row r="1005" spans="5:5" x14ac:dyDescent="0.35">
      <c r="E1005" s="3"/>
    </row>
    <row r="1006" spans="5:5" x14ac:dyDescent="0.35">
      <c r="E1006" s="3"/>
    </row>
    <row r="1007" spans="5:5" x14ac:dyDescent="0.35">
      <c r="E1007" s="3"/>
    </row>
    <row r="1008" spans="5:5" x14ac:dyDescent="0.35">
      <c r="E1008" s="3"/>
    </row>
    <row r="1009" spans="5:5" x14ac:dyDescent="0.35">
      <c r="E1009" s="3"/>
    </row>
    <row r="1010" spans="5:5" x14ac:dyDescent="0.35">
      <c r="E1010" s="3"/>
    </row>
    <row r="1011" spans="5:5" x14ac:dyDescent="0.35">
      <c r="E1011" s="3"/>
    </row>
    <row r="1012" spans="5:5" x14ac:dyDescent="0.35">
      <c r="E1012" s="3"/>
    </row>
    <row r="1013" spans="5:5" x14ac:dyDescent="0.35">
      <c r="E1013" s="3"/>
    </row>
    <row r="1014" spans="5:5" x14ac:dyDescent="0.35">
      <c r="E1014" s="3"/>
    </row>
    <row r="1015" spans="5:5" x14ac:dyDescent="0.35">
      <c r="E1015" s="3"/>
    </row>
    <row r="1016" spans="5:5" x14ac:dyDescent="0.35">
      <c r="E1016" s="3"/>
    </row>
    <row r="1017" spans="5:5" x14ac:dyDescent="0.35">
      <c r="E1017" s="3"/>
    </row>
    <row r="1018" spans="5:5" x14ac:dyDescent="0.35">
      <c r="E1018" s="3"/>
    </row>
    <row r="1019" spans="5:5" x14ac:dyDescent="0.35">
      <c r="E1019" s="3"/>
    </row>
    <row r="1020" spans="5:5" x14ac:dyDescent="0.35">
      <c r="E1020" s="3"/>
    </row>
    <row r="1021" spans="5:5" x14ac:dyDescent="0.35">
      <c r="E1021" s="3"/>
    </row>
    <row r="1022" spans="5:5" x14ac:dyDescent="0.35">
      <c r="E1022" s="3"/>
    </row>
    <row r="1023" spans="5:5" x14ac:dyDescent="0.35">
      <c r="E1023" s="3"/>
    </row>
    <row r="1024" spans="5:5" x14ac:dyDescent="0.35">
      <c r="E1024" s="3"/>
    </row>
    <row r="1025" spans="5:5" x14ac:dyDescent="0.35">
      <c r="E1025" s="3"/>
    </row>
    <row r="1026" spans="5:5" x14ac:dyDescent="0.35">
      <c r="E1026" s="3"/>
    </row>
    <row r="1027" spans="5:5" x14ac:dyDescent="0.35">
      <c r="E1027" s="3"/>
    </row>
    <row r="1028" spans="5:5" x14ac:dyDescent="0.35">
      <c r="E1028" s="3"/>
    </row>
    <row r="1029" spans="5:5" x14ac:dyDescent="0.35">
      <c r="E1029" s="3"/>
    </row>
    <row r="1030" spans="5:5" x14ac:dyDescent="0.35">
      <c r="E1030" s="3"/>
    </row>
    <row r="1031" spans="5:5" x14ac:dyDescent="0.35">
      <c r="E1031" s="3"/>
    </row>
    <row r="1032" spans="5:5" x14ac:dyDescent="0.35">
      <c r="E1032" s="3"/>
    </row>
    <row r="1033" spans="5:5" x14ac:dyDescent="0.35">
      <c r="E1033" s="3"/>
    </row>
    <row r="1034" spans="5:5" x14ac:dyDescent="0.35">
      <c r="E1034" s="3"/>
    </row>
    <row r="1035" spans="5:5" x14ac:dyDescent="0.35">
      <c r="E1035" s="3"/>
    </row>
    <row r="1036" spans="5:5" x14ac:dyDescent="0.35">
      <c r="E1036" s="3"/>
    </row>
    <row r="1037" spans="5:5" x14ac:dyDescent="0.35">
      <c r="E1037" s="3"/>
    </row>
    <row r="1038" spans="5:5" x14ac:dyDescent="0.35">
      <c r="E1038" s="3"/>
    </row>
    <row r="1039" spans="5:5" x14ac:dyDescent="0.35">
      <c r="E1039" s="3"/>
    </row>
    <row r="1040" spans="5:5" x14ac:dyDescent="0.35">
      <c r="E1040" s="3"/>
    </row>
    <row r="1041" spans="5:5" x14ac:dyDescent="0.35">
      <c r="E1041" s="3"/>
    </row>
    <row r="1042" spans="5:5" x14ac:dyDescent="0.35">
      <c r="E1042" s="3"/>
    </row>
    <row r="1043" spans="5:5" x14ac:dyDescent="0.35">
      <c r="E1043" s="3"/>
    </row>
    <row r="1044" spans="5:5" x14ac:dyDescent="0.35">
      <c r="E1044" s="3"/>
    </row>
    <row r="1045" spans="5:5" x14ac:dyDescent="0.35">
      <c r="E1045" s="3"/>
    </row>
    <row r="1046" spans="5:5" x14ac:dyDescent="0.35">
      <c r="E1046" s="3"/>
    </row>
    <row r="1047" spans="5:5" x14ac:dyDescent="0.35">
      <c r="E1047" s="3"/>
    </row>
    <row r="1048" spans="5:5" x14ac:dyDescent="0.35">
      <c r="E1048" s="3"/>
    </row>
    <row r="1049" spans="5:5" x14ac:dyDescent="0.35">
      <c r="E1049" s="3"/>
    </row>
    <row r="1050" spans="5:5" x14ac:dyDescent="0.35">
      <c r="E1050" s="3"/>
    </row>
    <row r="1051" spans="5:5" x14ac:dyDescent="0.35">
      <c r="E1051" s="3"/>
    </row>
    <row r="1052" spans="5:5" x14ac:dyDescent="0.35">
      <c r="E1052" s="3"/>
    </row>
    <row r="1053" spans="5:5" x14ac:dyDescent="0.35">
      <c r="E1053" s="3"/>
    </row>
    <row r="1054" spans="5:5" x14ac:dyDescent="0.35">
      <c r="E1054" s="3"/>
    </row>
    <row r="1055" spans="5:5" x14ac:dyDescent="0.35">
      <c r="E1055" s="3"/>
    </row>
    <row r="1056" spans="5:5" x14ac:dyDescent="0.35">
      <c r="E1056" s="3"/>
    </row>
    <row r="1057" spans="5:5" x14ac:dyDescent="0.35">
      <c r="E1057" s="3"/>
    </row>
    <row r="1058" spans="5:5" x14ac:dyDescent="0.35">
      <c r="E1058" s="3"/>
    </row>
    <row r="1059" spans="5:5" x14ac:dyDescent="0.35">
      <c r="E1059" s="3"/>
    </row>
    <row r="1060" spans="5:5" x14ac:dyDescent="0.35">
      <c r="E1060" s="3"/>
    </row>
    <row r="1061" spans="5:5" x14ac:dyDescent="0.35">
      <c r="E1061" s="3"/>
    </row>
    <row r="1062" spans="5:5" x14ac:dyDescent="0.35">
      <c r="E1062" s="3"/>
    </row>
    <row r="1063" spans="5:5" x14ac:dyDescent="0.35">
      <c r="E1063" s="3"/>
    </row>
    <row r="1064" spans="5:5" x14ac:dyDescent="0.35">
      <c r="E1064" s="3"/>
    </row>
    <row r="1065" spans="5:5" x14ac:dyDescent="0.35">
      <c r="E1065" s="3"/>
    </row>
    <row r="1066" spans="5:5" x14ac:dyDescent="0.35">
      <c r="E1066" s="3"/>
    </row>
    <row r="1067" spans="5:5" x14ac:dyDescent="0.35">
      <c r="E1067" s="3"/>
    </row>
    <row r="1068" spans="5:5" x14ac:dyDescent="0.35">
      <c r="E1068" s="3"/>
    </row>
    <row r="1069" spans="5:5" x14ac:dyDescent="0.35">
      <c r="E1069" s="3"/>
    </row>
    <row r="1070" spans="5:5" x14ac:dyDescent="0.35">
      <c r="E1070" s="3"/>
    </row>
    <row r="1071" spans="5:5" x14ac:dyDescent="0.35">
      <c r="E1071" s="3"/>
    </row>
    <row r="1072" spans="5:5" x14ac:dyDescent="0.35">
      <c r="E1072" s="3"/>
    </row>
    <row r="1073" spans="5:5" x14ac:dyDescent="0.35">
      <c r="E1073" s="3"/>
    </row>
    <row r="1074" spans="5:5" x14ac:dyDescent="0.35">
      <c r="E1074" s="3"/>
    </row>
    <row r="1075" spans="5:5" x14ac:dyDescent="0.35">
      <c r="E1075" s="3"/>
    </row>
    <row r="1076" spans="5:5" x14ac:dyDescent="0.35">
      <c r="E1076" s="3"/>
    </row>
    <row r="1077" spans="5:5" x14ac:dyDescent="0.35">
      <c r="E1077" s="3"/>
    </row>
    <row r="1078" spans="5:5" x14ac:dyDescent="0.35">
      <c r="E1078" s="3"/>
    </row>
    <row r="1079" spans="5:5" x14ac:dyDescent="0.35">
      <c r="E1079" s="3"/>
    </row>
    <row r="1080" spans="5:5" x14ac:dyDescent="0.35">
      <c r="E1080" s="3"/>
    </row>
    <row r="1081" spans="5:5" x14ac:dyDescent="0.35">
      <c r="E1081" s="3"/>
    </row>
    <row r="1082" spans="5:5" x14ac:dyDescent="0.35">
      <c r="E1082" s="3"/>
    </row>
    <row r="1083" spans="5:5" x14ac:dyDescent="0.35">
      <c r="E1083" s="3"/>
    </row>
    <row r="1084" spans="5:5" x14ac:dyDescent="0.35">
      <c r="E1084" s="3"/>
    </row>
    <row r="1085" spans="5:5" x14ac:dyDescent="0.35">
      <c r="E1085" s="3"/>
    </row>
    <row r="1086" spans="5:5" x14ac:dyDescent="0.35">
      <c r="E1086" s="3"/>
    </row>
    <row r="1087" spans="5:5" x14ac:dyDescent="0.35">
      <c r="E1087" s="3"/>
    </row>
    <row r="1088" spans="5:5" x14ac:dyDescent="0.35">
      <c r="E1088" s="3"/>
    </row>
    <row r="1089" spans="5:5" x14ac:dyDescent="0.35">
      <c r="E1089" s="3"/>
    </row>
    <row r="1090" spans="5:5" x14ac:dyDescent="0.35">
      <c r="E1090" s="3"/>
    </row>
    <row r="1091" spans="5:5" x14ac:dyDescent="0.35">
      <c r="E1091" s="3"/>
    </row>
    <row r="1092" spans="5:5" x14ac:dyDescent="0.35">
      <c r="E1092" s="3"/>
    </row>
    <row r="1093" spans="5:5" x14ac:dyDescent="0.35">
      <c r="E1093" s="3"/>
    </row>
    <row r="1094" spans="5:5" x14ac:dyDescent="0.35">
      <c r="E1094" s="3"/>
    </row>
    <row r="1095" spans="5:5" x14ac:dyDescent="0.35">
      <c r="E1095" s="3"/>
    </row>
    <row r="1096" spans="5:5" x14ac:dyDescent="0.35">
      <c r="E1096" s="3"/>
    </row>
    <row r="1097" spans="5:5" x14ac:dyDescent="0.35">
      <c r="E1097" s="3"/>
    </row>
    <row r="1098" spans="5:5" x14ac:dyDescent="0.35">
      <c r="E1098" s="3"/>
    </row>
    <row r="1099" spans="5:5" x14ac:dyDescent="0.35">
      <c r="E1099" s="3"/>
    </row>
    <row r="1100" spans="5:5" x14ac:dyDescent="0.35">
      <c r="E1100" s="3"/>
    </row>
    <row r="1101" spans="5:5" x14ac:dyDescent="0.35">
      <c r="E1101" s="3"/>
    </row>
    <row r="1102" spans="5:5" x14ac:dyDescent="0.35">
      <c r="E1102" s="3"/>
    </row>
    <row r="1103" spans="5:5" x14ac:dyDescent="0.35">
      <c r="E1103" s="3"/>
    </row>
    <row r="1104" spans="5:5" x14ac:dyDescent="0.35">
      <c r="E1104" s="3"/>
    </row>
    <row r="1105" spans="5:5" x14ac:dyDescent="0.35">
      <c r="E1105" s="3"/>
    </row>
    <row r="1106" spans="5:5" x14ac:dyDescent="0.35">
      <c r="E1106" s="3"/>
    </row>
    <row r="1107" spans="5:5" x14ac:dyDescent="0.35">
      <c r="E1107" s="3"/>
    </row>
    <row r="1108" spans="5:5" x14ac:dyDescent="0.35">
      <c r="E1108" s="3"/>
    </row>
    <row r="1109" spans="5:5" x14ac:dyDescent="0.35">
      <c r="E1109" s="3"/>
    </row>
    <row r="1110" spans="5:5" x14ac:dyDescent="0.35">
      <c r="E1110" s="3"/>
    </row>
    <row r="1111" spans="5:5" x14ac:dyDescent="0.35">
      <c r="E1111" s="3"/>
    </row>
    <row r="1112" spans="5:5" x14ac:dyDescent="0.35">
      <c r="E1112" s="3"/>
    </row>
    <row r="1113" spans="5:5" x14ac:dyDescent="0.35">
      <c r="E1113" s="3"/>
    </row>
    <row r="1114" spans="5:5" x14ac:dyDescent="0.35">
      <c r="E1114" s="3"/>
    </row>
    <row r="1115" spans="5:5" x14ac:dyDescent="0.35">
      <c r="E1115" s="3"/>
    </row>
    <row r="1116" spans="5:5" x14ac:dyDescent="0.35">
      <c r="E1116" s="3"/>
    </row>
    <row r="1117" spans="5:5" x14ac:dyDescent="0.35">
      <c r="E1117" s="3"/>
    </row>
    <row r="1118" spans="5:5" x14ac:dyDescent="0.35">
      <c r="E1118" s="3"/>
    </row>
    <row r="1119" spans="5:5" x14ac:dyDescent="0.35">
      <c r="E1119" s="3"/>
    </row>
    <row r="1120" spans="5:5" x14ac:dyDescent="0.35">
      <c r="E1120" s="3"/>
    </row>
    <row r="1121" spans="5:5" x14ac:dyDescent="0.35">
      <c r="E1121" s="3"/>
    </row>
    <row r="1122" spans="5:5" x14ac:dyDescent="0.35">
      <c r="E1122" s="3"/>
    </row>
    <row r="1123" spans="5:5" x14ac:dyDescent="0.35">
      <c r="E1123" s="3"/>
    </row>
    <row r="1124" spans="5:5" x14ac:dyDescent="0.35">
      <c r="E1124" s="3"/>
    </row>
    <row r="1125" spans="5:5" x14ac:dyDescent="0.35">
      <c r="E1125" s="3"/>
    </row>
    <row r="1126" spans="5:5" x14ac:dyDescent="0.35">
      <c r="E1126" s="3"/>
    </row>
    <row r="1127" spans="5:5" x14ac:dyDescent="0.35">
      <c r="E1127" s="3"/>
    </row>
    <row r="1128" spans="5:5" x14ac:dyDescent="0.35">
      <c r="E1128" s="3"/>
    </row>
    <row r="1129" spans="5:5" x14ac:dyDescent="0.35">
      <c r="E1129" s="3"/>
    </row>
    <row r="1130" spans="5:5" x14ac:dyDescent="0.35">
      <c r="E1130" s="3"/>
    </row>
    <row r="1131" spans="5:5" x14ac:dyDescent="0.35">
      <c r="E1131" s="3"/>
    </row>
    <row r="1132" spans="5:5" x14ac:dyDescent="0.35">
      <c r="E1132" s="3"/>
    </row>
    <row r="1133" spans="5:5" x14ac:dyDescent="0.35">
      <c r="E1133" s="3"/>
    </row>
    <row r="1134" spans="5:5" x14ac:dyDescent="0.35">
      <c r="E1134" s="3"/>
    </row>
    <row r="1135" spans="5:5" x14ac:dyDescent="0.35">
      <c r="E1135" s="3"/>
    </row>
    <row r="1136" spans="5:5" x14ac:dyDescent="0.35">
      <c r="E1136" s="3"/>
    </row>
    <row r="1137" spans="5:5" x14ac:dyDescent="0.35">
      <c r="E1137" s="3"/>
    </row>
    <row r="1138" spans="5:5" x14ac:dyDescent="0.35">
      <c r="E1138" s="3"/>
    </row>
    <row r="1139" spans="5:5" x14ac:dyDescent="0.35">
      <c r="E1139" s="3"/>
    </row>
    <row r="1140" spans="5:5" x14ac:dyDescent="0.35">
      <c r="E1140" s="3"/>
    </row>
    <row r="1141" spans="5:5" x14ac:dyDescent="0.35">
      <c r="E1141" s="3"/>
    </row>
    <row r="1142" spans="5:5" x14ac:dyDescent="0.35">
      <c r="E1142" s="3"/>
    </row>
    <row r="1143" spans="5:5" x14ac:dyDescent="0.35">
      <c r="E1143" s="3"/>
    </row>
    <row r="1144" spans="5:5" x14ac:dyDescent="0.35">
      <c r="E1144" s="3"/>
    </row>
    <row r="1145" spans="5:5" x14ac:dyDescent="0.35">
      <c r="E1145" s="3"/>
    </row>
    <row r="1146" spans="5:5" x14ac:dyDescent="0.35">
      <c r="E1146" s="3"/>
    </row>
    <row r="1147" spans="5:5" x14ac:dyDescent="0.35">
      <c r="E1147" s="3"/>
    </row>
    <row r="1148" spans="5:5" x14ac:dyDescent="0.35">
      <c r="E1148" s="3"/>
    </row>
    <row r="1149" spans="5:5" x14ac:dyDescent="0.35">
      <c r="E1149" s="3"/>
    </row>
    <row r="1150" spans="5:5" x14ac:dyDescent="0.35">
      <c r="E1150" s="3"/>
    </row>
    <row r="1151" spans="5:5" x14ac:dyDescent="0.35">
      <c r="E1151" s="3"/>
    </row>
    <row r="1152" spans="5:5" x14ac:dyDescent="0.35">
      <c r="E1152" s="3"/>
    </row>
    <row r="1153" spans="5:5" x14ac:dyDescent="0.35">
      <c r="E1153" s="3"/>
    </row>
    <row r="1154" spans="5:5" x14ac:dyDescent="0.35">
      <c r="E1154" s="3"/>
    </row>
    <row r="1155" spans="5:5" x14ac:dyDescent="0.35">
      <c r="E1155" s="3"/>
    </row>
    <row r="1156" spans="5:5" x14ac:dyDescent="0.35">
      <c r="E1156" s="3"/>
    </row>
    <row r="1157" spans="5:5" x14ac:dyDescent="0.35">
      <c r="E1157" s="3"/>
    </row>
    <row r="1158" spans="5:5" x14ac:dyDescent="0.35">
      <c r="E1158" s="3"/>
    </row>
    <row r="1159" spans="5:5" x14ac:dyDescent="0.35">
      <c r="E1159" s="3"/>
    </row>
    <row r="1160" spans="5:5" x14ac:dyDescent="0.35">
      <c r="E1160" s="3"/>
    </row>
    <row r="1161" spans="5:5" x14ac:dyDescent="0.35">
      <c r="E1161" s="3"/>
    </row>
    <row r="1162" spans="5:5" x14ac:dyDescent="0.35">
      <c r="E1162" s="3"/>
    </row>
    <row r="1163" spans="5:5" x14ac:dyDescent="0.35">
      <c r="E1163" s="3"/>
    </row>
    <row r="1164" spans="5:5" x14ac:dyDescent="0.35">
      <c r="E1164" s="3"/>
    </row>
    <row r="1165" spans="5:5" x14ac:dyDescent="0.35">
      <c r="E1165" s="3"/>
    </row>
    <row r="1166" spans="5:5" x14ac:dyDescent="0.35">
      <c r="E1166" s="3"/>
    </row>
    <row r="1167" spans="5:5" x14ac:dyDescent="0.35">
      <c r="E1167" s="3"/>
    </row>
    <row r="1168" spans="5:5" x14ac:dyDescent="0.35">
      <c r="E1168" s="3"/>
    </row>
    <row r="1169" spans="5:5" x14ac:dyDescent="0.35">
      <c r="E1169" s="3"/>
    </row>
    <row r="1170" spans="5:5" x14ac:dyDescent="0.35">
      <c r="E1170" s="3"/>
    </row>
    <row r="1171" spans="5:5" x14ac:dyDescent="0.35">
      <c r="E1171" s="3"/>
    </row>
    <row r="1172" spans="5:5" x14ac:dyDescent="0.35">
      <c r="E1172" s="3"/>
    </row>
    <row r="1173" spans="5:5" x14ac:dyDescent="0.35">
      <c r="E1173" s="3"/>
    </row>
    <row r="1174" spans="5:5" x14ac:dyDescent="0.35">
      <c r="E1174" s="3"/>
    </row>
    <row r="1175" spans="5:5" x14ac:dyDescent="0.35">
      <c r="E1175" s="3"/>
    </row>
    <row r="1176" spans="5:5" x14ac:dyDescent="0.35">
      <c r="E1176" s="3"/>
    </row>
    <row r="1177" spans="5:5" x14ac:dyDescent="0.35">
      <c r="E1177" s="3"/>
    </row>
    <row r="1178" spans="5:5" x14ac:dyDescent="0.35">
      <c r="E1178" s="3"/>
    </row>
    <row r="1179" spans="5:5" x14ac:dyDescent="0.35">
      <c r="E1179" s="3"/>
    </row>
    <row r="1180" spans="5:5" x14ac:dyDescent="0.35">
      <c r="E1180" s="3"/>
    </row>
    <row r="1181" spans="5:5" x14ac:dyDescent="0.35">
      <c r="E1181" s="3"/>
    </row>
    <row r="1182" spans="5:5" x14ac:dyDescent="0.35">
      <c r="E1182" s="3"/>
    </row>
    <row r="1183" spans="5:5" x14ac:dyDescent="0.35">
      <c r="E1183" s="3"/>
    </row>
    <row r="1184" spans="5:5" x14ac:dyDescent="0.35">
      <c r="E1184" s="3"/>
    </row>
    <row r="1185" spans="5:5" x14ac:dyDescent="0.35">
      <c r="E1185" s="3"/>
    </row>
    <row r="1186" spans="5:5" x14ac:dyDescent="0.35">
      <c r="E1186" s="3"/>
    </row>
    <row r="1187" spans="5:5" x14ac:dyDescent="0.35">
      <c r="E1187" s="3"/>
    </row>
    <row r="1188" spans="5:5" x14ac:dyDescent="0.35">
      <c r="E1188" s="3"/>
    </row>
    <row r="1189" spans="5:5" x14ac:dyDescent="0.35">
      <c r="E1189" s="3"/>
    </row>
    <row r="1190" spans="5:5" x14ac:dyDescent="0.35">
      <c r="E1190" s="3"/>
    </row>
    <row r="1191" spans="5:5" x14ac:dyDescent="0.35">
      <c r="E1191" s="3"/>
    </row>
    <row r="1192" spans="5:5" x14ac:dyDescent="0.35">
      <c r="E1192" s="3"/>
    </row>
    <row r="1193" spans="5:5" x14ac:dyDescent="0.35">
      <c r="E1193" s="3"/>
    </row>
    <row r="1194" spans="5:5" x14ac:dyDescent="0.35">
      <c r="E1194" s="3"/>
    </row>
    <row r="1195" spans="5:5" x14ac:dyDescent="0.35">
      <c r="E1195" s="3"/>
    </row>
    <row r="1196" spans="5:5" x14ac:dyDescent="0.35">
      <c r="E1196" s="3"/>
    </row>
    <row r="1197" spans="5:5" x14ac:dyDescent="0.35">
      <c r="E1197" s="3"/>
    </row>
    <row r="1198" spans="5:5" x14ac:dyDescent="0.35">
      <c r="E1198" s="3"/>
    </row>
    <row r="1199" spans="5:5" x14ac:dyDescent="0.35">
      <c r="E1199" s="3"/>
    </row>
    <row r="1200" spans="5:5" x14ac:dyDescent="0.35">
      <c r="E1200" s="3"/>
    </row>
    <row r="1201" spans="5:5" x14ac:dyDescent="0.35">
      <c r="E1201" s="3"/>
    </row>
    <row r="1202" spans="5:5" x14ac:dyDescent="0.35">
      <c r="E1202" s="3"/>
    </row>
    <row r="1203" spans="5:5" x14ac:dyDescent="0.35">
      <c r="E1203" s="3"/>
    </row>
    <row r="1204" spans="5:5" x14ac:dyDescent="0.35">
      <c r="E1204" s="3"/>
    </row>
    <row r="1205" spans="5:5" x14ac:dyDescent="0.35">
      <c r="E1205" s="3"/>
    </row>
    <row r="1206" spans="5:5" x14ac:dyDescent="0.35">
      <c r="E1206" s="3"/>
    </row>
    <row r="1207" spans="5:5" x14ac:dyDescent="0.35">
      <c r="E1207" s="3"/>
    </row>
    <row r="1208" spans="5:5" x14ac:dyDescent="0.35">
      <c r="E1208" s="3"/>
    </row>
    <row r="1209" spans="5:5" x14ac:dyDescent="0.35">
      <c r="E1209" s="3"/>
    </row>
    <row r="1210" spans="5:5" x14ac:dyDescent="0.35">
      <c r="E1210" s="3"/>
    </row>
    <row r="1211" spans="5:5" x14ac:dyDescent="0.35">
      <c r="E1211" s="3"/>
    </row>
    <row r="1212" spans="5:5" x14ac:dyDescent="0.35">
      <c r="E1212" s="3"/>
    </row>
    <row r="1213" spans="5:5" x14ac:dyDescent="0.35">
      <c r="E1213" s="3"/>
    </row>
    <row r="1214" spans="5:5" x14ac:dyDescent="0.35">
      <c r="E1214" s="3"/>
    </row>
    <row r="1215" spans="5:5" x14ac:dyDescent="0.35">
      <c r="E1215" s="3"/>
    </row>
    <row r="1216" spans="5:5" x14ac:dyDescent="0.35">
      <c r="E1216" s="3"/>
    </row>
    <row r="1217" spans="5:5" x14ac:dyDescent="0.35">
      <c r="E1217" s="3"/>
    </row>
    <row r="1218" spans="5:5" x14ac:dyDescent="0.35">
      <c r="E1218" s="3"/>
    </row>
    <row r="1219" spans="5:5" x14ac:dyDescent="0.35">
      <c r="E1219" s="3"/>
    </row>
    <row r="1220" spans="5:5" x14ac:dyDescent="0.35">
      <c r="E1220" s="3"/>
    </row>
    <row r="1221" spans="5:5" x14ac:dyDescent="0.35">
      <c r="E1221" s="3"/>
    </row>
    <row r="1222" spans="5:5" x14ac:dyDescent="0.35">
      <c r="E1222" s="3"/>
    </row>
    <row r="1223" spans="5:5" x14ac:dyDescent="0.35">
      <c r="E1223" s="3"/>
    </row>
    <row r="1224" spans="5:5" x14ac:dyDescent="0.35">
      <c r="E1224" s="3"/>
    </row>
    <row r="1225" spans="5:5" x14ac:dyDescent="0.35">
      <c r="E1225" s="3"/>
    </row>
    <row r="1226" spans="5:5" x14ac:dyDescent="0.35">
      <c r="E1226" s="3"/>
    </row>
    <row r="1227" spans="5:5" x14ac:dyDescent="0.35">
      <c r="E1227" s="3"/>
    </row>
    <row r="1228" spans="5:5" x14ac:dyDescent="0.35">
      <c r="E1228" s="3"/>
    </row>
    <row r="1229" spans="5:5" x14ac:dyDescent="0.35">
      <c r="E1229" s="3"/>
    </row>
    <row r="1230" spans="5:5" x14ac:dyDescent="0.35">
      <c r="E1230" s="3"/>
    </row>
    <row r="1231" spans="5:5" x14ac:dyDescent="0.35">
      <c r="E1231" s="3"/>
    </row>
    <row r="1232" spans="5:5" x14ac:dyDescent="0.35">
      <c r="E1232" s="3"/>
    </row>
    <row r="1233" spans="5:5" x14ac:dyDescent="0.35">
      <c r="E1233" s="3"/>
    </row>
    <row r="1234" spans="5:5" x14ac:dyDescent="0.35">
      <c r="E1234" s="3"/>
    </row>
    <row r="1235" spans="5:5" x14ac:dyDescent="0.35">
      <c r="E1235" s="3"/>
    </row>
    <row r="1236" spans="5:5" x14ac:dyDescent="0.35">
      <c r="E1236" s="3"/>
    </row>
    <row r="1237" spans="5:5" x14ac:dyDescent="0.35">
      <c r="E1237" s="3"/>
    </row>
    <row r="1238" spans="5:5" x14ac:dyDescent="0.35">
      <c r="E1238" s="3"/>
    </row>
    <row r="1239" spans="5:5" x14ac:dyDescent="0.35">
      <c r="E1239" s="3"/>
    </row>
    <row r="1240" spans="5:5" x14ac:dyDescent="0.35">
      <c r="E1240" s="3"/>
    </row>
    <row r="1241" spans="5:5" x14ac:dyDescent="0.35">
      <c r="E1241" s="3"/>
    </row>
    <row r="1242" spans="5:5" x14ac:dyDescent="0.35">
      <c r="E1242" s="3"/>
    </row>
    <row r="1243" spans="5:5" x14ac:dyDescent="0.35">
      <c r="E1243" s="3"/>
    </row>
    <row r="1244" spans="5:5" x14ac:dyDescent="0.35">
      <c r="E1244" s="3"/>
    </row>
    <row r="1245" spans="5:5" x14ac:dyDescent="0.35">
      <c r="E1245" s="3"/>
    </row>
    <row r="1246" spans="5:5" x14ac:dyDescent="0.35">
      <c r="E1246" s="3"/>
    </row>
    <row r="1247" spans="5:5" x14ac:dyDescent="0.35">
      <c r="E1247" s="3"/>
    </row>
    <row r="1248" spans="5:5" x14ac:dyDescent="0.35">
      <c r="E1248" s="3"/>
    </row>
    <row r="1249" spans="5:5" x14ac:dyDescent="0.35">
      <c r="E1249" s="3"/>
    </row>
    <row r="1250" spans="5:5" x14ac:dyDescent="0.35">
      <c r="E1250" s="3"/>
    </row>
    <row r="1251" spans="5:5" x14ac:dyDescent="0.35">
      <c r="E1251" s="3"/>
    </row>
    <row r="1252" spans="5:5" x14ac:dyDescent="0.35">
      <c r="E1252" s="3"/>
    </row>
    <row r="1253" spans="5:5" x14ac:dyDescent="0.35">
      <c r="E1253" s="3"/>
    </row>
    <row r="1254" spans="5:5" x14ac:dyDescent="0.35">
      <c r="E1254" s="3"/>
    </row>
    <row r="1255" spans="5:5" x14ac:dyDescent="0.35">
      <c r="E1255" s="3"/>
    </row>
    <row r="1256" spans="5:5" x14ac:dyDescent="0.35">
      <c r="E1256" s="3"/>
    </row>
    <row r="1257" spans="5:5" x14ac:dyDescent="0.35">
      <c r="E1257" s="3"/>
    </row>
    <row r="1258" spans="5:5" x14ac:dyDescent="0.35">
      <c r="E1258" s="3"/>
    </row>
    <row r="1259" spans="5:5" x14ac:dyDescent="0.35">
      <c r="E1259" s="3"/>
    </row>
    <row r="1260" spans="5:5" x14ac:dyDescent="0.35">
      <c r="E1260" s="3"/>
    </row>
    <row r="1261" spans="5:5" x14ac:dyDescent="0.35">
      <c r="E1261" s="3"/>
    </row>
    <row r="1262" spans="5:5" x14ac:dyDescent="0.35">
      <c r="E1262" s="3"/>
    </row>
    <row r="1263" spans="5:5" x14ac:dyDescent="0.35">
      <c r="E1263" s="3"/>
    </row>
    <row r="1264" spans="5:5" x14ac:dyDescent="0.35">
      <c r="E1264" s="3"/>
    </row>
    <row r="1265" spans="5:5" x14ac:dyDescent="0.35">
      <c r="E1265" s="3"/>
    </row>
    <row r="1266" spans="5:5" x14ac:dyDescent="0.35">
      <c r="E1266" s="3"/>
    </row>
    <row r="1267" spans="5:5" x14ac:dyDescent="0.35">
      <c r="E1267" s="3"/>
    </row>
    <row r="1268" spans="5:5" x14ac:dyDescent="0.35">
      <c r="E1268" s="3"/>
    </row>
    <row r="1269" spans="5:5" x14ac:dyDescent="0.35">
      <c r="E1269" s="3"/>
    </row>
    <row r="1270" spans="5:5" x14ac:dyDescent="0.35">
      <c r="E1270" s="3"/>
    </row>
    <row r="1271" spans="5:5" x14ac:dyDescent="0.35">
      <c r="E1271" s="3"/>
    </row>
    <row r="1272" spans="5:5" x14ac:dyDescent="0.35">
      <c r="E1272" s="3"/>
    </row>
    <row r="1273" spans="5:5" x14ac:dyDescent="0.35">
      <c r="E1273" s="3"/>
    </row>
    <row r="1274" spans="5:5" x14ac:dyDescent="0.35">
      <c r="E1274" s="3"/>
    </row>
    <row r="1275" spans="5:5" x14ac:dyDescent="0.35">
      <c r="E1275" s="3"/>
    </row>
    <row r="1276" spans="5:5" x14ac:dyDescent="0.35">
      <c r="E1276" s="3"/>
    </row>
    <row r="1277" spans="5:5" x14ac:dyDescent="0.35">
      <c r="E1277" s="3"/>
    </row>
    <row r="1278" spans="5:5" x14ac:dyDescent="0.35">
      <c r="E1278" s="3"/>
    </row>
    <row r="1279" spans="5:5" x14ac:dyDescent="0.35">
      <c r="E1279" s="3"/>
    </row>
    <row r="1280" spans="5:5" x14ac:dyDescent="0.35">
      <c r="E1280" s="3"/>
    </row>
    <row r="1281" spans="5:5" x14ac:dyDescent="0.35">
      <c r="E1281" s="3"/>
    </row>
    <row r="1282" spans="5:5" x14ac:dyDescent="0.35">
      <c r="E1282" s="3"/>
    </row>
    <row r="1283" spans="5:5" x14ac:dyDescent="0.35">
      <c r="E1283" s="3"/>
    </row>
    <row r="1284" spans="5:5" x14ac:dyDescent="0.35">
      <c r="E1284" s="3"/>
    </row>
    <row r="1285" spans="5:5" x14ac:dyDescent="0.35">
      <c r="E1285" s="3"/>
    </row>
    <row r="1286" spans="5:5" x14ac:dyDescent="0.35">
      <c r="E1286" s="3"/>
    </row>
    <row r="1287" spans="5:5" x14ac:dyDescent="0.35">
      <c r="E1287" s="3"/>
    </row>
    <row r="1288" spans="5:5" x14ac:dyDescent="0.35">
      <c r="E1288" s="3"/>
    </row>
    <row r="1289" spans="5:5" x14ac:dyDescent="0.35">
      <c r="E1289" s="3"/>
    </row>
    <row r="1290" spans="5:5" x14ac:dyDescent="0.35">
      <c r="E1290" s="3"/>
    </row>
    <row r="1291" spans="5:5" x14ac:dyDescent="0.35">
      <c r="E1291" s="3"/>
    </row>
    <row r="1292" spans="5:5" x14ac:dyDescent="0.35">
      <c r="E1292" s="3"/>
    </row>
    <row r="1293" spans="5:5" x14ac:dyDescent="0.35">
      <c r="E1293" s="3"/>
    </row>
    <row r="1294" spans="5:5" x14ac:dyDescent="0.35">
      <c r="E1294" s="3"/>
    </row>
    <row r="1295" spans="5:5" x14ac:dyDescent="0.35">
      <c r="E1295" s="3"/>
    </row>
    <row r="1296" spans="5:5" x14ac:dyDescent="0.35">
      <c r="E1296" s="3"/>
    </row>
    <row r="1297" spans="5:5" x14ac:dyDescent="0.35">
      <c r="E1297" s="3"/>
    </row>
    <row r="1298" spans="5:5" x14ac:dyDescent="0.35">
      <c r="E1298" s="3"/>
    </row>
    <row r="1299" spans="5:5" x14ac:dyDescent="0.35">
      <c r="E1299" s="3"/>
    </row>
    <row r="1300" spans="5:5" x14ac:dyDescent="0.35">
      <c r="E1300" s="3"/>
    </row>
    <row r="1301" spans="5:5" x14ac:dyDescent="0.35">
      <c r="E1301" s="3"/>
    </row>
    <row r="1302" spans="5:5" x14ac:dyDescent="0.35">
      <c r="E1302" s="3"/>
    </row>
    <row r="1303" spans="5:5" x14ac:dyDescent="0.35">
      <c r="E1303" s="3"/>
    </row>
    <row r="1304" spans="5:5" x14ac:dyDescent="0.35">
      <c r="E1304" s="3"/>
    </row>
    <row r="1305" spans="5:5" x14ac:dyDescent="0.35">
      <c r="E1305" s="3"/>
    </row>
    <row r="1306" spans="5:5" x14ac:dyDescent="0.35">
      <c r="E1306" s="3"/>
    </row>
    <row r="1307" spans="5:5" x14ac:dyDescent="0.35">
      <c r="E1307" s="3"/>
    </row>
    <row r="1308" spans="5:5" x14ac:dyDescent="0.35">
      <c r="E1308" s="3"/>
    </row>
    <row r="1309" spans="5:5" x14ac:dyDescent="0.35">
      <c r="E1309" s="3"/>
    </row>
    <row r="1310" spans="5:5" x14ac:dyDescent="0.35">
      <c r="E1310" s="3"/>
    </row>
    <row r="1311" spans="5:5" x14ac:dyDescent="0.35">
      <c r="E1311" s="3"/>
    </row>
    <row r="1312" spans="5:5" x14ac:dyDescent="0.35">
      <c r="E1312" s="3"/>
    </row>
    <row r="1313" spans="5:5" x14ac:dyDescent="0.35">
      <c r="E1313" s="3"/>
    </row>
    <row r="1314" spans="5:5" x14ac:dyDescent="0.35">
      <c r="E1314" s="3"/>
    </row>
    <row r="1315" spans="5:5" x14ac:dyDescent="0.35">
      <c r="E1315" s="3"/>
    </row>
    <row r="1316" spans="5:5" x14ac:dyDescent="0.35">
      <c r="E1316" s="3"/>
    </row>
    <row r="1317" spans="5:5" x14ac:dyDescent="0.35">
      <c r="E1317" s="3"/>
    </row>
    <row r="1318" spans="5:5" x14ac:dyDescent="0.35">
      <c r="E1318" s="3"/>
    </row>
    <row r="1319" spans="5:5" x14ac:dyDescent="0.35">
      <c r="E1319" s="3"/>
    </row>
    <row r="1320" spans="5:5" x14ac:dyDescent="0.35">
      <c r="E1320" s="3"/>
    </row>
    <row r="1321" spans="5:5" x14ac:dyDescent="0.35">
      <c r="E1321" s="3"/>
    </row>
    <row r="1322" spans="5:5" x14ac:dyDescent="0.35">
      <c r="E1322" s="3"/>
    </row>
    <row r="1323" spans="5:5" x14ac:dyDescent="0.35">
      <c r="E1323" s="3"/>
    </row>
    <row r="1324" spans="5:5" x14ac:dyDescent="0.35">
      <c r="E1324" s="3"/>
    </row>
    <row r="1325" spans="5:5" x14ac:dyDescent="0.35">
      <c r="E1325" s="3"/>
    </row>
    <row r="1326" spans="5:5" x14ac:dyDescent="0.35">
      <c r="E1326" s="3"/>
    </row>
    <row r="1327" spans="5:5" x14ac:dyDescent="0.35">
      <c r="E1327" s="3"/>
    </row>
    <row r="1328" spans="5:5" x14ac:dyDescent="0.35">
      <c r="E1328" s="3"/>
    </row>
    <row r="1329" spans="5:5" x14ac:dyDescent="0.35">
      <c r="E1329" s="3"/>
    </row>
    <row r="1330" spans="5:5" x14ac:dyDescent="0.35">
      <c r="E1330" s="3"/>
    </row>
    <row r="1331" spans="5:5" x14ac:dyDescent="0.35">
      <c r="E1331" s="3"/>
    </row>
    <row r="1332" spans="5:5" x14ac:dyDescent="0.35">
      <c r="E1332" s="3"/>
    </row>
    <row r="1333" spans="5:5" x14ac:dyDescent="0.35">
      <c r="E1333" s="3"/>
    </row>
    <row r="1334" spans="5:5" x14ac:dyDescent="0.35">
      <c r="E1334" s="3"/>
    </row>
    <row r="1335" spans="5:5" x14ac:dyDescent="0.35">
      <c r="E1335" s="3"/>
    </row>
    <row r="1336" spans="5:5" x14ac:dyDescent="0.35">
      <c r="E1336" s="3"/>
    </row>
    <row r="1337" spans="5:5" x14ac:dyDescent="0.35">
      <c r="E1337" s="3"/>
    </row>
    <row r="1338" spans="5:5" x14ac:dyDescent="0.35">
      <c r="E1338" s="3"/>
    </row>
    <row r="1339" spans="5:5" x14ac:dyDescent="0.35">
      <c r="E1339" s="3"/>
    </row>
    <row r="1340" spans="5:5" x14ac:dyDescent="0.35">
      <c r="E1340" s="3"/>
    </row>
    <row r="1341" spans="5:5" x14ac:dyDescent="0.35">
      <c r="E1341" s="3"/>
    </row>
    <row r="1342" spans="5:5" x14ac:dyDescent="0.35">
      <c r="E1342" s="3"/>
    </row>
    <row r="1343" spans="5:5" x14ac:dyDescent="0.35">
      <c r="E1343" s="3"/>
    </row>
    <row r="1344" spans="5:5" x14ac:dyDescent="0.35">
      <c r="E1344" s="3"/>
    </row>
    <row r="1345" spans="5:5" x14ac:dyDescent="0.35">
      <c r="E1345" s="3"/>
    </row>
    <row r="1346" spans="5:5" x14ac:dyDescent="0.35">
      <c r="E1346" s="3"/>
    </row>
    <row r="1347" spans="5:5" x14ac:dyDescent="0.35">
      <c r="E1347" s="3"/>
    </row>
    <row r="1348" spans="5:5" x14ac:dyDescent="0.35">
      <c r="E1348" s="3"/>
    </row>
    <row r="1349" spans="5:5" x14ac:dyDescent="0.35">
      <c r="E1349" s="3"/>
    </row>
    <row r="1350" spans="5:5" x14ac:dyDescent="0.35">
      <c r="E1350" s="3"/>
    </row>
    <row r="1351" spans="5:5" x14ac:dyDescent="0.35">
      <c r="E1351" s="3"/>
    </row>
    <row r="1352" spans="5:5" x14ac:dyDescent="0.35">
      <c r="E1352" s="3"/>
    </row>
    <row r="1353" spans="5:5" x14ac:dyDescent="0.35">
      <c r="E1353" s="3"/>
    </row>
    <row r="1354" spans="5:5" x14ac:dyDescent="0.35">
      <c r="E1354" s="3"/>
    </row>
    <row r="1355" spans="5:5" x14ac:dyDescent="0.35">
      <c r="E1355" s="3"/>
    </row>
    <row r="1356" spans="5:5" x14ac:dyDescent="0.35">
      <c r="E1356" s="3"/>
    </row>
    <row r="1357" spans="5:5" x14ac:dyDescent="0.35">
      <c r="E1357" s="3"/>
    </row>
    <row r="1358" spans="5:5" x14ac:dyDescent="0.35">
      <c r="E1358" s="3"/>
    </row>
    <row r="1359" spans="5:5" x14ac:dyDescent="0.35">
      <c r="E1359" s="3"/>
    </row>
    <row r="1360" spans="5:5" x14ac:dyDescent="0.35">
      <c r="E1360" s="3"/>
    </row>
    <row r="1361" spans="5:5" x14ac:dyDescent="0.35">
      <c r="E1361" s="3"/>
    </row>
    <row r="1362" spans="5:5" x14ac:dyDescent="0.35">
      <c r="E1362" s="3"/>
    </row>
    <row r="1363" spans="5:5" x14ac:dyDescent="0.35">
      <c r="E1363" s="3"/>
    </row>
    <row r="1364" spans="5:5" x14ac:dyDescent="0.35">
      <c r="E1364" s="3"/>
    </row>
    <row r="1365" spans="5:5" x14ac:dyDescent="0.35">
      <c r="E1365" s="3"/>
    </row>
    <row r="1366" spans="5:5" x14ac:dyDescent="0.35">
      <c r="E1366" s="3"/>
    </row>
    <row r="1367" spans="5:5" x14ac:dyDescent="0.35">
      <c r="E1367" s="3"/>
    </row>
    <row r="1368" spans="5:5" x14ac:dyDescent="0.35">
      <c r="E1368" s="3"/>
    </row>
    <row r="1369" spans="5:5" x14ac:dyDescent="0.35">
      <c r="E1369" s="3"/>
    </row>
    <row r="1370" spans="5:5" x14ac:dyDescent="0.35">
      <c r="E1370" s="3"/>
    </row>
    <row r="1371" spans="5:5" x14ac:dyDescent="0.35">
      <c r="E1371" s="3"/>
    </row>
    <row r="1372" spans="5:5" x14ac:dyDescent="0.35">
      <c r="E1372" s="3"/>
    </row>
    <row r="1373" spans="5:5" x14ac:dyDescent="0.35">
      <c r="E1373" s="3"/>
    </row>
    <row r="1374" spans="5:5" x14ac:dyDescent="0.35">
      <c r="E1374" s="3"/>
    </row>
    <row r="1375" spans="5:5" x14ac:dyDescent="0.35">
      <c r="E1375" s="3"/>
    </row>
    <row r="1376" spans="5:5" x14ac:dyDescent="0.35">
      <c r="E1376" s="3"/>
    </row>
    <row r="1377" spans="5:5" x14ac:dyDescent="0.35">
      <c r="E1377" s="3"/>
    </row>
    <row r="1378" spans="5:5" x14ac:dyDescent="0.35">
      <c r="E1378" s="3"/>
    </row>
    <row r="1379" spans="5:5" x14ac:dyDescent="0.35">
      <c r="E1379" s="3"/>
    </row>
    <row r="1380" spans="5:5" x14ac:dyDescent="0.35">
      <c r="E1380" s="3"/>
    </row>
    <row r="1381" spans="5:5" x14ac:dyDescent="0.35">
      <c r="E1381" s="3"/>
    </row>
    <row r="1382" spans="5:5" x14ac:dyDescent="0.35">
      <c r="E1382" s="3"/>
    </row>
    <row r="1383" spans="5:5" x14ac:dyDescent="0.35">
      <c r="E1383" s="3"/>
    </row>
    <row r="1384" spans="5:5" x14ac:dyDescent="0.35">
      <c r="E1384" s="3"/>
    </row>
    <row r="1385" spans="5:5" x14ac:dyDescent="0.35">
      <c r="E1385" s="3"/>
    </row>
    <row r="1386" spans="5:5" x14ac:dyDescent="0.35">
      <c r="E1386" s="3"/>
    </row>
    <row r="1387" spans="5:5" x14ac:dyDescent="0.35">
      <c r="E1387" s="3"/>
    </row>
    <row r="1388" spans="5:5" x14ac:dyDescent="0.35">
      <c r="E1388" s="3"/>
    </row>
    <row r="1389" spans="5:5" x14ac:dyDescent="0.35">
      <c r="E1389" s="3"/>
    </row>
    <row r="1390" spans="5:5" x14ac:dyDescent="0.35">
      <c r="E1390" s="3"/>
    </row>
    <row r="1391" spans="5:5" x14ac:dyDescent="0.35">
      <c r="E1391" s="3"/>
    </row>
    <row r="1392" spans="5:5" x14ac:dyDescent="0.35">
      <c r="E1392" s="3"/>
    </row>
    <row r="1393" spans="5:5" x14ac:dyDescent="0.35">
      <c r="E1393" s="3"/>
    </row>
    <row r="1394" spans="5:5" x14ac:dyDescent="0.35">
      <c r="E1394" s="3"/>
    </row>
    <row r="1395" spans="5:5" x14ac:dyDescent="0.35">
      <c r="E1395" s="3"/>
    </row>
    <row r="1396" spans="5:5" x14ac:dyDescent="0.35">
      <c r="E1396" s="3"/>
    </row>
    <row r="1397" spans="5:5" x14ac:dyDescent="0.35">
      <c r="E1397" s="3"/>
    </row>
    <row r="1398" spans="5:5" x14ac:dyDescent="0.35">
      <c r="E1398" s="3"/>
    </row>
    <row r="1399" spans="5:5" x14ac:dyDescent="0.35">
      <c r="E1399" s="3"/>
    </row>
    <row r="1400" spans="5:5" x14ac:dyDescent="0.35">
      <c r="E1400" s="3"/>
    </row>
    <row r="1401" spans="5:5" x14ac:dyDescent="0.35">
      <c r="E1401" s="3"/>
    </row>
    <row r="1402" spans="5:5" x14ac:dyDescent="0.35">
      <c r="E1402" s="3"/>
    </row>
    <row r="1403" spans="5:5" x14ac:dyDescent="0.35">
      <c r="E1403" s="3"/>
    </row>
    <row r="1404" spans="5:5" x14ac:dyDescent="0.35">
      <c r="E1404" s="3"/>
    </row>
    <row r="1405" spans="5:5" x14ac:dyDescent="0.35">
      <c r="E1405" s="3"/>
    </row>
    <row r="1406" spans="5:5" x14ac:dyDescent="0.35">
      <c r="E1406" s="3"/>
    </row>
    <row r="1407" spans="5:5" x14ac:dyDescent="0.35">
      <c r="E1407" s="3"/>
    </row>
    <row r="1408" spans="5:5" x14ac:dyDescent="0.35">
      <c r="E1408" s="3"/>
    </row>
    <row r="1409" spans="5:5" x14ac:dyDescent="0.35">
      <c r="E1409" s="3"/>
    </row>
    <row r="1410" spans="5:5" x14ac:dyDescent="0.35">
      <c r="E1410" s="3"/>
    </row>
    <row r="1411" spans="5:5" x14ac:dyDescent="0.35">
      <c r="E1411" s="3"/>
    </row>
    <row r="1412" spans="5:5" x14ac:dyDescent="0.35">
      <c r="E1412" s="3"/>
    </row>
    <row r="1413" spans="5:5" x14ac:dyDescent="0.35">
      <c r="E1413" s="3"/>
    </row>
    <row r="1414" spans="5:5" x14ac:dyDescent="0.35">
      <c r="E1414" s="3"/>
    </row>
    <row r="1415" spans="5:5" x14ac:dyDescent="0.35">
      <c r="E1415" s="3"/>
    </row>
    <row r="1416" spans="5:5" x14ac:dyDescent="0.35">
      <c r="E1416" s="3"/>
    </row>
    <row r="1417" spans="5:5" x14ac:dyDescent="0.35">
      <c r="E1417" s="3"/>
    </row>
    <row r="1418" spans="5:5" x14ac:dyDescent="0.35">
      <c r="E1418" s="3"/>
    </row>
    <row r="1419" spans="5:5" x14ac:dyDescent="0.35">
      <c r="E1419" s="3"/>
    </row>
    <row r="1420" spans="5:5" x14ac:dyDescent="0.35">
      <c r="E1420" s="3"/>
    </row>
    <row r="1421" spans="5:5" x14ac:dyDescent="0.35">
      <c r="E1421" s="3"/>
    </row>
    <row r="1422" spans="5:5" x14ac:dyDescent="0.35">
      <c r="E1422" s="3"/>
    </row>
    <row r="1423" spans="5:5" x14ac:dyDescent="0.35">
      <c r="E1423" s="3"/>
    </row>
    <row r="1424" spans="5:5" x14ac:dyDescent="0.35">
      <c r="E1424" s="3"/>
    </row>
    <row r="1425" spans="5:5" x14ac:dyDescent="0.35">
      <c r="E1425" s="3"/>
    </row>
    <row r="1426" spans="5:5" x14ac:dyDescent="0.35">
      <c r="E1426" s="3"/>
    </row>
    <row r="1427" spans="5:5" x14ac:dyDescent="0.35">
      <c r="E1427" s="3"/>
    </row>
    <row r="1428" spans="5:5" x14ac:dyDescent="0.35">
      <c r="E1428" s="3"/>
    </row>
    <row r="1429" spans="5:5" x14ac:dyDescent="0.35">
      <c r="E1429" s="3"/>
    </row>
    <row r="1430" spans="5:5" x14ac:dyDescent="0.35">
      <c r="E1430" s="3"/>
    </row>
    <row r="1431" spans="5:5" x14ac:dyDescent="0.35">
      <c r="E1431" s="3"/>
    </row>
    <row r="1432" spans="5:5" x14ac:dyDescent="0.35">
      <c r="E1432" s="3"/>
    </row>
    <row r="1433" spans="5:5" x14ac:dyDescent="0.35">
      <c r="E1433" s="3"/>
    </row>
    <row r="1434" spans="5:5" x14ac:dyDescent="0.35">
      <c r="E1434" s="3"/>
    </row>
    <row r="1435" spans="5:5" x14ac:dyDescent="0.35">
      <c r="E1435" s="3"/>
    </row>
    <row r="1436" spans="5:5" x14ac:dyDescent="0.35">
      <c r="E1436" s="3"/>
    </row>
    <row r="1437" spans="5:5" x14ac:dyDescent="0.35">
      <c r="E1437" s="3"/>
    </row>
    <row r="1438" spans="5:5" x14ac:dyDescent="0.35">
      <c r="E1438" s="3"/>
    </row>
    <row r="1439" spans="5:5" x14ac:dyDescent="0.35">
      <c r="E1439" s="3"/>
    </row>
    <row r="1440" spans="5:5" x14ac:dyDescent="0.35">
      <c r="E1440" s="3"/>
    </row>
    <row r="1441" spans="5:5" x14ac:dyDescent="0.35">
      <c r="E1441" s="3"/>
    </row>
    <row r="1442" spans="5:5" x14ac:dyDescent="0.35">
      <c r="E1442" s="3"/>
    </row>
    <row r="1443" spans="5:5" x14ac:dyDescent="0.35">
      <c r="E1443" s="3"/>
    </row>
    <row r="1444" spans="5:5" x14ac:dyDescent="0.35">
      <c r="E1444" s="3"/>
    </row>
    <row r="1445" spans="5:5" x14ac:dyDescent="0.35">
      <c r="E1445" s="3"/>
    </row>
    <row r="1446" spans="5:5" x14ac:dyDescent="0.35">
      <c r="E1446" s="3"/>
    </row>
    <row r="1447" spans="5:5" x14ac:dyDescent="0.35">
      <c r="E1447" s="3"/>
    </row>
    <row r="1448" spans="5:5" x14ac:dyDescent="0.35">
      <c r="E1448" s="3"/>
    </row>
    <row r="1449" spans="5:5" x14ac:dyDescent="0.35">
      <c r="E1449" s="3"/>
    </row>
    <row r="1450" spans="5:5" x14ac:dyDescent="0.35">
      <c r="E1450" s="3"/>
    </row>
    <row r="1451" spans="5:5" x14ac:dyDescent="0.35">
      <c r="E1451" s="3"/>
    </row>
    <row r="1452" spans="5:5" x14ac:dyDescent="0.35">
      <c r="E1452" s="3"/>
    </row>
    <row r="1453" spans="5:5" x14ac:dyDescent="0.35">
      <c r="E1453" s="3"/>
    </row>
    <row r="1454" spans="5:5" x14ac:dyDescent="0.35">
      <c r="E1454" s="3"/>
    </row>
    <row r="1455" spans="5:5" x14ac:dyDescent="0.35">
      <c r="E1455" s="3"/>
    </row>
    <row r="1456" spans="5:5" x14ac:dyDescent="0.35">
      <c r="E1456" s="3"/>
    </row>
    <row r="1457" spans="5:5" x14ac:dyDescent="0.35">
      <c r="E1457" s="3"/>
    </row>
    <row r="1458" spans="5:5" x14ac:dyDescent="0.35">
      <c r="E1458" s="3"/>
    </row>
    <row r="1459" spans="5:5" x14ac:dyDescent="0.35">
      <c r="E1459" s="3"/>
    </row>
    <row r="1460" spans="5:5" x14ac:dyDescent="0.35">
      <c r="E1460" s="3"/>
    </row>
    <row r="1461" spans="5:5" x14ac:dyDescent="0.35">
      <c r="E1461" s="3"/>
    </row>
    <row r="1462" spans="5:5" x14ac:dyDescent="0.35">
      <c r="E1462" s="3"/>
    </row>
    <row r="1463" spans="5:5" x14ac:dyDescent="0.35">
      <c r="E1463" s="3"/>
    </row>
    <row r="1464" spans="5:5" x14ac:dyDescent="0.35">
      <c r="E1464" s="3"/>
    </row>
    <row r="1465" spans="5:5" x14ac:dyDescent="0.35">
      <c r="E1465" s="3"/>
    </row>
    <row r="1466" spans="5:5" x14ac:dyDescent="0.35">
      <c r="E1466" s="3"/>
    </row>
    <row r="1467" spans="5:5" x14ac:dyDescent="0.35">
      <c r="E1467" s="3"/>
    </row>
    <row r="1468" spans="5:5" x14ac:dyDescent="0.35">
      <c r="E1468" s="3"/>
    </row>
    <row r="1469" spans="5:5" x14ac:dyDescent="0.35">
      <c r="E1469" s="3"/>
    </row>
    <row r="1470" spans="5:5" x14ac:dyDescent="0.35">
      <c r="E1470" s="3"/>
    </row>
    <row r="1471" spans="5:5" x14ac:dyDescent="0.35">
      <c r="E1471" s="3"/>
    </row>
    <row r="1472" spans="5:5" x14ac:dyDescent="0.35">
      <c r="E1472" s="3"/>
    </row>
    <row r="1473" spans="5:5" x14ac:dyDescent="0.35">
      <c r="E1473" s="3"/>
    </row>
    <row r="1474" spans="5:5" x14ac:dyDescent="0.35">
      <c r="E1474" s="3"/>
    </row>
    <row r="1475" spans="5:5" x14ac:dyDescent="0.35">
      <c r="E1475" s="3"/>
    </row>
    <row r="1476" spans="5:5" x14ac:dyDescent="0.35">
      <c r="E1476" s="3"/>
    </row>
    <row r="1477" spans="5:5" x14ac:dyDescent="0.35">
      <c r="E1477" s="3"/>
    </row>
    <row r="1478" spans="5:5" x14ac:dyDescent="0.35">
      <c r="E1478" s="3"/>
    </row>
    <row r="1479" spans="5:5" x14ac:dyDescent="0.35">
      <c r="E1479" s="3"/>
    </row>
    <row r="1480" spans="5:5" x14ac:dyDescent="0.35">
      <c r="E1480" s="3"/>
    </row>
    <row r="1481" spans="5:5" x14ac:dyDescent="0.35">
      <c r="E1481" s="3"/>
    </row>
    <row r="1482" spans="5:5" x14ac:dyDescent="0.35">
      <c r="E1482" s="3"/>
    </row>
    <row r="1483" spans="5:5" x14ac:dyDescent="0.35">
      <c r="E1483" s="3"/>
    </row>
    <row r="1484" spans="5:5" x14ac:dyDescent="0.35">
      <c r="E1484" s="3"/>
    </row>
    <row r="1485" spans="5:5" x14ac:dyDescent="0.35">
      <c r="E1485" s="3"/>
    </row>
    <row r="1486" spans="5:5" x14ac:dyDescent="0.35">
      <c r="E1486" s="3"/>
    </row>
    <row r="1487" spans="5:5" x14ac:dyDescent="0.35">
      <c r="E1487" s="3"/>
    </row>
    <row r="1488" spans="5:5" x14ac:dyDescent="0.35">
      <c r="E1488" s="3"/>
    </row>
    <row r="1489" spans="5:5" x14ac:dyDescent="0.35">
      <c r="E1489" s="3"/>
    </row>
    <row r="1490" spans="5:5" x14ac:dyDescent="0.35">
      <c r="E1490" s="3"/>
    </row>
    <row r="1491" spans="5:5" x14ac:dyDescent="0.35">
      <c r="E1491" s="3"/>
    </row>
    <row r="1492" spans="5:5" x14ac:dyDescent="0.35">
      <c r="E1492" s="3"/>
    </row>
    <row r="1493" spans="5:5" x14ac:dyDescent="0.35">
      <c r="E1493" s="3"/>
    </row>
    <row r="1494" spans="5:5" x14ac:dyDescent="0.35">
      <c r="E1494" s="3"/>
    </row>
    <row r="1495" spans="5:5" x14ac:dyDescent="0.35">
      <c r="E1495" s="3"/>
    </row>
    <row r="1496" spans="5:5" x14ac:dyDescent="0.35">
      <c r="E1496" s="3"/>
    </row>
    <row r="1497" spans="5:5" x14ac:dyDescent="0.35">
      <c r="E1497" s="3"/>
    </row>
    <row r="1498" spans="5:5" x14ac:dyDescent="0.35">
      <c r="E1498" s="3"/>
    </row>
    <row r="1499" spans="5:5" x14ac:dyDescent="0.35">
      <c r="E1499" s="3"/>
    </row>
    <row r="1500" spans="5:5" x14ac:dyDescent="0.35">
      <c r="E1500" s="3"/>
    </row>
    <row r="1501" spans="5:5" x14ac:dyDescent="0.35">
      <c r="E1501" s="3"/>
    </row>
    <row r="1502" spans="5:5" x14ac:dyDescent="0.35">
      <c r="E1502" s="3"/>
    </row>
    <row r="1503" spans="5:5" x14ac:dyDescent="0.35">
      <c r="E1503" s="3"/>
    </row>
    <row r="1504" spans="5:5" x14ac:dyDescent="0.35">
      <c r="E1504" s="3"/>
    </row>
    <row r="1505" spans="5:5" x14ac:dyDescent="0.35">
      <c r="E1505" s="3"/>
    </row>
    <row r="1506" spans="5:5" x14ac:dyDescent="0.35">
      <c r="E1506" s="3"/>
    </row>
    <row r="1507" spans="5:5" x14ac:dyDescent="0.35">
      <c r="E1507" s="3"/>
    </row>
    <row r="1508" spans="5:5" x14ac:dyDescent="0.35">
      <c r="E1508" s="3"/>
    </row>
    <row r="1509" spans="5:5" x14ac:dyDescent="0.35">
      <c r="E1509" s="3"/>
    </row>
    <row r="1510" spans="5:5" x14ac:dyDescent="0.35">
      <c r="E1510" s="3"/>
    </row>
    <row r="1511" spans="5:5" x14ac:dyDescent="0.35">
      <c r="E1511" s="3"/>
    </row>
    <row r="1512" spans="5:5" x14ac:dyDescent="0.35">
      <c r="E1512" s="3"/>
    </row>
    <row r="1513" spans="5:5" x14ac:dyDescent="0.35">
      <c r="E1513" s="3"/>
    </row>
    <row r="1514" spans="5:5" x14ac:dyDescent="0.35">
      <c r="E1514" s="3"/>
    </row>
    <row r="1515" spans="5:5" x14ac:dyDescent="0.35">
      <c r="E1515" s="3"/>
    </row>
    <row r="1516" spans="5:5" x14ac:dyDescent="0.35">
      <c r="E1516" s="3"/>
    </row>
    <row r="1517" spans="5:5" x14ac:dyDescent="0.35">
      <c r="E1517" s="3"/>
    </row>
    <row r="1518" spans="5:5" x14ac:dyDescent="0.35">
      <c r="E1518" s="3"/>
    </row>
    <row r="1519" spans="5:5" x14ac:dyDescent="0.35">
      <c r="E1519" s="3"/>
    </row>
    <row r="1520" spans="5:5" x14ac:dyDescent="0.35">
      <c r="E1520" s="3"/>
    </row>
    <row r="1521" spans="5:5" x14ac:dyDescent="0.35">
      <c r="E1521" s="3"/>
    </row>
    <row r="1522" spans="5:5" x14ac:dyDescent="0.35">
      <c r="E1522" s="3"/>
    </row>
    <row r="1523" spans="5:5" x14ac:dyDescent="0.35">
      <c r="E1523" s="3"/>
    </row>
    <row r="1524" spans="5:5" x14ac:dyDescent="0.35">
      <c r="E1524" s="3"/>
    </row>
    <row r="1525" spans="5:5" x14ac:dyDescent="0.35">
      <c r="E1525" s="3"/>
    </row>
    <row r="1526" spans="5:5" x14ac:dyDescent="0.35">
      <c r="E1526" s="3"/>
    </row>
    <row r="1527" spans="5:5" x14ac:dyDescent="0.35">
      <c r="E1527" s="3"/>
    </row>
    <row r="1528" spans="5:5" x14ac:dyDescent="0.35">
      <c r="E1528" s="3"/>
    </row>
    <row r="1529" spans="5:5" x14ac:dyDescent="0.35">
      <c r="E1529" s="3"/>
    </row>
    <row r="1530" spans="5:5" x14ac:dyDescent="0.35">
      <c r="E1530" s="3"/>
    </row>
    <row r="1531" spans="5:5" x14ac:dyDescent="0.35">
      <c r="E1531" s="3"/>
    </row>
    <row r="1532" spans="5:5" x14ac:dyDescent="0.35">
      <c r="E1532" s="3"/>
    </row>
    <row r="1533" spans="5:5" x14ac:dyDescent="0.35">
      <c r="E1533" s="3"/>
    </row>
    <row r="1534" spans="5:5" x14ac:dyDescent="0.35">
      <c r="E1534" s="3"/>
    </row>
    <row r="1535" spans="5:5" x14ac:dyDescent="0.35">
      <c r="E1535" s="3"/>
    </row>
    <row r="1536" spans="5:5" x14ac:dyDescent="0.35">
      <c r="E1536" s="3"/>
    </row>
    <row r="1537" spans="5:5" x14ac:dyDescent="0.35">
      <c r="E1537" s="3"/>
    </row>
    <row r="1538" spans="5:5" x14ac:dyDescent="0.35">
      <c r="E1538" s="3"/>
    </row>
    <row r="1539" spans="5:5" x14ac:dyDescent="0.35">
      <c r="E1539" s="3"/>
    </row>
    <row r="1540" spans="5:5" x14ac:dyDescent="0.35">
      <c r="E1540" s="3"/>
    </row>
    <row r="1541" spans="5:5" x14ac:dyDescent="0.35">
      <c r="E1541" s="3"/>
    </row>
    <row r="1542" spans="5:5" x14ac:dyDescent="0.35">
      <c r="E1542" s="3"/>
    </row>
    <row r="1543" spans="5:5" x14ac:dyDescent="0.35">
      <c r="E1543" s="3"/>
    </row>
    <row r="1544" spans="5:5" x14ac:dyDescent="0.35">
      <c r="E1544" s="3"/>
    </row>
    <row r="1545" spans="5:5" x14ac:dyDescent="0.35">
      <c r="E1545" s="3"/>
    </row>
    <row r="1546" spans="5:5" x14ac:dyDescent="0.35">
      <c r="E1546" s="3"/>
    </row>
    <row r="1547" spans="5:5" x14ac:dyDescent="0.35">
      <c r="E1547" s="3"/>
    </row>
    <row r="1548" spans="5:5" x14ac:dyDescent="0.35">
      <c r="E1548" s="3"/>
    </row>
    <row r="1549" spans="5:5" x14ac:dyDescent="0.35">
      <c r="E1549" s="3"/>
    </row>
    <row r="1550" spans="5:5" x14ac:dyDescent="0.35">
      <c r="E1550" s="3"/>
    </row>
    <row r="1551" spans="5:5" x14ac:dyDescent="0.35">
      <c r="E1551" s="3"/>
    </row>
    <row r="1552" spans="5:5" x14ac:dyDescent="0.35">
      <c r="E1552" s="3"/>
    </row>
    <row r="1553" spans="5:5" x14ac:dyDescent="0.35">
      <c r="E1553" s="3"/>
    </row>
    <row r="1554" spans="5:5" x14ac:dyDescent="0.35">
      <c r="E1554" s="3"/>
    </row>
    <row r="1555" spans="5:5" x14ac:dyDescent="0.35">
      <c r="E1555" s="3"/>
    </row>
    <row r="1556" spans="5:5" x14ac:dyDescent="0.35">
      <c r="E1556" s="3"/>
    </row>
    <row r="1557" spans="5:5" x14ac:dyDescent="0.35">
      <c r="E1557" s="3"/>
    </row>
    <row r="1558" spans="5:5" x14ac:dyDescent="0.35">
      <c r="E1558" s="3"/>
    </row>
    <row r="1559" spans="5:5" x14ac:dyDescent="0.35">
      <c r="E1559" s="3"/>
    </row>
    <row r="1560" spans="5:5" x14ac:dyDescent="0.35">
      <c r="E1560" s="3"/>
    </row>
    <row r="1561" spans="5:5" x14ac:dyDescent="0.35">
      <c r="E1561" s="3"/>
    </row>
    <row r="1562" spans="5:5" x14ac:dyDescent="0.35">
      <c r="E1562" s="3"/>
    </row>
    <row r="1563" spans="5:5" x14ac:dyDescent="0.35">
      <c r="E1563" s="3"/>
    </row>
    <row r="1564" spans="5:5" x14ac:dyDescent="0.35">
      <c r="E1564" s="3"/>
    </row>
    <row r="1565" spans="5:5" x14ac:dyDescent="0.35">
      <c r="E1565" s="3"/>
    </row>
    <row r="1566" spans="5:5" x14ac:dyDescent="0.35">
      <c r="E1566" s="3"/>
    </row>
    <row r="1567" spans="5:5" x14ac:dyDescent="0.35">
      <c r="E1567" s="3"/>
    </row>
    <row r="1568" spans="5:5" x14ac:dyDescent="0.35">
      <c r="E1568" s="3"/>
    </row>
    <row r="1569" spans="5:5" x14ac:dyDescent="0.35">
      <c r="E1569" s="3"/>
    </row>
    <row r="1570" spans="5:5" x14ac:dyDescent="0.35">
      <c r="E1570" s="3"/>
    </row>
    <row r="1571" spans="5:5" x14ac:dyDescent="0.35">
      <c r="E1571" s="3"/>
    </row>
    <row r="1572" spans="5:5" x14ac:dyDescent="0.35">
      <c r="E1572" s="3"/>
    </row>
    <row r="1573" spans="5:5" x14ac:dyDescent="0.35">
      <c r="E1573" s="3"/>
    </row>
    <row r="1574" spans="5:5" x14ac:dyDescent="0.35">
      <c r="E1574" s="3"/>
    </row>
    <row r="1575" spans="5:5" x14ac:dyDescent="0.35">
      <c r="E1575" s="3"/>
    </row>
    <row r="1576" spans="5:5" x14ac:dyDescent="0.35">
      <c r="E1576" s="3"/>
    </row>
    <row r="1577" spans="5:5" x14ac:dyDescent="0.35">
      <c r="E1577" s="3"/>
    </row>
    <row r="1578" spans="5:5" x14ac:dyDescent="0.35">
      <c r="E1578" s="3"/>
    </row>
    <row r="1579" spans="5:5" x14ac:dyDescent="0.35">
      <c r="E1579" s="3"/>
    </row>
    <row r="1580" spans="5:5" x14ac:dyDescent="0.35">
      <c r="E1580" s="3"/>
    </row>
    <row r="1581" spans="5:5" x14ac:dyDescent="0.35">
      <c r="E1581" s="3"/>
    </row>
    <row r="1582" spans="5:5" x14ac:dyDescent="0.35">
      <c r="E1582" s="3"/>
    </row>
    <row r="1583" spans="5:5" x14ac:dyDescent="0.35">
      <c r="E1583" s="3"/>
    </row>
    <row r="1584" spans="5:5" x14ac:dyDescent="0.35">
      <c r="E1584" s="3"/>
    </row>
    <row r="1585" spans="5:5" x14ac:dyDescent="0.35">
      <c r="E1585" s="3"/>
    </row>
    <row r="1586" spans="5:5" x14ac:dyDescent="0.35">
      <c r="E1586" s="3"/>
    </row>
    <row r="1587" spans="5:5" x14ac:dyDescent="0.35">
      <c r="E1587" s="3"/>
    </row>
    <row r="1588" spans="5:5" x14ac:dyDescent="0.35">
      <c r="E1588" s="3"/>
    </row>
    <row r="1589" spans="5:5" x14ac:dyDescent="0.35">
      <c r="E1589" s="3"/>
    </row>
    <row r="1590" spans="5:5" x14ac:dyDescent="0.35">
      <c r="E1590" s="3"/>
    </row>
    <row r="1591" spans="5:5" x14ac:dyDescent="0.35">
      <c r="E1591" s="3"/>
    </row>
    <row r="1592" spans="5:5" x14ac:dyDescent="0.35">
      <c r="E1592" s="3"/>
    </row>
    <row r="1593" spans="5:5" x14ac:dyDescent="0.35">
      <c r="E1593" s="3"/>
    </row>
    <row r="1594" spans="5:5" x14ac:dyDescent="0.35">
      <c r="E1594" s="3"/>
    </row>
    <row r="1595" spans="5:5" x14ac:dyDescent="0.35">
      <c r="E1595" s="3"/>
    </row>
    <row r="1596" spans="5:5" x14ac:dyDescent="0.35">
      <c r="E1596" s="3"/>
    </row>
    <row r="1597" spans="5:5" x14ac:dyDescent="0.35">
      <c r="E1597" s="3"/>
    </row>
    <row r="1598" spans="5:5" x14ac:dyDescent="0.35">
      <c r="E1598" s="3"/>
    </row>
    <row r="1599" spans="5:5" x14ac:dyDescent="0.35">
      <c r="E1599" s="3"/>
    </row>
    <row r="1600" spans="5:5" x14ac:dyDescent="0.35">
      <c r="E1600" s="3"/>
    </row>
    <row r="1601" spans="5:5" x14ac:dyDescent="0.35">
      <c r="E1601" s="3"/>
    </row>
    <row r="1602" spans="5:5" x14ac:dyDescent="0.35">
      <c r="E1602" s="3"/>
    </row>
    <row r="1603" spans="5:5" x14ac:dyDescent="0.35">
      <c r="E1603" s="3"/>
    </row>
    <row r="1604" spans="5:5" x14ac:dyDescent="0.35">
      <c r="E1604" s="3"/>
    </row>
    <row r="1605" spans="5:5" x14ac:dyDescent="0.35">
      <c r="E1605" s="3"/>
    </row>
    <row r="1606" spans="5:5" x14ac:dyDescent="0.35">
      <c r="E1606" s="3"/>
    </row>
    <row r="1607" spans="5:5" x14ac:dyDescent="0.35">
      <c r="E1607" s="3"/>
    </row>
    <row r="1608" spans="5:5" x14ac:dyDescent="0.35">
      <c r="E1608" s="3"/>
    </row>
    <row r="1609" spans="5:5" x14ac:dyDescent="0.35">
      <c r="E1609" s="3"/>
    </row>
    <row r="1610" spans="5:5" x14ac:dyDescent="0.35">
      <c r="E1610" s="3"/>
    </row>
    <row r="1611" spans="5:5" x14ac:dyDescent="0.35">
      <c r="E1611" s="3"/>
    </row>
    <row r="1612" spans="5:5" x14ac:dyDescent="0.35">
      <c r="E1612" s="3"/>
    </row>
    <row r="1613" spans="5:5" x14ac:dyDescent="0.35">
      <c r="E1613" s="3"/>
    </row>
    <row r="1614" spans="5:5" x14ac:dyDescent="0.35">
      <c r="E1614" s="3"/>
    </row>
    <row r="1615" spans="5:5" x14ac:dyDescent="0.35">
      <c r="E1615" s="3"/>
    </row>
    <row r="1616" spans="5:5" x14ac:dyDescent="0.35">
      <c r="E1616" s="3"/>
    </row>
    <row r="1617" spans="5:5" x14ac:dyDescent="0.35">
      <c r="E1617" s="3"/>
    </row>
    <row r="1618" spans="5:5" x14ac:dyDescent="0.35">
      <c r="E1618" s="3"/>
    </row>
    <row r="1619" spans="5:5" x14ac:dyDescent="0.35">
      <c r="E1619" s="3"/>
    </row>
    <row r="1620" spans="5:5" x14ac:dyDescent="0.35">
      <c r="E1620" s="3"/>
    </row>
    <row r="1621" spans="5:5" x14ac:dyDescent="0.35">
      <c r="E1621" s="3"/>
    </row>
    <row r="1622" spans="5:5" x14ac:dyDescent="0.35">
      <c r="E1622" s="3"/>
    </row>
    <row r="1623" spans="5:5" x14ac:dyDescent="0.35">
      <c r="E1623" s="3"/>
    </row>
    <row r="1624" spans="5:5" x14ac:dyDescent="0.35">
      <c r="E1624" s="3"/>
    </row>
    <row r="1625" spans="5:5" x14ac:dyDescent="0.35">
      <c r="E1625" s="3"/>
    </row>
    <row r="1626" spans="5:5" x14ac:dyDescent="0.35">
      <c r="E1626" s="3"/>
    </row>
    <row r="1627" spans="5:5" x14ac:dyDescent="0.35">
      <c r="E1627" s="3"/>
    </row>
    <row r="1628" spans="5:5" x14ac:dyDescent="0.35">
      <c r="E1628" s="3"/>
    </row>
    <row r="1629" spans="5:5" x14ac:dyDescent="0.35">
      <c r="E1629" s="3"/>
    </row>
    <row r="1630" spans="5:5" x14ac:dyDescent="0.35">
      <c r="E1630" s="3"/>
    </row>
    <row r="1631" spans="5:5" x14ac:dyDescent="0.35">
      <c r="E1631" s="3"/>
    </row>
    <row r="1632" spans="5:5" x14ac:dyDescent="0.35">
      <c r="E1632" s="3"/>
    </row>
    <row r="1633" spans="5:5" x14ac:dyDescent="0.35">
      <c r="E1633" s="3"/>
    </row>
    <row r="1634" spans="5:5" x14ac:dyDescent="0.35">
      <c r="E1634" s="3"/>
    </row>
    <row r="1635" spans="5:5" x14ac:dyDescent="0.35">
      <c r="E1635" s="3"/>
    </row>
    <row r="1636" spans="5:5" x14ac:dyDescent="0.35">
      <c r="E1636" s="3"/>
    </row>
    <row r="1637" spans="5:5" x14ac:dyDescent="0.35">
      <c r="E1637" s="3"/>
    </row>
    <row r="1638" spans="5:5" x14ac:dyDescent="0.35">
      <c r="E1638" s="3"/>
    </row>
    <row r="1639" spans="5:5" x14ac:dyDescent="0.35">
      <c r="E1639" s="3"/>
    </row>
    <row r="1640" spans="5:5" x14ac:dyDescent="0.35">
      <c r="E1640" s="3"/>
    </row>
    <row r="1641" spans="5:5" x14ac:dyDescent="0.35">
      <c r="E1641" s="3"/>
    </row>
    <row r="1642" spans="5:5" x14ac:dyDescent="0.35">
      <c r="E1642" s="3"/>
    </row>
    <row r="1643" spans="5:5" x14ac:dyDescent="0.35">
      <c r="E1643" s="3"/>
    </row>
    <row r="1644" spans="5:5" x14ac:dyDescent="0.35">
      <c r="E1644" s="3"/>
    </row>
    <row r="1645" spans="5:5" x14ac:dyDescent="0.35">
      <c r="E1645" s="3"/>
    </row>
    <row r="1646" spans="5:5" x14ac:dyDescent="0.35">
      <c r="E1646" s="3"/>
    </row>
    <row r="1647" spans="5:5" x14ac:dyDescent="0.35">
      <c r="E1647" s="3"/>
    </row>
    <row r="1648" spans="5:5" x14ac:dyDescent="0.35">
      <c r="E1648" s="3"/>
    </row>
    <row r="1649" spans="5:5" x14ac:dyDescent="0.35">
      <c r="E1649" s="3"/>
    </row>
    <row r="1650" spans="5:5" x14ac:dyDescent="0.35">
      <c r="E1650" s="3"/>
    </row>
    <row r="1651" spans="5:5" x14ac:dyDescent="0.35">
      <c r="E1651" s="3"/>
    </row>
    <row r="1652" spans="5:5" x14ac:dyDescent="0.35">
      <c r="E1652" s="3"/>
    </row>
    <row r="1653" spans="5:5" x14ac:dyDescent="0.35">
      <c r="E1653" s="3"/>
    </row>
    <row r="1654" spans="5:5" x14ac:dyDescent="0.35">
      <c r="E1654" s="3"/>
    </row>
    <row r="1655" spans="5:5" x14ac:dyDescent="0.35">
      <c r="E1655" s="3"/>
    </row>
    <row r="1656" spans="5:5" x14ac:dyDescent="0.35">
      <c r="E1656" s="3"/>
    </row>
    <row r="1657" spans="5:5" x14ac:dyDescent="0.35">
      <c r="E1657" s="3"/>
    </row>
    <row r="1658" spans="5:5" x14ac:dyDescent="0.35">
      <c r="E1658" s="3"/>
    </row>
    <row r="1659" spans="5:5" x14ac:dyDescent="0.35">
      <c r="E1659" s="3"/>
    </row>
    <row r="1660" spans="5:5" x14ac:dyDescent="0.35">
      <c r="E1660" s="3"/>
    </row>
    <row r="1661" spans="5:5" x14ac:dyDescent="0.35">
      <c r="E1661" s="3"/>
    </row>
    <row r="1662" spans="5:5" x14ac:dyDescent="0.35">
      <c r="E1662" s="3"/>
    </row>
    <row r="1663" spans="5:5" x14ac:dyDescent="0.35">
      <c r="E1663" s="3"/>
    </row>
    <row r="1664" spans="5:5" x14ac:dyDescent="0.35">
      <c r="E1664" s="3"/>
    </row>
    <row r="1665" spans="5:5" x14ac:dyDescent="0.35">
      <c r="E1665" s="3"/>
    </row>
    <row r="1666" spans="5:5" x14ac:dyDescent="0.35">
      <c r="E1666" s="3"/>
    </row>
    <row r="1667" spans="5:5" x14ac:dyDescent="0.35">
      <c r="E1667" s="3"/>
    </row>
    <row r="1668" spans="5:5" x14ac:dyDescent="0.35">
      <c r="E1668" s="3"/>
    </row>
    <row r="1669" spans="5:5" x14ac:dyDescent="0.35">
      <c r="E1669" s="3"/>
    </row>
    <row r="1670" spans="5:5" x14ac:dyDescent="0.35">
      <c r="E1670" s="3"/>
    </row>
    <row r="1671" spans="5:5" x14ac:dyDescent="0.35">
      <c r="E1671" s="3"/>
    </row>
    <row r="1672" spans="5:5" x14ac:dyDescent="0.35">
      <c r="E1672" s="3"/>
    </row>
    <row r="1673" spans="5:5" x14ac:dyDescent="0.35">
      <c r="E1673" s="3"/>
    </row>
    <row r="1674" spans="5:5" x14ac:dyDescent="0.35">
      <c r="E1674" s="3"/>
    </row>
    <row r="1675" spans="5:5" x14ac:dyDescent="0.35">
      <c r="E1675" s="3"/>
    </row>
    <row r="1676" spans="5:5" x14ac:dyDescent="0.35">
      <c r="E1676" s="3"/>
    </row>
    <row r="1677" spans="5:5" x14ac:dyDescent="0.35">
      <c r="E1677" s="3"/>
    </row>
    <row r="1678" spans="5:5" x14ac:dyDescent="0.35">
      <c r="E1678" s="3"/>
    </row>
    <row r="1679" spans="5:5" x14ac:dyDescent="0.35">
      <c r="E1679" s="3"/>
    </row>
    <row r="1680" spans="5:5" x14ac:dyDescent="0.35">
      <c r="E1680" s="3"/>
    </row>
    <row r="1681" spans="5:5" x14ac:dyDescent="0.35">
      <c r="E1681" s="3"/>
    </row>
    <row r="1682" spans="5:5" x14ac:dyDescent="0.35">
      <c r="E1682" s="3"/>
    </row>
    <row r="1683" spans="5:5" x14ac:dyDescent="0.35">
      <c r="E1683" s="3"/>
    </row>
    <row r="1684" spans="5:5" x14ac:dyDescent="0.35">
      <c r="E1684" s="3"/>
    </row>
    <row r="1685" spans="5:5" x14ac:dyDescent="0.35">
      <c r="E1685" s="3"/>
    </row>
    <row r="1686" spans="5:5" x14ac:dyDescent="0.35">
      <c r="E1686" s="3"/>
    </row>
    <row r="1687" spans="5:5" x14ac:dyDescent="0.35">
      <c r="E1687" s="3"/>
    </row>
    <row r="1688" spans="5:5" x14ac:dyDescent="0.35">
      <c r="E1688" s="3"/>
    </row>
    <row r="1689" spans="5:5" x14ac:dyDescent="0.35">
      <c r="E1689" s="3"/>
    </row>
    <row r="1690" spans="5:5" x14ac:dyDescent="0.35">
      <c r="E1690" s="3"/>
    </row>
    <row r="1691" spans="5:5" x14ac:dyDescent="0.35">
      <c r="E1691" s="3"/>
    </row>
    <row r="1692" spans="5:5" x14ac:dyDescent="0.35">
      <c r="E1692" s="3"/>
    </row>
    <row r="1693" spans="5:5" x14ac:dyDescent="0.35">
      <c r="E1693" s="3"/>
    </row>
    <row r="1694" spans="5:5" x14ac:dyDescent="0.35">
      <c r="E1694" s="3"/>
    </row>
    <row r="1695" spans="5:5" x14ac:dyDescent="0.35">
      <c r="E1695" s="3"/>
    </row>
    <row r="1696" spans="5:5" x14ac:dyDescent="0.35">
      <c r="E1696" s="3"/>
    </row>
    <row r="1697" spans="5:5" x14ac:dyDescent="0.35">
      <c r="E1697" s="3"/>
    </row>
    <row r="1698" spans="5:5" x14ac:dyDescent="0.35">
      <c r="E1698" s="3"/>
    </row>
    <row r="1699" spans="5:5" x14ac:dyDescent="0.35">
      <c r="E1699" s="3"/>
    </row>
    <row r="1700" spans="5:5" x14ac:dyDescent="0.35">
      <c r="E1700" s="3"/>
    </row>
    <row r="1701" spans="5:5" x14ac:dyDescent="0.35">
      <c r="E1701" s="3"/>
    </row>
    <row r="1702" spans="5:5" x14ac:dyDescent="0.35">
      <c r="E1702" s="3"/>
    </row>
    <row r="1703" spans="5:5" x14ac:dyDescent="0.35">
      <c r="E1703" s="3"/>
    </row>
    <row r="1704" spans="5:5" x14ac:dyDescent="0.35">
      <c r="E1704" s="3"/>
    </row>
    <row r="1705" spans="5:5" x14ac:dyDescent="0.35">
      <c r="E1705" s="3"/>
    </row>
    <row r="1706" spans="5:5" x14ac:dyDescent="0.35">
      <c r="E1706" s="3"/>
    </row>
    <row r="1707" spans="5:5" x14ac:dyDescent="0.35">
      <c r="E1707" s="3"/>
    </row>
    <row r="1708" spans="5:5" x14ac:dyDescent="0.35">
      <c r="E1708" s="3"/>
    </row>
    <row r="1709" spans="5:5" x14ac:dyDescent="0.35">
      <c r="E1709" s="3"/>
    </row>
    <row r="1710" spans="5:5" x14ac:dyDescent="0.35">
      <c r="E1710" s="3"/>
    </row>
    <row r="1711" spans="5:5" x14ac:dyDescent="0.35">
      <c r="E1711" s="3"/>
    </row>
    <row r="1712" spans="5:5" x14ac:dyDescent="0.35">
      <c r="E1712" s="3"/>
    </row>
    <row r="1713" spans="5:5" x14ac:dyDescent="0.35">
      <c r="E1713" s="3"/>
    </row>
    <row r="1714" spans="5:5" x14ac:dyDescent="0.35">
      <c r="E1714" s="3"/>
    </row>
    <row r="1715" spans="5:5" x14ac:dyDescent="0.35">
      <c r="E1715" s="3"/>
    </row>
    <row r="1716" spans="5:5" x14ac:dyDescent="0.35">
      <c r="E1716" s="3"/>
    </row>
    <row r="1717" spans="5:5" x14ac:dyDescent="0.35">
      <c r="E1717" s="3"/>
    </row>
    <row r="1718" spans="5:5" x14ac:dyDescent="0.35">
      <c r="E1718" s="3"/>
    </row>
    <row r="1719" spans="5:5" x14ac:dyDescent="0.35">
      <c r="E1719" s="3"/>
    </row>
    <row r="1720" spans="5:5" x14ac:dyDescent="0.35">
      <c r="E1720" s="3"/>
    </row>
    <row r="1721" spans="5:5" x14ac:dyDescent="0.35">
      <c r="E1721" s="3"/>
    </row>
    <row r="1722" spans="5:5" x14ac:dyDescent="0.35">
      <c r="E1722" s="3"/>
    </row>
    <row r="1723" spans="5:5" x14ac:dyDescent="0.35">
      <c r="E1723" s="3"/>
    </row>
    <row r="1724" spans="5:5" x14ac:dyDescent="0.35">
      <c r="E1724" s="3"/>
    </row>
    <row r="1725" spans="5:5" x14ac:dyDescent="0.35">
      <c r="E1725" s="3"/>
    </row>
    <row r="1726" spans="5:5" x14ac:dyDescent="0.35">
      <c r="E1726" s="3"/>
    </row>
    <row r="1727" spans="5:5" x14ac:dyDescent="0.35">
      <c r="E1727" s="3"/>
    </row>
    <row r="1728" spans="5:5" x14ac:dyDescent="0.35">
      <c r="E1728" s="3"/>
    </row>
    <row r="1729" spans="5:5" x14ac:dyDescent="0.35">
      <c r="E1729" s="3"/>
    </row>
    <row r="1730" spans="5:5" x14ac:dyDescent="0.35">
      <c r="E1730" s="3"/>
    </row>
    <row r="1731" spans="5:5" x14ac:dyDescent="0.35">
      <c r="E1731" s="3"/>
    </row>
    <row r="1732" spans="5:5" x14ac:dyDescent="0.35">
      <c r="E1732" s="3"/>
    </row>
    <row r="1733" spans="5:5" x14ac:dyDescent="0.35">
      <c r="E1733" s="3"/>
    </row>
    <row r="1734" spans="5:5" x14ac:dyDescent="0.35">
      <c r="E1734" s="3"/>
    </row>
    <row r="1735" spans="5:5" x14ac:dyDescent="0.35">
      <c r="E1735" s="3"/>
    </row>
    <row r="1736" spans="5:5" x14ac:dyDescent="0.35">
      <c r="E1736" s="3"/>
    </row>
    <row r="1737" spans="5:5" x14ac:dyDescent="0.35">
      <c r="E1737" s="3"/>
    </row>
    <row r="1738" spans="5:5" x14ac:dyDescent="0.35">
      <c r="E1738" s="3"/>
    </row>
    <row r="1739" spans="5:5" x14ac:dyDescent="0.35">
      <c r="E1739" s="3"/>
    </row>
    <row r="1740" spans="5:5" x14ac:dyDescent="0.35">
      <c r="E1740" s="3"/>
    </row>
    <row r="1741" spans="5:5" x14ac:dyDescent="0.35">
      <c r="E1741" s="3"/>
    </row>
    <row r="1742" spans="5:5" x14ac:dyDescent="0.35">
      <c r="E1742" s="3"/>
    </row>
    <row r="1743" spans="5:5" x14ac:dyDescent="0.35">
      <c r="E1743" s="3"/>
    </row>
    <row r="1744" spans="5:5" x14ac:dyDescent="0.35">
      <c r="E1744" s="3"/>
    </row>
    <row r="1745" spans="5:5" x14ac:dyDescent="0.35">
      <c r="E1745" s="3"/>
    </row>
    <row r="1746" spans="5:5" x14ac:dyDescent="0.35">
      <c r="E1746" s="3"/>
    </row>
    <row r="1747" spans="5:5" x14ac:dyDescent="0.35">
      <c r="E1747" s="3"/>
    </row>
    <row r="1748" spans="5:5" x14ac:dyDescent="0.35">
      <c r="E1748" s="3"/>
    </row>
    <row r="1749" spans="5:5" x14ac:dyDescent="0.35">
      <c r="E1749" s="3"/>
    </row>
    <row r="1750" spans="5:5" x14ac:dyDescent="0.35">
      <c r="E1750" s="3"/>
    </row>
    <row r="1751" spans="5:5" x14ac:dyDescent="0.35">
      <c r="E1751" s="3"/>
    </row>
    <row r="1752" spans="5:5" x14ac:dyDescent="0.35">
      <c r="E1752" s="3"/>
    </row>
    <row r="1753" spans="5:5" x14ac:dyDescent="0.35">
      <c r="E1753" s="3"/>
    </row>
    <row r="1754" spans="5:5" x14ac:dyDescent="0.35">
      <c r="E1754" s="3"/>
    </row>
    <row r="1755" spans="5:5" x14ac:dyDescent="0.35">
      <c r="E1755" s="3"/>
    </row>
    <row r="1756" spans="5:5" x14ac:dyDescent="0.35">
      <c r="E1756" s="3"/>
    </row>
    <row r="1757" spans="5:5" x14ac:dyDescent="0.35">
      <c r="E1757" s="3"/>
    </row>
    <row r="1758" spans="5:5" x14ac:dyDescent="0.35">
      <c r="E1758" s="3"/>
    </row>
    <row r="1759" spans="5:5" x14ac:dyDescent="0.35">
      <c r="E1759" s="3"/>
    </row>
    <row r="1760" spans="5:5" x14ac:dyDescent="0.35">
      <c r="E1760" s="3"/>
    </row>
    <row r="1761" spans="5:5" x14ac:dyDescent="0.35">
      <c r="E1761" s="3"/>
    </row>
    <row r="1762" spans="5:5" x14ac:dyDescent="0.35">
      <c r="E1762" s="3"/>
    </row>
    <row r="1763" spans="5:5" x14ac:dyDescent="0.35">
      <c r="E1763" s="3"/>
    </row>
    <row r="1764" spans="5:5" x14ac:dyDescent="0.35">
      <c r="E1764" s="3"/>
    </row>
    <row r="1765" spans="5:5" x14ac:dyDescent="0.35">
      <c r="E1765" s="3"/>
    </row>
    <row r="1766" spans="5:5" x14ac:dyDescent="0.35">
      <c r="E1766" s="3"/>
    </row>
    <row r="1767" spans="5:5" x14ac:dyDescent="0.35">
      <c r="E1767" s="3"/>
    </row>
    <row r="1768" spans="5:5" x14ac:dyDescent="0.35">
      <c r="E1768" s="3"/>
    </row>
    <row r="1769" spans="5:5" x14ac:dyDescent="0.35">
      <c r="E1769" s="3"/>
    </row>
    <row r="1770" spans="5:5" x14ac:dyDescent="0.35">
      <c r="E1770" s="3"/>
    </row>
    <row r="1771" spans="5:5" x14ac:dyDescent="0.35">
      <c r="E1771" s="3"/>
    </row>
    <row r="1772" spans="5:5" x14ac:dyDescent="0.35">
      <c r="E1772" s="3"/>
    </row>
    <row r="1773" spans="5:5" x14ac:dyDescent="0.35">
      <c r="E1773" s="3"/>
    </row>
    <row r="1774" spans="5:5" x14ac:dyDescent="0.35">
      <c r="E1774" s="3"/>
    </row>
    <row r="1775" spans="5:5" x14ac:dyDescent="0.35">
      <c r="E1775" s="3"/>
    </row>
    <row r="1776" spans="5:5" x14ac:dyDescent="0.35">
      <c r="E1776" s="3"/>
    </row>
    <row r="1777" spans="5:5" x14ac:dyDescent="0.35">
      <c r="E1777" s="3"/>
    </row>
    <row r="1778" spans="5:5" x14ac:dyDescent="0.35">
      <c r="E1778" s="3"/>
    </row>
    <row r="1779" spans="5:5" x14ac:dyDescent="0.35">
      <c r="E1779" s="3"/>
    </row>
    <row r="1780" spans="5:5" x14ac:dyDescent="0.35">
      <c r="E1780" s="3"/>
    </row>
    <row r="1781" spans="5:5" x14ac:dyDescent="0.35">
      <c r="E1781" s="3"/>
    </row>
    <row r="1782" spans="5:5" x14ac:dyDescent="0.35">
      <c r="E1782" s="3"/>
    </row>
    <row r="1783" spans="5:5" x14ac:dyDescent="0.35">
      <c r="E1783" s="3"/>
    </row>
    <row r="1784" spans="5:5" x14ac:dyDescent="0.35">
      <c r="E1784" s="3"/>
    </row>
    <row r="1785" spans="5:5" x14ac:dyDescent="0.35">
      <c r="E1785" s="3"/>
    </row>
    <row r="1786" spans="5:5" x14ac:dyDescent="0.35">
      <c r="E1786" s="3"/>
    </row>
    <row r="1787" spans="5:5" x14ac:dyDescent="0.35">
      <c r="E1787" s="3"/>
    </row>
    <row r="1788" spans="5:5" x14ac:dyDescent="0.35">
      <c r="E1788" s="3"/>
    </row>
    <row r="1789" spans="5:5" x14ac:dyDescent="0.35">
      <c r="E1789" s="3"/>
    </row>
    <row r="1790" spans="5:5" x14ac:dyDescent="0.35">
      <c r="E1790" s="3"/>
    </row>
    <row r="1791" spans="5:5" x14ac:dyDescent="0.35">
      <c r="E1791" s="3"/>
    </row>
    <row r="1792" spans="5:5" x14ac:dyDescent="0.35">
      <c r="E1792" s="3"/>
    </row>
    <row r="1793" spans="5:5" x14ac:dyDescent="0.35">
      <c r="E1793" s="3"/>
    </row>
    <row r="1794" spans="5:5" x14ac:dyDescent="0.35">
      <c r="E1794" s="3"/>
    </row>
    <row r="1795" spans="5:5" x14ac:dyDescent="0.35">
      <c r="E1795" s="3"/>
    </row>
    <row r="1796" spans="5:5" x14ac:dyDescent="0.35">
      <c r="E1796" s="3"/>
    </row>
    <row r="1797" spans="5:5" x14ac:dyDescent="0.35">
      <c r="E1797" s="3"/>
    </row>
    <row r="1798" spans="5:5" x14ac:dyDescent="0.35">
      <c r="E1798" s="3"/>
    </row>
    <row r="1799" spans="5:5" x14ac:dyDescent="0.35">
      <c r="E1799" s="3"/>
    </row>
    <row r="1800" spans="5:5" x14ac:dyDescent="0.35">
      <c r="E1800" s="3"/>
    </row>
    <row r="1801" spans="5:5" x14ac:dyDescent="0.35">
      <c r="E1801" s="3"/>
    </row>
    <row r="1802" spans="5:5" x14ac:dyDescent="0.35">
      <c r="E1802" s="3"/>
    </row>
    <row r="1803" spans="5:5" x14ac:dyDescent="0.35">
      <c r="E1803" s="3"/>
    </row>
    <row r="1804" spans="5:5" x14ac:dyDescent="0.35">
      <c r="E1804" s="3"/>
    </row>
    <row r="1805" spans="5:5" x14ac:dyDescent="0.35">
      <c r="E1805" s="3"/>
    </row>
    <row r="1806" spans="5:5" x14ac:dyDescent="0.35">
      <c r="E1806" s="3"/>
    </row>
    <row r="1807" spans="5:5" x14ac:dyDescent="0.35">
      <c r="E1807" s="3"/>
    </row>
    <row r="1808" spans="5:5" x14ac:dyDescent="0.35">
      <c r="E1808" s="3"/>
    </row>
    <row r="1809" spans="5:5" x14ac:dyDescent="0.35">
      <c r="E1809" s="3"/>
    </row>
    <row r="1810" spans="5:5" x14ac:dyDescent="0.35">
      <c r="E1810" s="3"/>
    </row>
    <row r="1811" spans="5:5" x14ac:dyDescent="0.35">
      <c r="E1811" s="3"/>
    </row>
    <row r="1812" spans="5:5" x14ac:dyDescent="0.35">
      <c r="E1812" s="3"/>
    </row>
    <row r="1813" spans="5:5" x14ac:dyDescent="0.35">
      <c r="E1813" s="3"/>
    </row>
    <row r="1814" spans="5:5" x14ac:dyDescent="0.35">
      <c r="E1814" s="3"/>
    </row>
    <row r="1815" spans="5:5" x14ac:dyDescent="0.35">
      <c r="E1815" s="3"/>
    </row>
    <row r="1816" spans="5:5" x14ac:dyDescent="0.35">
      <c r="E1816" s="3"/>
    </row>
    <row r="1817" spans="5:5" x14ac:dyDescent="0.35">
      <c r="E1817" s="3"/>
    </row>
    <row r="1818" spans="5:5" x14ac:dyDescent="0.35">
      <c r="E1818" s="3"/>
    </row>
    <row r="1819" spans="5:5" x14ac:dyDescent="0.35">
      <c r="E1819" s="3"/>
    </row>
    <row r="1820" spans="5:5" x14ac:dyDescent="0.35">
      <c r="E1820" s="3"/>
    </row>
    <row r="1821" spans="5:5" x14ac:dyDescent="0.35">
      <c r="E1821" s="3"/>
    </row>
    <row r="1822" spans="5:5" x14ac:dyDescent="0.35">
      <c r="E1822" s="3"/>
    </row>
    <row r="1823" spans="5:5" x14ac:dyDescent="0.35">
      <c r="E1823" s="3"/>
    </row>
    <row r="1824" spans="5:5" x14ac:dyDescent="0.35">
      <c r="E1824" s="3"/>
    </row>
    <row r="1825" spans="5:5" x14ac:dyDescent="0.35">
      <c r="E1825" s="3"/>
    </row>
    <row r="1826" spans="5:5" x14ac:dyDescent="0.35">
      <c r="E1826" s="3"/>
    </row>
    <row r="1827" spans="5:5" x14ac:dyDescent="0.35">
      <c r="E1827" s="3"/>
    </row>
    <row r="1828" spans="5:5" x14ac:dyDescent="0.35">
      <c r="E1828" s="3"/>
    </row>
    <row r="1829" spans="5:5" x14ac:dyDescent="0.35">
      <c r="E1829" s="3"/>
    </row>
    <row r="1830" spans="5:5" x14ac:dyDescent="0.35">
      <c r="E1830" s="3"/>
    </row>
    <row r="1831" spans="5:5" x14ac:dyDescent="0.35">
      <c r="E1831" s="3"/>
    </row>
    <row r="1832" spans="5:5" x14ac:dyDescent="0.35">
      <c r="E1832" s="3"/>
    </row>
    <row r="1833" spans="5:5" x14ac:dyDescent="0.35">
      <c r="E1833" s="3"/>
    </row>
    <row r="1834" spans="5:5" x14ac:dyDescent="0.35">
      <c r="E1834" s="3"/>
    </row>
    <row r="1835" spans="5:5" x14ac:dyDescent="0.35">
      <c r="E1835" s="3"/>
    </row>
    <row r="1836" spans="5:5" x14ac:dyDescent="0.35">
      <c r="E1836" s="3"/>
    </row>
    <row r="1837" spans="5:5" x14ac:dyDescent="0.35">
      <c r="E1837" s="3"/>
    </row>
    <row r="1838" spans="5:5" x14ac:dyDescent="0.35">
      <c r="E1838" s="3"/>
    </row>
    <row r="1839" spans="5:5" x14ac:dyDescent="0.35">
      <c r="E1839" s="3"/>
    </row>
    <row r="1840" spans="5:5" x14ac:dyDescent="0.35">
      <c r="E1840" s="3"/>
    </row>
    <row r="1841" spans="5:5" x14ac:dyDescent="0.35">
      <c r="E1841" s="3"/>
    </row>
    <row r="1842" spans="5:5" x14ac:dyDescent="0.35">
      <c r="E1842" s="3"/>
    </row>
    <row r="1843" spans="5:5" x14ac:dyDescent="0.35">
      <c r="E1843" s="3"/>
    </row>
    <row r="1844" spans="5:5" x14ac:dyDescent="0.35">
      <c r="E1844" s="3"/>
    </row>
    <row r="1845" spans="5:5" x14ac:dyDescent="0.35">
      <c r="E1845" s="3"/>
    </row>
    <row r="1846" spans="5:5" x14ac:dyDescent="0.35">
      <c r="E1846" s="3"/>
    </row>
    <row r="1847" spans="5:5" x14ac:dyDescent="0.35">
      <c r="E1847" s="3"/>
    </row>
    <row r="1848" spans="5:5" x14ac:dyDescent="0.35">
      <c r="E1848" s="3"/>
    </row>
    <row r="1849" spans="5:5" x14ac:dyDescent="0.35">
      <c r="E1849" s="3"/>
    </row>
    <row r="1850" spans="5:5" x14ac:dyDescent="0.35">
      <c r="E1850" s="3"/>
    </row>
    <row r="1851" spans="5:5" x14ac:dyDescent="0.35">
      <c r="E1851" s="3"/>
    </row>
    <row r="1852" spans="5:5" x14ac:dyDescent="0.35">
      <c r="E1852" s="3"/>
    </row>
    <row r="1853" spans="5:5" x14ac:dyDescent="0.35">
      <c r="E1853" s="3"/>
    </row>
    <row r="1854" spans="5:5" x14ac:dyDescent="0.35">
      <c r="E1854" s="3"/>
    </row>
    <row r="1855" spans="5:5" x14ac:dyDescent="0.35">
      <c r="E1855" s="3"/>
    </row>
    <row r="1856" spans="5:5" x14ac:dyDescent="0.35">
      <c r="E1856" s="3"/>
    </row>
    <row r="1857" spans="5:5" x14ac:dyDescent="0.35">
      <c r="E1857" s="3"/>
    </row>
    <row r="1858" spans="5:5" x14ac:dyDescent="0.35">
      <c r="E1858" s="3"/>
    </row>
    <row r="1859" spans="5:5" x14ac:dyDescent="0.35">
      <c r="E1859" s="3"/>
    </row>
    <row r="1860" spans="5:5" x14ac:dyDescent="0.35">
      <c r="E1860" s="3"/>
    </row>
    <row r="1861" spans="5:5" x14ac:dyDescent="0.35">
      <c r="E1861" s="3"/>
    </row>
    <row r="1862" spans="5:5" x14ac:dyDescent="0.35">
      <c r="E1862" s="3"/>
    </row>
    <row r="1863" spans="5:5" x14ac:dyDescent="0.35">
      <c r="E1863" s="3"/>
    </row>
    <row r="1864" spans="5:5" x14ac:dyDescent="0.35">
      <c r="E1864" s="3"/>
    </row>
    <row r="1865" spans="5:5" x14ac:dyDescent="0.35">
      <c r="E1865" s="3"/>
    </row>
    <row r="1866" spans="5:5" x14ac:dyDescent="0.35">
      <c r="E1866" s="3"/>
    </row>
    <row r="1867" spans="5:5" x14ac:dyDescent="0.35">
      <c r="E1867" s="3"/>
    </row>
    <row r="1868" spans="5:5" x14ac:dyDescent="0.35">
      <c r="E1868" s="3"/>
    </row>
    <row r="1869" spans="5:5" x14ac:dyDescent="0.35">
      <c r="E1869" s="3"/>
    </row>
    <row r="1870" spans="5:5" x14ac:dyDescent="0.35">
      <c r="E1870" s="3"/>
    </row>
    <row r="1871" spans="5:5" x14ac:dyDescent="0.35">
      <c r="E1871" s="3"/>
    </row>
    <row r="1872" spans="5:5" x14ac:dyDescent="0.35">
      <c r="E1872" s="3"/>
    </row>
    <row r="1873" spans="5:5" x14ac:dyDescent="0.35">
      <c r="E1873" s="3"/>
    </row>
    <row r="1874" spans="5:5" x14ac:dyDescent="0.35">
      <c r="E1874" s="3"/>
    </row>
    <row r="1875" spans="5:5" x14ac:dyDescent="0.35">
      <c r="E1875" s="3"/>
    </row>
    <row r="1876" spans="5:5" x14ac:dyDescent="0.35">
      <c r="E1876" s="3"/>
    </row>
    <row r="1877" spans="5:5" x14ac:dyDescent="0.35">
      <c r="E1877" s="3"/>
    </row>
    <row r="1878" spans="5:5" x14ac:dyDescent="0.35">
      <c r="E1878" s="3"/>
    </row>
    <row r="1879" spans="5:5" x14ac:dyDescent="0.35">
      <c r="E1879" s="3"/>
    </row>
    <row r="1880" spans="5:5" x14ac:dyDescent="0.35">
      <c r="E1880" s="3"/>
    </row>
    <row r="1881" spans="5:5" x14ac:dyDescent="0.35">
      <c r="E1881" s="3"/>
    </row>
    <row r="1882" spans="5:5" x14ac:dyDescent="0.35">
      <c r="E1882" s="3"/>
    </row>
    <row r="1883" spans="5:5" x14ac:dyDescent="0.35">
      <c r="E1883" s="3"/>
    </row>
    <row r="1884" spans="5:5" x14ac:dyDescent="0.35">
      <c r="E1884" s="3"/>
    </row>
    <row r="1885" spans="5:5" x14ac:dyDescent="0.35">
      <c r="E1885" s="3"/>
    </row>
    <row r="1886" spans="5:5" x14ac:dyDescent="0.35">
      <c r="E1886" s="3"/>
    </row>
    <row r="1887" spans="5:5" x14ac:dyDescent="0.35">
      <c r="E1887" s="3"/>
    </row>
    <row r="1888" spans="5:5" x14ac:dyDescent="0.35">
      <c r="E1888" s="3"/>
    </row>
    <row r="1889" spans="5:5" x14ac:dyDescent="0.35">
      <c r="E1889" s="3"/>
    </row>
    <row r="1890" spans="5:5" x14ac:dyDescent="0.35">
      <c r="E1890" s="3"/>
    </row>
    <row r="1891" spans="5:5" x14ac:dyDescent="0.35">
      <c r="E1891" s="3"/>
    </row>
    <row r="1892" spans="5:5" x14ac:dyDescent="0.35">
      <c r="E1892" s="3"/>
    </row>
    <row r="1893" spans="5:5" x14ac:dyDescent="0.35">
      <c r="E1893" s="3"/>
    </row>
    <row r="1894" spans="5:5" x14ac:dyDescent="0.35">
      <c r="E1894" s="3"/>
    </row>
    <row r="1895" spans="5:5" x14ac:dyDescent="0.35">
      <c r="E1895" s="3"/>
    </row>
    <row r="1896" spans="5:5" x14ac:dyDescent="0.35">
      <c r="E1896" s="3"/>
    </row>
    <row r="1897" spans="5:5" x14ac:dyDescent="0.35">
      <c r="E1897" s="3"/>
    </row>
    <row r="1898" spans="5:5" x14ac:dyDescent="0.35">
      <c r="E1898" s="3"/>
    </row>
    <row r="1899" spans="5:5" x14ac:dyDescent="0.35">
      <c r="E1899" s="3"/>
    </row>
    <row r="1900" spans="5:5" x14ac:dyDescent="0.35">
      <c r="E1900" s="3"/>
    </row>
    <row r="1901" spans="5:5" x14ac:dyDescent="0.35">
      <c r="E1901" s="3"/>
    </row>
    <row r="1902" spans="5:5" x14ac:dyDescent="0.35">
      <c r="E1902" s="3"/>
    </row>
    <row r="1903" spans="5:5" x14ac:dyDescent="0.35">
      <c r="E1903" s="3"/>
    </row>
    <row r="1904" spans="5:5" x14ac:dyDescent="0.35">
      <c r="E1904" s="3"/>
    </row>
    <row r="1905" spans="5:5" x14ac:dyDescent="0.35">
      <c r="E1905" s="3"/>
    </row>
    <row r="1906" spans="5:5" x14ac:dyDescent="0.35">
      <c r="E1906" s="3"/>
    </row>
    <row r="1907" spans="5:5" x14ac:dyDescent="0.35">
      <c r="E1907" s="3"/>
    </row>
    <row r="1908" spans="5:5" x14ac:dyDescent="0.35">
      <c r="E1908" s="3"/>
    </row>
    <row r="1909" spans="5:5" x14ac:dyDescent="0.35">
      <c r="E1909" s="3"/>
    </row>
    <row r="1910" spans="5:5" x14ac:dyDescent="0.35">
      <c r="E1910" s="3"/>
    </row>
    <row r="1911" spans="5:5" x14ac:dyDescent="0.35">
      <c r="E1911" s="3"/>
    </row>
    <row r="1912" spans="5:5" x14ac:dyDescent="0.35">
      <c r="E1912" s="3"/>
    </row>
    <row r="1913" spans="5:5" x14ac:dyDescent="0.35">
      <c r="E1913" s="3"/>
    </row>
    <row r="1914" spans="5:5" x14ac:dyDescent="0.35">
      <c r="E1914" s="3"/>
    </row>
    <row r="1915" spans="5:5" x14ac:dyDescent="0.35">
      <c r="E1915" s="3"/>
    </row>
    <row r="1916" spans="5:5" x14ac:dyDescent="0.35">
      <c r="E1916" s="3"/>
    </row>
    <row r="1917" spans="5:5" x14ac:dyDescent="0.35">
      <c r="E1917" s="3"/>
    </row>
    <row r="1918" spans="5:5" x14ac:dyDescent="0.35">
      <c r="E1918" s="3"/>
    </row>
    <row r="1919" spans="5:5" x14ac:dyDescent="0.35">
      <c r="E1919" s="3"/>
    </row>
    <row r="1920" spans="5:5" x14ac:dyDescent="0.35">
      <c r="E1920" s="3"/>
    </row>
    <row r="1921" spans="5:5" x14ac:dyDescent="0.35">
      <c r="E1921" s="3"/>
    </row>
    <row r="1922" spans="5:5" x14ac:dyDescent="0.35">
      <c r="E1922" s="3"/>
    </row>
    <row r="1923" spans="5:5" x14ac:dyDescent="0.35">
      <c r="E1923" s="3"/>
    </row>
    <row r="1924" spans="5:5" x14ac:dyDescent="0.35">
      <c r="E1924" s="3"/>
    </row>
    <row r="1925" spans="5:5" x14ac:dyDescent="0.35">
      <c r="E1925" s="3"/>
    </row>
    <row r="1926" spans="5:5" x14ac:dyDescent="0.35">
      <c r="E1926" s="3"/>
    </row>
    <row r="1927" spans="5:5" x14ac:dyDescent="0.35">
      <c r="E1927" s="3"/>
    </row>
    <row r="1928" spans="5:5" x14ac:dyDescent="0.35">
      <c r="E1928" s="3"/>
    </row>
    <row r="1929" spans="5:5" x14ac:dyDescent="0.35">
      <c r="E1929" s="3"/>
    </row>
    <row r="1930" spans="5:5" x14ac:dyDescent="0.35">
      <c r="E1930" s="3"/>
    </row>
    <row r="1931" spans="5:5" x14ac:dyDescent="0.35">
      <c r="E1931" s="3"/>
    </row>
    <row r="1932" spans="5:5" x14ac:dyDescent="0.35">
      <c r="E1932" s="3"/>
    </row>
    <row r="1933" spans="5:5" x14ac:dyDescent="0.35">
      <c r="E1933" s="3"/>
    </row>
    <row r="1934" spans="5:5" x14ac:dyDescent="0.35">
      <c r="E1934" s="3"/>
    </row>
    <row r="1935" spans="5:5" x14ac:dyDescent="0.35">
      <c r="E1935" s="3"/>
    </row>
    <row r="1936" spans="5:5" x14ac:dyDescent="0.35">
      <c r="E1936" s="3"/>
    </row>
    <row r="1937" spans="5:5" x14ac:dyDescent="0.35">
      <c r="E1937" s="3"/>
    </row>
    <row r="1938" spans="5:5" x14ac:dyDescent="0.35">
      <c r="E1938" s="3"/>
    </row>
    <row r="1939" spans="5:5" x14ac:dyDescent="0.35">
      <c r="E1939" s="3"/>
    </row>
    <row r="1940" spans="5:5" x14ac:dyDescent="0.35">
      <c r="E1940" s="3"/>
    </row>
    <row r="1941" spans="5:5" x14ac:dyDescent="0.35">
      <c r="E1941" s="3"/>
    </row>
    <row r="1942" spans="5:5" x14ac:dyDescent="0.35">
      <c r="E1942" s="3"/>
    </row>
    <row r="1943" spans="5:5" x14ac:dyDescent="0.35">
      <c r="E1943" s="3"/>
    </row>
    <row r="1944" spans="5:5" x14ac:dyDescent="0.35">
      <c r="E1944" s="3"/>
    </row>
    <row r="1945" spans="5:5" x14ac:dyDescent="0.35">
      <c r="E1945" s="3"/>
    </row>
    <row r="1946" spans="5:5" x14ac:dyDescent="0.35">
      <c r="E1946" s="3"/>
    </row>
    <row r="1947" spans="5:5" x14ac:dyDescent="0.35">
      <c r="E1947" s="3"/>
    </row>
    <row r="1948" spans="5:5" x14ac:dyDescent="0.35">
      <c r="E1948" s="3"/>
    </row>
    <row r="1949" spans="5:5" x14ac:dyDescent="0.35">
      <c r="E1949" s="3"/>
    </row>
    <row r="1950" spans="5:5" x14ac:dyDescent="0.35">
      <c r="E1950" s="3"/>
    </row>
    <row r="1951" spans="5:5" x14ac:dyDescent="0.35">
      <c r="E1951" s="3"/>
    </row>
    <row r="1952" spans="5:5" x14ac:dyDescent="0.35">
      <c r="E1952" s="3"/>
    </row>
    <row r="1953" spans="5:5" x14ac:dyDescent="0.35">
      <c r="E1953" s="3"/>
    </row>
    <row r="1954" spans="5:5" x14ac:dyDescent="0.35">
      <c r="E1954" s="3"/>
    </row>
    <row r="1955" spans="5:5" x14ac:dyDescent="0.35">
      <c r="E1955" s="3"/>
    </row>
    <row r="1956" spans="5:5" x14ac:dyDescent="0.35">
      <c r="E1956" s="3"/>
    </row>
    <row r="1957" spans="5:5" x14ac:dyDescent="0.35">
      <c r="E1957" s="3"/>
    </row>
    <row r="1958" spans="5:5" x14ac:dyDescent="0.35">
      <c r="E1958" s="3"/>
    </row>
    <row r="1959" spans="5:5" x14ac:dyDescent="0.35">
      <c r="E1959" s="3"/>
    </row>
    <row r="1960" spans="5:5" x14ac:dyDescent="0.35">
      <c r="E1960" s="3"/>
    </row>
    <row r="1961" spans="5:5" x14ac:dyDescent="0.35">
      <c r="E1961" s="3"/>
    </row>
    <row r="1962" spans="5:5" x14ac:dyDescent="0.35">
      <c r="E1962" s="3"/>
    </row>
    <row r="1963" spans="5:5" x14ac:dyDescent="0.35">
      <c r="E1963" s="3"/>
    </row>
    <row r="1964" spans="5:5" x14ac:dyDescent="0.35">
      <c r="E1964" s="3"/>
    </row>
    <row r="1965" spans="5:5" x14ac:dyDescent="0.35">
      <c r="E1965" s="3"/>
    </row>
    <row r="1966" spans="5:5" x14ac:dyDescent="0.35">
      <c r="E1966" s="3"/>
    </row>
    <row r="1967" spans="5:5" x14ac:dyDescent="0.35">
      <c r="E1967" s="3"/>
    </row>
    <row r="1968" spans="5:5" x14ac:dyDescent="0.35">
      <c r="E1968" s="3"/>
    </row>
    <row r="1969" spans="5:5" x14ac:dyDescent="0.35">
      <c r="E1969" s="3"/>
    </row>
    <row r="1970" spans="5:5" x14ac:dyDescent="0.35">
      <c r="E1970" s="3"/>
    </row>
    <row r="1971" spans="5:5" x14ac:dyDescent="0.35">
      <c r="E1971" s="3"/>
    </row>
    <row r="1972" spans="5:5" x14ac:dyDescent="0.35">
      <c r="E1972" s="3"/>
    </row>
    <row r="1973" spans="5:5" x14ac:dyDescent="0.35">
      <c r="E1973" s="3"/>
    </row>
    <row r="1974" spans="5:5" x14ac:dyDescent="0.35">
      <c r="E1974" s="3"/>
    </row>
    <row r="1975" spans="5:5" x14ac:dyDescent="0.35">
      <c r="E1975" s="3"/>
    </row>
    <row r="1976" spans="5:5" x14ac:dyDescent="0.35">
      <c r="E1976" s="3"/>
    </row>
    <row r="1977" spans="5:5" x14ac:dyDescent="0.35">
      <c r="E1977" s="3"/>
    </row>
    <row r="1978" spans="5:5" x14ac:dyDescent="0.35">
      <c r="E1978" s="3"/>
    </row>
    <row r="1979" spans="5:5" x14ac:dyDescent="0.35">
      <c r="E1979" s="3"/>
    </row>
    <row r="1980" spans="5:5" x14ac:dyDescent="0.35">
      <c r="E1980" s="3"/>
    </row>
    <row r="1981" spans="5:5" x14ac:dyDescent="0.35">
      <c r="E1981" s="3"/>
    </row>
    <row r="1982" spans="5:5" x14ac:dyDescent="0.35">
      <c r="E1982" s="3"/>
    </row>
    <row r="1983" spans="5:5" x14ac:dyDescent="0.35">
      <c r="E1983" s="3"/>
    </row>
    <row r="1984" spans="5:5" x14ac:dyDescent="0.35">
      <c r="E1984" s="3"/>
    </row>
    <row r="1985" spans="5:5" x14ac:dyDescent="0.35">
      <c r="E1985" s="3"/>
    </row>
    <row r="1986" spans="5:5" x14ac:dyDescent="0.35">
      <c r="E1986" s="3"/>
    </row>
    <row r="1987" spans="5:5" x14ac:dyDescent="0.35">
      <c r="E1987" s="3"/>
    </row>
    <row r="1988" spans="5:5" x14ac:dyDescent="0.35">
      <c r="E1988" s="3"/>
    </row>
    <row r="1989" spans="5:5" x14ac:dyDescent="0.35">
      <c r="E1989" s="3"/>
    </row>
    <row r="1990" spans="5:5" x14ac:dyDescent="0.35">
      <c r="E1990" s="3"/>
    </row>
    <row r="1991" spans="5:5" x14ac:dyDescent="0.35">
      <c r="E1991" s="3"/>
    </row>
    <row r="1992" spans="5:5" x14ac:dyDescent="0.35">
      <c r="E1992" s="3"/>
    </row>
    <row r="1993" spans="5:5" x14ac:dyDescent="0.35">
      <c r="E1993" s="3"/>
    </row>
    <row r="1994" spans="5:5" x14ac:dyDescent="0.35">
      <c r="E1994" s="3"/>
    </row>
    <row r="1995" spans="5:5" x14ac:dyDescent="0.35">
      <c r="E1995" s="3"/>
    </row>
    <row r="1996" spans="5:5" x14ac:dyDescent="0.35">
      <c r="E1996" s="3"/>
    </row>
    <row r="1997" spans="5:5" x14ac:dyDescent="0.35">
      <c r="E1997" s="3"/>
    </row>
    <row r="1998" spans="5:5" x14ac:dyDescent="0.35">
      <c r="E1998" s="3"/>
    </row>
    <row r="1999" spans="5:5" x14ac:dyDescent="0.35">
      <c r="E1999" s="3"/>
    </row>
    <row r="2000" spans="5:5" x14ac:dyDescent="0.35">
      <c r="E2000" s="3"/>
    </row>
    <row r="2001" spans="5:5" x14ac:dyDescent="0.35">
      <c r="E2001" s="3"/>
    </row>
  </sheetData>
  <sortState xmlns:xlrd2="http://schemas.microsoft.com/office/spreadsheetml/2017/richdata2" ref="G2:G10">
    <sortCondition ref="G2"/>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111C-4784-4654-B6DD-EBD8298356A7}">
  <dimension ref="A3:B7"/>
  <sheetViews>
    <sheetView workbookViewId="0">
      <selection activeCell="C6" sqref="C6"/>
    </sheetView>
  </sheetViews>
  <sheetFormatPr defaultRowHeight="14.5" x14ac:dyDescent="0.35"/>
  <cols>
    <col min="1" max="1" width="12.36328125" bestFit="1" customWidth="1"/>
    <col min="2" max="2" width="17.6328125" bestFit="1" customWidth="1"/>
  </cols>
  <sheetData>
    <row r="3" spans="1:2" x14ac:dyDescent="0.35">
      <c r="A3" s="1" t="s">
        <v>1280</v>
      </c>
      <c r="B3" t="s">
        <v>1282</v>
      </c>
    </row>
    <row r="4" spans="1:2" ht="21" x14ac:dyDescent="0.5">
      <c r="A4" s="2" t="s">
        <v>19</v>
      </c>
      <c r="B4" s="10">
        <v>525</v>
      </c>
    </row>
    <row r="6" spans="1:2" x14ac:dyDescent="0.35">
      <c r="A6" s="1" t="s">
        <v>1280</v>
      </c>
      <c r="B6" t="s">
        <v>1282</v>
      </c>
    </row>
    <row r="7" spans="1:2" ht="21" x14ac:dyDescent="0.5">
      <c r="A7" s="2" t="s">
        <v>19</v>
      </c>
      <c r="B7" s="10">
        <v>541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B54F-D7AF-4892-9C82-B5732EDCD7ED}">
  <dimension ref="A3:C8"/>
  <sheetViews>
    <sheetView workbookViewId="0">
      <selection activeCell="C8" sqref="C8"/>
    </sheetView>
  </sheetViews>
  <sheetFormatPr defaultRowHeight="14.5" x14ac:dyDescent="0.35"/>
  <cols>
    <col min="1" max="1" width="17.6328125" bestFit="1" customWidth="1"/>
    <col min="3" max="3" width="13.6328125" bestFit="1" customWidth="1"/>
  </cols>
  <sheetData>
    <row r="3" spans="1:3" x14ac:dyDescent="0.35">
      <c r="A3" t="s">
        <v>1282</v>
      </c>
    </row>
    <row r="4" spans="1:3" x14ac:dyDescent="0.35">
      <c r="A4">
        <v>1026</v>
      </c>
    </row>
    <row r="7" spans="1:3" x14ac:dyDescent="0.35">
      <c r="C7" t="s">
        <v>1299</v>
      </c>
    </row>
    <row r="8" spans="1:3" ht="26" x14ac:dyDescent="0.6">
      <c r="C8" s="11">
        <v>26.533743797413258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chronic_disease_prediction_data</vt:lpstr>
      <vt:lpstr>DB</vt:lpstr>
      <vt:lpstr>Sheet3</vt:lpstr>
      <vt:lpstr>Sheet4</vt:lpstr>
      <vt:lpstr>Sheet6</vt:lpstr>
      <vt:lpstr>Sheet8</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Shwetha</dc:creator>
  <cp:lastModifiedBy>Srivastava G</cp:lastModifiedBy>
  <dcterms:created xsi:type="dcterms:W3CDTF">2026-03-10T16:33:37Z</dcterms:created>
  <dcterms:modified xsi:type="dcterms:W3CDTF">2026-03-15T11:45:42Z</dcterms:modified>
</cp:coreProperties>
</file>